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3.xml" ContentType="application/vnd.openxmlformats-officedocument.spreadsheetml.comment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omments5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drawing2.xml" ContentType="application/vnd.openxmlformats-officedocument.drawing+xml"/>
  <Override PartName="/xl/drawings/vmlDrawing5.vml" ContentType="application/vnd.openxmlformats-officedocument.vmlDrawing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5.xml" ContentType="application/vnd.openxmlformats-officedocument.spreadsheetml.table+xml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Analiza DOSTAWCÓW" sheetId="1" state="visible" r:id="rId2"/>
    <sheet name="DOSTAWCY TWORZYW" sheetId="2" state="visible" r:id="rId3"/>
    <sheet name="DOSTAWCY TWORZ_OSOBY KONTAKT " sheetId="3" state="visible" r:id="rId4"/>
    <sheet name="DOSTAWCY BARWNIKÓW" sheetId="4" state="visible" r:id="rId5"/>
    <sheet name="DOSTAWCY BARW._OSOBY KONT. " sheetId="5" state="visible" r:id="rId6"/>
    <sheet name="WYKAZ TWORZYW" sheetId="6" state="visible" r:id="rId7"/>
    <sheet name="TWORZYWA_HISOTRIA ZAM." sheetId="7" state="visible" r:id="rId8"/>
    <sheet name="miesięczne" sheetId="8" state="visible" r:id="rId9"/>
    <sheet name="BARWNIKI_HISTORIA ZAM" sheetId="9" state="visible" r:id="rId10"/>
  </sheets>
  <definedNames>
    <definedName function="false" hidden="true" localSheetId="8" name="_xlnm._FilterDatabase" vbProcedure="false">'BARWNIKI_HISTORIA ZAM'!$B$5:$X$111</definedName>
    <definedName function="false" hidden="true" localSheetId="6" name="_xlnm._FilterDatabase" vbProcedure="false">'TWORZYWA_HISOTRIA ZAM.'!$C$5:$AA$159</definedName>
    <definedName function="false" hidden="false" name="ANALIZA" vbProcedure="false">'Analiza DOSTAWCÓW'!$A$1</definedName>
    <definedName function="false" hidden="false" name="Fragmentator_Lata__Faktyczna_data_dostawy" vbProcedure="false">#N/A</definedName>
    <definedName function="false" hidden="false" name="Fragmentator_Nazwa_Dostawcy" vbProcedure="false">#N/A</definedName>
    <definedName function="false" hidden="false" name="Fragmentator_TWORZYWO__BARWNIK" vbProcedure="false">#N/A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E4" authorId="0">
      <text>
        <r>
          <rPr>
            <sz val="11"/>
            <color rgb="FF000000"/>
            <rFont val="Calibri"/>
            <family val="2"/>
            <charset val="1"/>
          </rPr>
          <t xml:space="preserve">Usuń
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D4" authorId="0">
      <text>
        <r>
          <rPr>
            <sz val="11"/>
            <color rgb="FF000000"/>
            <rFont val="Calibri"/>
            <family val="2"/>
            <charset val="1"/>
          </rPr>
          <t xml:space="preserve">usuń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E4" authorId="0">
      <text>
        <r>
          <rPr>
            <sz val="11"/>
            <color rgb="FF000000"/>
            <rFont val="Calibri"/>
            <family val="2"/>
            <charset val="1"/>
          </rPr>
          <t xml:space="preserve">usuń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E4" authorId="0">
      <text>
        <r>
          <rPr>
            <sz val="11"/>
            <color rgb="FF000000"/>
            <rFont val="Calibri"/>
            <family val="2"/>
            <charset val="1"/>
          </rPr>
          <t xml:space="preserve">usuń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D5" authorId="0">
      <text>
        <r>
          <rPr>
            <sz val="11"/>
            <color rgb="FF000000"/>
            <rFont val="Calibri"/>
            <family val="2"/>
            <charset val="1"/>
          </rPr>
          <t xml:space="preserve">Na co jest numer dostawcy – można usunąć</t>
        </r>
      </text>
    </comment>
    <comment ref="F5" authorId="0">
      <text>
        <r>
          <rPr>
            <sz val="11"/>
            <color rgb="FF000000"/>
            <rFont val="Calibri"/>
            <family val="2"/>
            <charset val="1"/>
          </rPr>
          <t xml:space="preserve">Numer potwierdzenia lub jak nie to mail </t>
        </r>
      </text>
    </comment>
    <comment ref="I5" authorId="0">
      <text>
        <r>
          <rPr>
            <sz val="11"/>
            <color rgb="FF000000"/>
            <rFont val="Calibri"/>
            <family val="2"/>
            <charset val="1"/>
          </rPr>
          <t xml:space="preserve">Jest więcej niz 3 rodzaje tworzyć jest chyba 7 rodzajów</t>
        </r>
      </text>
    </comment>
    <comment ref="J5" authorId="0">
      <text>
        <r>
          <rPr>
            <sz val="11"/>
            <color rgb="FF000000"/>
            <rFont val="Calibri"/>
            <family val="2"/>
            <charset val="1"/>
          </rPr>
          <t xml:space="preserve">Nazwa tworzywa i wtedy </t>
        </r>
      </text>
    </comment>
    <comment ref="L5" authorId="0">
      <text>
        <r>
          <rPr>
            <sz val="11"/>
            <color rgb="FF000000"/>
            <rFont val="Calibri"/>
            <family val="2"/>
            <charset val="1"/>
          </rPr>
          <t xml:space="preserve">Byłoby to na nazwie zamówienia jako całość </t>
        </r>
      </text>
    </comment>
    <comment ref="M5" authorId="0">
      <text>
        <r>
          <rPr>
            <sz val="11"/>
            <color rgb="FF000000"/>
            <rFont val="Calibri"/>
            <family val="2"/>
            <charset val="1"/>
          </rPr>
          <t xml:space="preserve">Tyle poszło na magazyn dodać kg</t>
        </r>
      </text>
    </comment>
    <comment ref="N5" authorId="0">
      <text>
        <r>
          <rPr>
            <sz val="11"/>
            <color rgb="FF000000"/>
            <rFont val="Calibri"/>
            <family val="2"/>
            <charset val="1"/>
          </rPr>
          <t xml:space="preserve">Do usunięcia</t>
        </r>
      </text>
    </comment>
    <comment ref="O5" authorId="0">
      <text>
        <r>
          <rPr>
            <sz val="11"/>
            <color rgb="FF000000"/>
            <rFont val="Calibri"/>
            <family val="2"/>
            <charset val="1"/>
          </rPr>
          <t xml:space="preserve">Do usunięcia informacja że w kg jest już w nazwie w kolumnie M zawsze jest w kg</t>
        </r>
      </text>
    </comment>
    <comment ref="V5" authorId="0">
      <text>
        <r>
          <rPr>
            <sz val="11"/>
            <color rgb="FF000000"/>
            <rFont val="Calibri"/>
            <family val="2"/>
            <charset val="1"/>
          </rPr>
          <t xml:space="preserve">Dostawca deklaruje tą datę jako datę dostawy</t>
        </r>
      </text>
    </comment>
  </commentList>
</comments>
</file>

<file path=xl/sharedStrings.xml><?xml version="1.0" encoding="utf-8"?>
<sst xmlns="http://schemas.openxmlformats.org/spreadsheetml/2006/main" count="3645" uniqueCount="921">
  <si>
    <t xml:space="preserve"> Ilość</t>
  </si>
  <si>
    <t xml:space="preserve">Etykiety kolumn</t>
  </si>
  <si>
    <t xml:space="preserve">Etykiety wierszy</t>
  </si>
  <si>
    <t xml:space="preserve">2026</t>
  </si>
  <si>
    <t xml:space="preserve">ARGUS</t>
  </si>
  <si>
    <t xml:space="preserve">EMIPAK Jarosław Stoliński</t>
  </si>
  <si>
    <t xml:space="preserve">KRAIBURG TPE GmbH&amp;Co</t>
  </si>
  <si>
    <t xml:space="preserve">PLASTPRO</t>
  </si>
  <si>
    <t xml:space="preserve">POLIMER PROJEKT Sp. z o.o.</t>
  </si>
  <si>
    <t xml:space="preserve">PROGRESS</t>
  </si>
  <si>
    <t xml:space="preserve">PRT RADOMSKO</t>
  </si>
  <si>
    <t xml:space="preserve">RESINEX</t>
  </si>
  <si>
    <t xml:space="preserve">Suma z Wartość zamówienia</t>
  </si>
  <si>
    <t xml:space="preserve">Lata (Faktyczna data dostawy)</t>
  </si>
  <si>
    <t xml:space="preserve">Rodzaj </t>
  </si>
  <si>
    <t xml:space="preserve">Symbol</t>
  </si>
  <si>
    <t xml:space="preserve">Suma końcowa</t>
  </si>
  <si>
    <t xml:space="preserve">PA6</t>
  </si>
  <si>
    <t xml:space="preserve">PA6 - PLASTAMID 6 B28 CR </t>
  </si>
  <si>
    <t xml:space="preserve">PA6 - PLASTMID 6 B28 G5</t>
  </si>
  <si>
    <t xml:space="preserve">PA6 - PLASTMID 6 B28 G6</t>
  </si>
  <si>
    <t xml:space="preserve">PA6 25GF</t>
  </si>
  <si>
    <t xml:space="preserve">PA6 50GF</t>
  </si>
  <si>
    <t xml:space="preserve">PA6 - PLASTMID 6 B28 G1 </t>
  </si>
  <si>
    <t xml:space="preserve">PC</t>
  </si>
  <si>
    <t xml:space="preserve">PC 12.80 UR</t>
  </si>
  <si>
    <t xml:space="preserve">BAZA DOSTAWCÓW TWORZYW - DANE PODSTAWOWE</t>
  </si>
  <si>
    <t xml:space="preserve">Lp.</t>
  </si>
  <si>
    <t xml:space="preserve">Nazwa Dostawcy</t>
  </si>
  <si>
    <t xml:space="preserve">Nazwa skrócona</t>
  </si>
  <si>
    <t xml:space="preserve">Nr dostawcy</t>
  </si>
  <si>
    <t xml:space="preserve">TWORZYWO</t>
  </si>
  <si>
    <t xml:space="preserve">Adres</t>
  </si>
  <si>
    <t xml:space="preserve">Kod pocztowy</t>
  </si>
  <si>
    <t xml:space="preserve">Miasto</t>
  </si>
  <si>
    <t xml:space="preserve">Kraj</t>
  </si>
  <si>
    <t xml:space="preserve">NIP</t>
  </si>
  <si>
    <t xml:space="preserve">NR TEL OGÓLNY</t>
  </si>
  <si>
    <t xml:space="preserve">STRONA INTERNETOWA</t>
  </si>
  <si>
    <t xml:space="preserve">WARUNKI PŁATNOŚCI</t>
  </si>
  <si>
    <t xml:space="preserve">UWAGI</t>
  </si>
  <si>
    <t xml:space="preserve">POLIMER </t>
  </si>
  <si>
    <t xml:space="preserve">DT001</t>
  </si>
  <si>
    <t xml:space="preserve">ul. Obrońców Tobruku 21</t>
  </si>
  <si>
    <t xml:space="preserve">61-695</t>
  </si>
  <si>
    <t xml:space="preserve">Poznań</t>
  </si>
  <si>
    <t xml:space="preserve">Polska</t>
  </si>
  <si>
    <t xml:space="preserve">www.polimerprojekt.pl</t>
  </si>
  <si>
    <t xml:space="preserve">60 dni</t>
  </si>
  <si>
    <t xml:space="preserve">KRAIBURG</t>
  </si>
  <si>
    <t xml:space="preserve">DT002</t>
  </si>
  <si>
    <t xml:space="preserve">Friedrich-Schmidt-Str. 2</t>
  </si>
  <si>
    <t xml:space="preserve">Waldkraiburg</t>
  </si>
  <si>
    <t xml:space="preserve">Niemcy</t>
  </si>
  <si>
    <t xml:space="preserve">GRANPOL Sp. Z o.o.</t>
  </si>
  <si>
    <t xml:space="preserve">GRANPOL</t>
  </si>
  <si>
    <t xml:space="preserve">DT003</t>
  </si>
  <si>
    <t xml:space="preserve">uL. Jana Pawła II 2a</t>
  </si>
  <si>
    <t xml:space="preserve">87-853</t>
  </si>
  <si>
    <t xml:space="preserve">Kruszyn</t>
  </si>
  <si>
    <t xml:space="preserve">48 54 2528388</t>
  </si>
  <si>
    <t xml:space="preserve">www.granpol.com.pl</t>
  </si>
  <si>
    <t xml:space="preserve">90 dni</t>
  </si>
  <si>
    <t xml:space="preserve">BCD Polymers Sp. z o.o.</t>
  </si>
  <si>
    <t xml:space="preserve">BCD</t>
  </si>
  <si>
    <t xml:space="preserve">DT004</t>
  </si>
  <si>
    <t xml:space="preserve">ul. Obornicka 39</t>
  </si>
  <si>
    <t xml:space="preserve">62-002</t>
  </si>
  <si>
    <t xml:space="preserve">Suchy Las</t>
  </si>
  <si>
    <t xml:space="preserve">61 895 65 80</t>
  </si>
  <si>
    <t xml:space="preserve">www.bcd-polymers.pl</t>
  </si>
  <si>
    <t xml:space="preserve">TER Plastics </t>
  </si>
  <si>
    <t xml:space="preserve">TER</t>
  </si>
  <si>
    <t xml:space="preserve">DT005</t>
  </si>
  <si>
    <t xml:space="preserve">ul. Innowacyjna 8</t>
  </si>
  <si>
    <t xml:space="preserve">36-060 </t>
  </si>
  <si>
    <t xml:space="preserve">Glogów Malopolski</t>
  </si>
  <si>
    <t xml:space="preserve">17 773 53 00</t>
  </si>
  <si>
    <t xml:space="preserve">www.terplastics.pl </t>
  </si>
  <si>
    <t xml:space="preserve">30 dni</t>
  </si>
  <si>
    <t xml:space="preserve">EMIPAK</t>
  </si>
  <si>
    <t xml:space="preserve">DT006</t>
  </si>
  <si>
    <t xml:space="preserve">Sielec 6</t>
  </si>
  <si>
    <t xml:space="preserve">88-160 </t>
  </si>
  <si>
    <t xml:space="preserve">Janikowo</t>
  </si>
  <si>
    <t xml:space="preserve">https://emipak.pl/</t>
  </si>
  <si>
    <t xml:space="preserve">EKO BASKET</t>
  </si>
  <si>
    <t xml:space="preserve">EKOB</t>
  </si>
  <si>
    <t xml:space="preserve">DT007</t>
  </si>
  <si>
    <t xml:space="preserve">ul. Goplan 12</t>
  </si>
  <si>
    <t xml:space="preserve">52-340</t>
  </si>
  <si>
    <t xml:space="preserve">Wrocław</t>
  </si>
  <si>
    <t xml:space="preserve">DT008</t>
  </si>
  <si>
    <t xml:space="preserve">ul. Powązkowska 44C</t>
  </si>
  <si>
    <t xml:space="preserve">01-797</t>
  </si>
  <si>
    <t xml:space="preserve">Warszawa</t>
  </si>
  <si>
    <t xml:space="preserve">PROGRESS POLYMER COMPOUNDS Julia Trzebuniak</t>
  </si>
  <si>
    <t xml:space="preserve">DT009</t>
  </si>
  <si>
    <t xml:space="preserve">ul. Krapokowicka 15b</t>
  </si>
  <si>
    <t xml:space="preserve">45-760</t>
  </si>
  <si>
    <t xml:space="preserve">Opole</t>
  </si>
  <si>
    <t xml:space="preserve">RADOMSKO</t>
  </si>
  <si>
    <t xml:space="preserve">DT010</t>
  </si>
  <si>
    <t xml:space="preserve">Ul. Geodetów 8</t>
  </si>
  <si>
    <t xml:space="preserve">97-500 </t>
  </si>
  <si>
    <t xml:space="preserve">Radomsko</t>
  </si>
  <si>
    <t xml:space="preserve">44 / 3072 - 603</t>
  </si>
  <si>
    <t xml:space="preserve">www.petrecyclingteam.eu</t>
  </si>
  <si>
    <t xml:space="preserve">Jakub Mejer Argus</t>
  </si>
  <si>
    <t xml:space="preserve">DT011</t>
  </si>
  <si>
    <t xml:space="preserve">UL. Stoczniowców 8</t>
  </si>
  <si>
    <t xml:space="preserve">84-230 </t>
  </si>
  <si>
    <t xml:space="preserve">Rumia</t>
  </si>
  <si>
    <t xml:space="preserve">45 dni</t>
  </si>
  <si>
    <t xml:space="preserve">PLASTpro</t>
  </si>
  <si>
    <t xml:space="preserve">PLASTRO</t>
  </si>
  <si>
    <t xml:space="preserve">DT012</t>
  </si>
  <si>
    <t xml:space="preserve">ul. Azotowa 15 B</t>
  </si>
  <si>
    <t xml:space="preserve">41-50</t>
  </si>
  <si>
    <t xml:space="preserve">Chorzów</t>
  </si>
  <si>
    <t xml:space="preserve">http://plastpro.pl/</t>
  </si>
  <si>
    <t xml:space="preserve">KGL</t>
  </si>
  <si>
    <t xml:space="preserve">DT013</t>
  </si>
  <si>
    <t xml:space="preserve">Klaudyn, Gen. W.Sikorskiego 17</t>
  </si>
  <si>
    <t xml:space="preserve">05-080</t>
  </si>
  <si>
    <t xml:space="preserve">Izabelin</t>
  </si>
  <si>
    <t xml:space="preserve">EKOCHEM</t>
  </si>
  <si>
    <t xml:space="preserve">DT014</t>
  </si>
  <si>
    <t xml:space="preserve">HEXPOL</t>
  </si>
  <si>
    <t xml:space="preserve">DT015</t>
  </si>
  <si>
    <t xml:space="preserve">Max-Planck-Str. 3 </t>
  </si>
  <si>
    <t xml:space="preserve">Lichtenfels</t>
  </si>
  <si>
    <t xml:space="preserve">NEXEO PLASTICS</t>
  </si>
  <si>
    <t xml:space="preserve">NEXEO</t>
  </si>
  <si>
    <t xml:space="preserve">DT016</t>
  </si>
  <si>
    <t xml:space="preserve">GRUPA AZOTY</t>
  </si>
  <si>
    <t xml:space="preserve">AZOTY</t>
  </si>
  <si>
    <t xml:space="preserve">DT017</t>
  </si>
  <si>
    <t xml:space="preserve">Plastics Solution</t>
  </si>
  <si>
    <t xml:space="preserve">PLASTICS</t>
  </si>
  <si>
    <t xml:space="preserve">DT018</t>
  </si>
  <si>
    <t xml:space="preserve">ul. Franklina Roosevelta 120</t>
  </si>
  <si>
    <t xml:space="preserve">62-200</t>
  </si>
  <si>
    <t xml:space="preserve">Gniezno</t>
  </si>
  <si>
    <t xml:space="preserve">PLASTOPLAN POLSKA Sp. Z o.o.</t>
  </si>
  <si>
    <t xml:space="preserve">PLASTOPLAN</t>
  </si>
  <si>
    <t xml:space="preserve">DT019</t>
  </si>
  <si>
    <t xml:space="preserve">Al. Księcia J. Poniatowskiego 1</t>
  </si>
  <si>
    <t xml:space="preserve">03-901</t>
  </si>
  <si>
    <t xml:space="preserve">PACYGA</t>
  </si>
  <si>
    <t xml:space="preserve">DT020</t>
  </si>
  <si>
    <t xml:space="preserve">Poleczki 23 </t>
  </si>
  <si>
    <t xml:space="preserve">02-822</t>
  </si>
  <si>
    <t xml:space="preserve">A&amp;P</t>
  </si>
  <si>
    <t xml:space="preserve">DT021</t>
  </si>
  <si>
    <t xml:space="preserve">H&amp;Z</t>
  </si>
  <si>
    <t xml:space="preserve">DT022</t>
  </si>
  <si>
    <t xml:space="preserve">KIPIOT</t>
  </si>
  <si>
    <t xml:space="preserve">DT023</t>
  </si>
  <si>
    <t xml:space="preserve">BENVIC</t>
  </si>
  <si>
    <t xml:space="preserve">DT024</t>
  </si>
  <si>
    <t xml:space="preserve">LIFOCOLOR Farbplast Sp. Z o.o.</t>
  </si>
  <si>
    <t xml:space="preserve">LIFOCOLOR</t>
  </si>
  <si>
    <t xml:space="preserve">DB001</t>
  </si>
  <si>
    <t xml:space="preserve">BARWNIK</t>
  </si>
  <si>
    <t xml:space="preserve">ul. B. Raczkowskiego 2</t>
  </si>
  <si>
    <t xml:space="preserve">85-862 </t>
  </si>
  <si>
    <t xml:space="preserve">Bydgoszcz</t>
  </si>
  <si>
    <t xml:space="preserve">+48 52 323 81 60</t>
  </si>
  <si>
    <t xml:space="preserve">www.lifocolor.de/pl</t>
  </si>
  <si>
    <t xml:space="preserve">GABRIEL CHEMIE</t>
  </si>
  <si>
    <t xml:space="preserve">GABRIEL</t>
  </si>
  <si>
    <t xml:space="preserve">DB002</t>
  </si>
  <si>
    <t xml:space="preserve">ul. Obywatelska 128/152</t>
  </si>
  <si>
    <t xml:space="preserve">94-104</t>
  </si>
  <si>
    <t xml:space="preserve">Łódź</t>
  </si>
  <si>
    <t xml:space="preserve">42 253 73 55</t>
  </si>
  <si>
    <t xml:space="preserve">www.gabriel-chemie.com/</t>
  </si>
  <si>
    <t xml:space="preserve">GM COLOR</t>
  </si>
  <si>
    <t xml:space="preserve">GM</t>
  </si>
  <si>
    <t xml:space="preserve">DB003</t>
  </si>
  <si>
    <t xml:space="preserve">ul.Wojska Polskiego 65A</t>
  </si>
  <si>
    <t xml:space="preserve">85-825</t>
  </si>
  <si>
    <t xml:space="preserve">52 515 35 35</t>
  </si>
  <si>
    <t xml:space="preserve">office@gmcolor.pl</t>
  </si>
  <si>
    <t xml:space="preserve">WEST sp. Z o.o.</t>
  </si>
  <si>
    <t xml:space="preserve">WEST</t>
  </si>
  <si>
    <t xml:space="preserve">DB004</t>
  </si>
  <si>
    <t xml:space="preserve">ul. Fabryczna 4</t>
  </si>
  <si>
    <t xml:space="preserve">62-020</t>
  </si>
  <si>
    <t xml:space="preserve">Gortatowo</t>
  </si>
  <si>
    <t xml:space="preserve">61 817 33 16</t>
  </si>
  <si>
    <t xml:space="preserve">BAZA DOSTAWCÓW TWORZYW - OSOBY KONTAKTOWE</t>
  </si>
  <si>
    <t xml:space="preserve">Lp. </t>
  </si>
  <si>
    <t xml:space="preserve">OSOBA KONTATKOWA</t>
  </si>
  <si>
    <t xml:space="preserve">NR TEL OSOBA KONTAKT.</t>
  </si>
  <si>
    <t xml:space="preserve">E-MAIL DO OSOBY KONTAKOWEJ</t>
  </si>
  <si>
    <t xml:space="preserve">Marcin Świderski</t>
  </si>
  <si>
    <t xml:space="preserve">marcin@polimerprojekt.pl</t>
  </si>
  <si>
    <t xml:space="preserve">Irina Hipetinger</t>
  </si>
  <si>
    <t xml:space="preserve">Irina.hipetinger@kraiburg-tpe.com</t>
  </si>
  <si>
    <t xml:space="preserve">Grzegorz Szczypka</t>
  </si>
  <si>
    <t xml:space="preserve">szczypka.g@granpol.com.pl</t>
  </si>
  <si>
    <t xml:space="preserve">Joanna Balcerzak</t>
  </si>
  <si>
    <t xml:space="preserve">joanna.balcerzak@bcd-polymers.pl</t>
  </si>
  <si>
    <t xml:space="preserve">Magdalena Migut</t>
  </si>
  <si>
    <t xml:space="preserve">Magdalena.Migut@terplastics.com</t>
  </si>
  <si>
    <t xml:space="preserve">Jarosław Stoliński</t>
  </si>
  <si>
    <t xml:space="preserve">biuro@emipak.pl</t>
  </si>
  <si>
    <t xml:space="preserve">EKOBASKET</t>
  </si>
  <si>
    <t xml:space="preserve">Sławomir Puzio</t>
  </si>
  <si>
    <t xml:space="preserve">slawomir.puzio@ekobasket.pl</t>
  </si>
  <si>
    <t xml:space="preserve">Konrad Skuza</t>
  </si>
  <si>
    <t xml:space="preserve">Konrad.Skuza@resinex.com</t>
  </si>
  <si>
    <t xml:space="preserve">Jakub Bubelski</t>
  </si>
  <si>
    <t xml:space="preserve">Sylwia Miter</t>
  </si>
  <si>
    <t xml:space="preserve">sylwia.miter@ppc.pl</t>
  </si>
  <si>
    <t xml:space="preserve">Barbara Ciesielska</t>
  </si>
  <si>
    <t xml:space="preserve">882-112-172</t>
  </si>
  <si>
    <t xml:space="preserve">Barbara.Ciesielska@petrecyclingteam.eu</t>
  </si>
  <si>
    <t xml:space="preserve">Jakub Meyer</t>
  </si>
  <si>
    <t xml:space="preserve">jakub.mejer@argusjm.pl</t>
  </si>
  <si>
    <t xml:space="preserve">Bartosz Głowacki</t>
  </si>
  <si>
    <t xml:space="preserve">bartosz@plastpro.pl</t>
  </si>
  <si>
    <t xml:space="preserve">Ivan@plasticsolutions.pl</t>
  </si>
  <si>
    <t xml:space="preserve">Maria Bohdziewicz-Sikorska</t>
  </si>
  <si>
    <t xml:space="preserve">m.sikorska@plastoplan.pl</t>
  </si>
  <si>
    <t xml:space="preserve">Bartosz Rusicki</t>
  </si>
  <si>
    <t xml:space="preserve">+48 664 596 988  </t>
  </si>
  <si>
    <t xml:space="preserve">bartosz.rusicki@benvic.com </t>
  </si>
  <si>
    <t xml:space="preserve">ULTRA POLYMERS</t>
  </si>
  <si>
    <t xml:space="preserve">DT025</t>
  </si>
  <si>
    <t xml:space="preserve">Konrad Brywczyński</t>
  </si>
  <si>
    <t xml:space="preserve">konrad.brywczynski@ultrapolymers.com</t>
  </si>
  <si>
    <t xml:space="preserve">BAZA DOSTAWCÓW BARWNIKÓW- DANE PODSTAWOWE</t>
  </si>
  <si>
    <t xml:space="preserve">BAZA DOSTAWCÓW BARWNIKÓW - OSOBY KONTAKTOWE</t>
  </si>
  <si>
    <t xml:space="preserve">Stanowisko</t>
  </si>
  <si>
    <t xml:space="preserve">Adam Domagalski</t>
  </si>
  <si>
    <t xml:space="preserve">a.domagalski@lifocolor.pl</t>
  </si>
  <si>
    <t xml:space="preserve">Klaudia Sobek</t>
  </si>
  <si>
    <t xml:space="preserve">52 32 38 173</t>
  </si>
  <si>
    <t xml:space="preserve">Klaudia Sobek &lt;k.sobek@lifocolor.pl&gt;</t>
  </si>
  <si>
    <t xml:space="preserve">Specjalista ds. Obsługi Klienta / Customer Service Specialist</t>
  </si>
  <si>
    <t xml:space="preserve">Joanna Kirewicz</t>
  </si>
  <si>
    <t xml:space="preserve">694-482-092 </t>
  </si>
  <si>
    <t xml:space="preserve">j.kirewicz@pl.gabriel-chemie.com</t>
  </si>
  <si>
    <t xml:space="preserve">Sara Kibort-Łyczak </t>
  </si>
  <si>
    <t xml:space="preserve">513 600 258</t>
  </si>
  <si>
    <t xml:space="preserve">s.kibort-lyczak@gmcolor.pl</t>
  </si>
  <si>
    <t xml:space="preserve">Agata Wróblewicz</t>
  </si>
  <si>
    <t xml:space="preserve">Paulina Olejniczak</t>
  </si>
  <si>
    <t xml:space="preserve">KURS </t>
  </si>
  <si>
    <t xml:space="preserve">BAZA DOSTAWCÓW - RODZAJ ZAMAWIANEGO TWORZYWA</t>
  </si>
  <si>
    <t xml:space="preserve">Skrócona nazwa</t>
  </si>
  <si>
    <t xml:space="preserve">TWORZYWA / </t>
  </si>
  <si>
    <t xml:space="preserve">Rodzaj</t>
  </si>
  <si>
    <t xml:space="preserve">Oryginał / regranulat</t>
  </si>
  <si>
    <t xml:space="preserve">Kolor</t>
  </si>
  <si>
    <t xml:space="preserve">Nasza nazwa tworzywa </t>
  </si>
  <si>
    <t xml:space="preserve">Cena Jednostkowa </t>
  </si>
  <si>
    <t xml:space="preserve">PLN/ EURO </t>
  </si>
  <si>
    <t xml:space="preserve">Cena Jednostkowa w PLN</t>
  </si>
  <si>
    <t xml:space="preserve">Jednostka miary (kg)</t>
  </si>
  <si>
    <t xml:space="preserve">Średni czas dostawy
Ilość dni</t>
  </si>
  <si>
    <t xml:space="preserve">Uwagi</t>
  </si>
  <si>
    <t xml:space="preserve">POLIMER</t>
  </si>
  <si>
    <t xml:space="preserve">HDPE</t>
  </si>
  <si>
    <t xml:space="preserve">HDPE - HOSTALEN GC 7260</t>
  </si>
  <si>
    <t xml:space="preserve">NATURALNY</t>
  </si>
  <si>
    <t xml:space="preserve">1-POLIMER-HDPE-HOSTALEN-GC-7260-NATURAL</t>
  </si>
  <si>
    <t xml:space="preserve">PLN</t>
  </si>
  <si>
    <t xml:space="preserve">KG</t>
  </si>
  <si>
    <t xml:space="preserve">PC 12.80 UR - transparentne tworzywo, Wykorzystujemy je do produkcji : KHG - wszystkie elementy ; L&amp;P oraz HIC - do produkcji ŁAPKA (PL, DE,AT) ; LIDERPOOL (zaślepka basenowa)   </t>
  </si>
  <si>
    <t xml:space="preserve">PA6 GF 30% </t>
  </si>
  <si>
    <t xml:space="preserve">CZARNY</t>
  </si>
  <si>
    <t xml:space="preserve">1-POLIMER-PA6-GF30%-PLASTAMID-6-B28-G6-CZARNY</t>
  </si>
  <si>
    <t xml:space="preserve">PA6 GF 25% </t>
  </si>
  <si>
    <t xml:space="preserve">1-POLIMER-PA6-GF25%-PLASTAMID-6 B28-G5-NATURAL</t>
  </si>
  <si>
    <t xml:space="preserve">PA6 GF 50%</t>
  </si>
  <si>
    <t xml:space="preserve">PA6 - PLASTMID 6 B28 G1</t>
  </si>
  <si>
    <t xml:space="preserve">1-POLIMER-PA6-GF50%-PLASTAMID-6-B28-G10-NATURAL</t>
  </si>
  <si>
    <t xml:space="preserve">PA6 - PLASTMID 6 B28 CR</t>
  </si>
  <si>
    <t xml:space="preserve">1-POLIMER-PA6-PLASTAMID-6-B28-CR-NATURAL</t>
  </si>
  <si>
    <t xml:space="preserve">PP</t>
  </si>
  <si>
    <t xml:space="preserve">PP TATREN RM 45 55 </t>
  </si>
  <si>
    <t xml:space="preserve">1-POLIMER-PP-TATREN-RM-4555-NATURAL</t>
  </si>
  <si>
    <t xml:space="preserve">PP MOPLEN EP548R</t>
  </si>
  <si>
    <t xml:space="preserve">BIAŁY</t>
  </si>
  <si>
    <t xml:space="preserve">1-POLIMER-PP-MOPLEN-EP548R-BIAŁY</t>
  </si>
  <si>
    <t xml:space="preserve">PP HOMO</t>
  </si>
  <si>
    <t xml:space="preserve">TATREN HT 2511</t>
  </si>
  <si>
    <t xml:space="preserve">1-POLIMER-PP-HOMO-TATREN-HT-2511-NATURAL</t>
  </si>
  <si>
    <t xml:space="preserve">PS</t>
  </si>
  <si>
    <t xml:space="preserve">SYNTHOS PS HI 552 M</t>
  </si>
  <si>
    <t xml:space="preserve">1-POLIMER-PS-SYNTHOS-PS-HI-552 M-NATURAL</t>
  </si>
  <si>
    <t xml:space="preserve">SYNTHOS PS GP-525</t>
  </si>
  <si>
    <t xml:space="preserve">1-POLIMER-PS-SYNTHOS PS GP 525-NATURAL</t>
  </si>
  <si>
    <t xml:space="preserve">PC </t>
  </si>
  <si>
    <t xml:space="preserve">12.20 UR</t>
  </si>
  <si>
    <t xml:space="preserve">TRANSPARENT</t>
  </si>
  <si>
    <t xml:space="preserve">1-POLIMER-PC-12.20 UR-TRANSPARENT</t>
  </si>
  <si>
    <t xml:space="preserve">PA6 bez włókna - B1</t>
  </si>
  <si>
    <t xml:space="preserve">1-POLIMER-PA6</t>
  </si>
  <si>
    <t xml:space="preserve">12.80 UR</t>
  </si>
  <si>
    <t xml:space="preserve">1-POLIMER-PC-12.80 UR-TRANSPARENT</t>
  </si>
  <si>
    <t xml:space="preserve">TPE-S </t>
  </si>
  <si>
    <t xml:space="preserve">TF6OQD-LCNT_B102</t>
  </si>
  <si>
    <t xml:space="preserve">1-KRAIBURG-TPE-S_TF6OQD-LCNT_B102-NATURAL</t>
  </si>
  <si>
    <t xml:space="preserve">EUR</t>
  </si>
  <si>
    <t xml:space="preserve">HRC9480/230</t>
  </si>
  <si>
    <t xml:space="preserve">1-KRAIBURG-TPE-S_HRC9480/230-NATURAL</t>
  </si>
  <si>
    <t xml:space="preserve">HRC9480/451</t>
  </si>
  <si>
    <t xml:space="preserve">1-KRAIBURG-TPE-S_HRC9480/451-NATURAL</t>
  </si>
  <si>
    <t xml:space="preserve">GPL-GRANSEB -  45G/000/139</t>
  </si>
  <si>
    <t xml:space="preserve">1-GRANPOL-TPE-S_GPL-GRANSEB-45G/000/139-NATURAL</t>
  </si>
  <si>
    <t xml:space="preserve">GPL-GRANSEB - 80G/000/139</t>
  </si>
  <si>
    <t xml:space="preserve">1-GRANPOL-TPE-S_GPL-GRANSEB-80G/000/139-NATURAL</t>
  </si>
  <si>
    <t xml:space="preserve">GPL-GRANSEB 75G/transp1/139 </t>
  </si>
  <si>
    <t xml:space="preserve">1-GRANPOL-TPE-S_GPL-GRANSEB-75G/transp1/139-NATURAL</t>
  </si>
  <si>
    <t xml:space="preserve">HDPE - SIBUR PE</t>
  </si>
  <si>
    <t xml:space="preserve">1-BCD-HDPE-SIBUR-PE-NATURAL</t>
  </si>
  <si>
    <t xml:space="preserve">Tipplen K 295 A</t>
  </si>
  <si>
    <t xml:space="preserve">1-BCD-PP-TIPPLEN-K295A-NATURAL</t>
  </si>
  <si>
    <t xml:space="preserve">TATREN- IM2263</t>
  </si>
  <si>
    <t xml:space="preserve">1-BCD-PP-TATREN-IM2263-NATURAL</t>
  </si>
  <si>
    <t xml:space="preserve">TEREZ B305</t>
  </si>
  <si>
    <t xml:space="preserve">1-TERPLASTICS-PA6-TEREZ-B305-NATURAL</t>
  </si>
  <si>
    <t xml:space="preserve">2-EMIPAK-PC-BIAŁY</t>
  </si>
  <si>
    <t xml:space="preserve">ABS</t>
  </si>
  <si>
    <t xml:space="preserve">ABS </t>
  </si>
  <si>
    <t xml:space="preserve">2-EKOBASKET-ABS-BIAŁY</t>
  </si>
  <si>
    <t xml:space="preserve">2-EKOBASKET-ABS-NATURAL</t>
  </si>
  <si>
    <t xml:space="preserve">PP+20T </t>
  </si>
  <si>
    <t xml:space="preserve"> PP+20T </t>
  </si>
  <si>
    <t xml:space="preserve">2-EKOBASKET-PP+20T-CZARNY</t>
  </si>
  <si>
    <t xml:space="preserve">2-EKOBASKET-PC-BIAŁY</t>
  </si>
  <si>
    <t xml:space="preserve">ABS HI 121H</t>
  </si>
  <si>
    <t xml:space="preserve">1-RESINEX-ABS-HI121H-NATURAL</t>
  </si>
  <si>
    <t xml:space="preserve">ABS HF380</t>
  </si>
  <si>
    <t xml:space="preserve">1-RESINEX-ABS-HF380-BIAŁY</t>
  </si>
  <si>
    <t xml:space="preserve">ASA</t>
  </si>
  <si>
    <t xml:space="preserve">ASA  LG CHEM LI911</t>
  </si>
  <si>
    <t xml:space="preserve">1-RESINEX-ASA-LG-CHEM-LI911-NATURAL</t>
  </si>
  <si>
    <t xml:space="preserve">POM</t>
  </si>
  <si>
    <t xml:space="preserve">POM C27N</t>
  </si>
  <si>
    <t xml:space="preserve">1-RESINEX-POM-C27N-NATURAL</t>
  </si>
  <si>
    <t xml:space="preserve">POM </t>
  </si>
  <si>
    <t xml:space="preserve">HOSTAFORM C9021</t>
  </si>
  <si>
    <t xml:space="preserve">1-RESINEX-POM-HOSTAFORM-C9021-NATURAL</t>
  </si>
  <si>
    <t xml:space="preserve">PP RANDOM YUPLENE R392Y</t>
  </si>
  <si>
    <t xml:space="preserve">1-RESINEX-PP-RANDOM-YUPLENE-R392Y-NATURAL</t>
  </si>
  <si>
    <t xml:space="preserve">PP RANDOM ADVANCE 400 </t>
  </si>
  <si>
    <t xml:space="preserve">1-RESINEX-PP-RANDOM-ADVANCE-400-NATURAL</t>
  </si>
  <si>
    <t xml:space="preserve">PP GF 30%</t>
  </si>
  <si>
    <t xml:space="preserve">SCOLEFIN 53-G</t>
  </si>
  <si>
    <t xml:space="preserve">1-RESINEX-PP-GF30%-SCOLEFIN-53G-NATURAL</t>
  </si>
  <si>
    <t xml:space="preserve">Mafill CR HG 3541</t>
  </si>
  <si>
    <t xml:space="preserve">1-RESINEX-PP-GF30%-MAFILL-CR-HG3541-NATURAL</t>
  </si>
  <si>
    <t xml:space="preserve">TPE</t>
  </si>
  <si>
    <t xml:space="preserve">ELASTOMER 30A RAVAGO</t>
  </si>
  <si>
    <t xml:space="preserve">1-RESINEX-TPE-ELASTOMER 30A RAVAGO-NATURAL</t>
  </si>
  <si>
    <t xml:space="preserve">TPU</t>
  </si>
  <si>
    <t xml:space="preserve">RAVATHANE 130A93</t>
  </si>
  <si>
    <t xml:space="preserve">1-RESINEX-TPU-RAVATHANE-130A93</t>
  </si>
  <si>
    <t xml:space="preserve">2-PROGRESS-ABS-CZARNY</t>
  </si>
  <si>
    <t xml:space="preserve">PP </t>
  </si>
  <si>
    <t xml:space="preserve"> rPP CZARNY</t>
  </si>
  <si>
    <t xml:space="preserve">2-PROGRESS-PP-CZARNY</t>
  </si>
  <si>
    <t xml:space="preserve"> rPP BIAŁY</t>
  </si>
  <si>
    <t xml:space="preserve">2-PROGRESS-PP-BIAŁY</t>
  </si>
  <si>
    <t xml:space="preserve">PET</t>
  </si>
  <si>
    <t xml:space="preserve">r+PET CL80</t>
  </si>
  <si>
    <t xml:space="preserve">2-RADOMSKO-PET-CL80-NATURAL</t>
  </si>
  <si>
    <t xml:space="preserve">RÓŻOWY</t>
  </si>
  <si>
    <t xml:space="preserve">1-ARGUS-ABS-RÓŻOWY</t>
  </si>
  <si>
    <t xml:space="preserve">ŻÓŁTY</t>
  </si>
  <si>
    <t xml:space="preserve">1-ARGUS-ABS-ŻÓŁTY</t>
  </si>
  <si>
    <t xml:space="preserve">MIĘTA</t>
  </si>
  <si>
    <t xml:space="preserve">1-ARGUS-ABS-MIĘTA</t>
  </si>
  <si>
    <t xml:space="preserve">CORAL</t>
  </si>
  <si>
    <t xml:space="preserve">1-ARGUS-ABS-CORAL</t>
  </si>
  <si>
    <t xml:space="preserve">LIME</t>
  </si>
  <si>
    <t xml:space="preserve">1-ARGUS-ABS-LIME</t>
  </si>
  <si>
    <t xml:space="preserve">CLOUD</t>
  </si>
  <si>
    <t xml:space="preserve">1-ARGUS-ABS-CLOUD</t>
  </si>
  <si>
    <t xml:space="preserve">rPC</t>
  </si>
  <si>
    <t xml:space="preserve">2-ARGUS-PC-CZARNY</t>
  </si>
  <si>
    <t xml:space="preserve">2-ARGUS-PC-BIAŁY</t>
  </si>
  <si>
    <t xml:space="preserve">1-PLASTPRO-PC-BIAŁY</t>
  </si>
  <si>
    <t xml:space="preserve">2-PLASTPRO-PC-BIAŁY</t>
  </si>
  <si>
    <t xml:space="preserve">KGL S.A.</t>
  </si>
  <si>
    <t xml:space="preserve">ASA - STAREX WR-9120 NP. </t>
  </si>
  <si>
    <t xml:space="preserve">1-KGLSA-ASA-STAREX-WR-9120NP-NATURAL</t>
  </si>
  <si>
    <t xml:space="preserve">ASA - STAREX WR9120 W94848 </t>
  </si>
  <si>
    <t xml:space="preserve">1-KGLSA-ASA-STAREX-WR9120-W94848-BIAŁY</t>
  </si>
  <si>
    <t xml:space="preserve">TPE </t>
  </si>
  <si>
    <t xml:space="preserve">2-EKOCHEM-TPE-NATURAL</t>
  </si>
  <si>
    <t xml:space="preserve">1-HEXPOL-TPE-DRYFLEX-UV-403731-TRANSPARENT</t>
  </si>
  <si>
    <t xml:space="preserve">DRYFLEX-UV-803731-1</t>
  </si>
  <si>
    <t xml:space="preserve">1-HEXPOL-DRYFLEX-UV-803731-1_TRANSPARENT</t>
  </si>
  <si>
    <t xml:space="preserve">ABS MAGNUM 8391 </t>
  </si>
  <si>
    <t xml:space="preserve">1-NEXEO-ABS-MAGNUM8391-NATURAL</t>
  </si>
  <si>
    <t xml:space="preserve">PA6 - TARNAMID T27</t>
  </si>
  <si>
    <t xml:space="preserve">1-AZOTY-PA6-TARNAMID-T27-NATURAL</t>
  </si>
  <si>
    <t xml:space="preserve">PA6 - TARNAMID T-27 GF25 </t>
  </si>
  <si>
    <t xml:space="preserve">1-AZOTY-PA6-GF25%-TERNAMID-T-27-GF25-NATURAL</t>
  </si>
  <si>
    <t xml:space="preserve">PLASTICS SOLUTION</t>
  </si>
  <si>
    <t xml:space="preserve">Plastics</t>
  </si>
  <si>
    <t xml:space="preserve">2-PLASTICS-PS-CZARNY</t>
  </si>
  <si>
    <t xml:space="preserve">ALFA-PLAST</t>
  </si>
  <si>
    <t xml:space="preserve">ALFAPLAST</t>
  </si>
  <si>
    <t xml:space="preserve">2-ALFAPLAST-PP-BIAŁY</t>
  </si>
  <si>
    <t xml:space="preserve">PA6 + 15% DREWNA</t>
  </si>
  <si>
    <t xml:space="preserve">1-PACYGA-PA6-15% DREWNA-NATURAL</t>
  </si>
  <si>
    <t xml:space="preserve">PLA</t>
  </si>
  <si>
    <t xml:space="preserve">PLA Z KONOPIĄ</t>
  </si>
  <si>
    <t xml:space="preserve">2-PACYGA-PLA-KONOPIA-NATURAL</t>
  </si>
  <si>
    <t xml:space="preserve">PS HIPS</t>
  </si>
  <si>
    <t xml:space="preserve">2-A&amp;P-PS-HIPS-WIESZAKI-BIAŁY</t>
  </si>
  <si>
    <t xml:space="preserve">2-H&amp;Z-PS-HIPS-CZARNY</t>
  </si>
  <si>
    <t xml:space="preserve">APILON 52A 6505</t>
  </si>
  <si>
    <t xml:space="preserve">2-KIPIOT-TPU-APILON 52A 6505-NATURAL</t>
  </si>
  <si>
    <t xml:space="preserve">PVC</t>
  </si>
  <si>
    <t xml:space="preserve">PVC-ST/P81CZ-O</t>
  </si>
  <si>
    <t xml:space="preserve">1-BENVIC-PVC-ST/P81CZ-O-CZARNY</t>
  </si>
  <si>
    <t xml:space="preserve">LOOPLIFE POLYMERS</t>
  </si>
  <si>
    <t xml:space="preserve">LOOPLIFE</t>
  </si>
  <si>
    <t xml:space="preserve">R-PLA05A-30-MK</t>
  </si>
  <si>
    <t xml:space="preserve">2-LOOPLIFE-PLA-05A30-MK-NATURAL</t>
  </si>
  <si>
    <t xml:space="preserve">PROGRESS  </t>
  </si>
  <si>
    <t xml:space="preserve">2-PROGRESS-ABS-BIAŁY</t>
  </si>
  <si>
    <t xml:space="preserve">1-BCD-PP-TATREN-HT-2511-NATURAL</t>
  </si>
  <si>
    <t xml:space="preserve">1-BCD-HDPE-HOSTALEN-GC-7260-NATURAL</t>
  </si>
  <si>
    <t xml:space="preserve">HISTORIA ZAMÓWIEŃ TWORZYW</t>
  </si>
  <si>
    <t xml:space="preserve">Numer dostawcy</t>
  </si>
  <si>
    <t xml:space="preserve">Nr zamówienia 
WEWNĘTRZNY</t>
  </si>
  <si>
    <t xml:space="preserve">Nr zamówienia Klienta / potwierdzenie mail</t>
  </si>
  <si>
    <t xml:space="preserve">TWORZYWO/
BARWNIK</t>
  </si>
  <si>
    <t xml:space="preserve">Data zamówienia</t>
  </si>
  <si>
    <t xml:space="preserve">Nowa nazwa tworzywa</t>
  </si>
  <si>
    <t xml:space="preserve">Ilość na zamówieniu</t>
  </si>
  <si>
    <t xml:space="preserve">Ilość na f-rze</t>
  </si>
  <si>
    <t xml:space="preserve">Jednostka</t>
  </si>
  <si>
    <t xml:space="preserve">Cena w EURO</t>
  </si>
  <si>
    <t xml:space="preserve">Cena całościowa  w EURO</t>
  </si>
  <si>
    <t xml:space="preserve">Kurs Euro</t>
  </si>
  <si>
    <t xml:space="preserve">Cena jednostkowa PLN</t>
  </si>
  <si>
    <t xml:space="preserve">Wartość zamówienia</t>
  </si>
  <si>
    <t xml:space="preserve">Nr faktury Vat</t>
  </si>
  <si>
    <t xml:space="preserve">Planowana data dostawy</t>
  </si>
  <si>
    <t xml:space="preserve">Faktyczna data dostawy</t>
  </si>
  <si>
    <t xml:space="preserve">Dni opóźnienia</t>
  </si>
  <si>
    <t xml:space="preserve">Status zamówienia2</t>
  </si>
  <si>
    <t xml:space="preserve">STAN MAGAZYNOWY'</t>
  </si>
  <si>
    <t xml:space="preserve">ZT-KRA-2025-11-001</t>
  </si>
  <si>
    <t xml:space="preserve">Dostarczono</t>
  </si>
  <si>
    <t xml:space="preserve">opóźnienie w dostawie, ma być 16.01</t>
  </si>
  <si>
    <t xml:space="preserve">ZT-PPR-2025-11-002</t>
  </si>
  <si>
    <t xml:space="preserve">MAIL</t>
  </si>
  <si>
    <t xml:space="preserve">dostawa 19.11.2025 potwierdzone przez Sławka</t>
  </si>
  <si>
    <t xml:space="preserve">ZT-GRA-2025-11-003</t>
  </si>
  <si>
    <t xml:space="preserve">105/11/25</t>
  </si>
  <si>
    <t xml:space="preserve">ZT-BCD-2025-11-004</t>
  </si>
  <si>
    <t xml:space="preserve">IM 2263</t>
  </si>
  <si>
    <t xml:space="preserve">1-BCDPO-PP-TATREN-IM2263-NATURAL</t>
  </si>
  <si>
    <t xml:space="preserve">500 kg -odbiór własny z Suchego Lasu, cena ustalona na 5,30
875 kg - kurier przywiezie 02.12 wt cena 5,50</t>
  </si>
  <si>
    <t xml:space="preserve">ZT-TER-2025-11-005</t>
  </si>
  <si>
    <t xml:space="preserve">ZT-RES-2025-11-006</t>
  </si>
  <si>
    <t xml:space="preserve">Mail</t>
  </si>
  <si>
    <t xml:space="preserve">ZT-KRA-2025-12-001</t>
  </si>
  <si>
    <t xml:space="preserve">HRC</t>
  </si>
  <si>
    <t xml:space="preserve">HRC 9480/451</t>
  </si>
  <si>
    <t xml:space="preserve">ZT- EMIPAK-2025-12-002</t>
  </si>
  <si>
    <t xml:space="preserve">BIAŁE</t>
  </si>
  <si>
    <t xml:space="preserve">9/2026</t>
  </si>
  <si>
    <t xml:space="preserve">11/2026</t>
  </si>
  <si>
    <t xml:space="preserve">ZT-TER-2025-12-003</t>
  </si>
  <si>
    <t xml:space="preserve">błędny opis na 1 palecie, tworzywo to samo</t>
  </si>
  <si>
    <t xml:space="preserve">ZT-RES-2025-12-004</t>
  </si>
  <si>
    <t xml:space="preserve">LG CHEM LI911</t>
  </si>
  <si>
    <t xml:space="preserve">ZT-EKOB-2025-12-005</t>
  </si>
  <si>
    <t xml:space="preserve">PP+20T</t>
  </si>
  <si>
    <t xml:space="preserve">Opóźniona dostawa</t>
  </si>
  <si>
    <t xml:space="preserve">ZT-ARG-2025-12-006</t>
  </si>
  <si>
    <t xml:space="preserve">(S)FS-8/1/26</t>
  </si>
  <si>
    <t xml:space="preserve">ZT-RES-2025-12-007</t>
  </si>
  <si>
    <t xml:space="preserve">26000127</t>
  </si>
  <si>
    <t xml:space="preserve">ZT-GRA-2025-12-008</t>
  </si>
  <si>
    <t xml:space="preserve">83/12/25</t>
  </si>
  <si>
    <t xml:space="preserve">ZT-RES-2025-12-009</t>
  </si>
  <si>
    <t xml:space="preserve"> RANDOM YUPLENE R392Y</t>
  </si>
  <si>
    <t xml:space="preserve">26000129</t>
  </si>
  <si>
    <t xml:space="preserve">ZT-PPR-2025-12-010</t>
  </si>
  <si>
    <t xml:space="preserve">FS/21/01/2026</t>
  </si>
  <si>
    <t xml:space="preserve">ZT-PPR-2025-12-011</t>
  </si>
  <si>
    <t xml:space="preserve">ZT-PRO-2025-12-012</t>
  </si>
  <si>
    <t xml:space="preserve">rABS CZARNY</t>
  </si>
  <si>
    <t xml:space="preserve">1/01/26</t>
  </si>
  <si>
    <t xml:space="preserve">ZT-KRA-2026-01-001</t>
  </si>
  <si>
    <t xml:space="preserve">HRC 9480/230</t>
  </si>
  <si>
    <t xml:space="preserve">91185203</t>
  </si>
  <si>
    <t xml:space="preserve">91185309</t>
  </si>
  <si>
    <t xml:space="preserve">ZT-PPR-2026-01-002</t>
  </si>
  <si>
    <t xml:space="preserve">PA6 - PLASTMID 6 B28 G10</t>
  </si>
  <si>
    <t xml:space="preserve">FS/255/01/2026</t>
  </si>
  <si>
    <t xml:space="preserve">ZT-PPR-2026-01-003</t>
  </si>
  <si>
    <t xml:space="preserve">domówienie do zamówienia ZT-PP-2025-12-010</t>
  </si>
  <si>
    <t xml:space="preserve">ZT-RAD-2026-01-004</t>
  </si>
  <si>
    <t xml:space="preserve">r+PET</t>
  </si>
  <si>
    <t xml:space="preserve">r+PET CL M</t>
  </si>
  <si>
    <t xml:space="preserve">761-AR-001930</t>
  </si>
  <si>
    <t xml:space="preserve">ZT-PPR-2026-01-005</t>
  </si>
  <si>
    <t xml:space="preserve">FS/17/02/2026</t>
  </si>
  <si>
    <t xml:space="preserve">niższa cena 11,50 zł</t>
  </si>
  <si>
    <t xml:space="preserve">ZT-RES-2026-01-006</t>
  </si>
  <si>
    <t xml:space="preserve">ZT-ARG-2026-01-007</t>
  </si>
  <si>
    <t xml:space="preserve">(S)FS-10/2/26</t>
  </si>
  <si>
    <t xml:space="preserve">ZT-PRO-2026-02-001</t>
  </si>
  <si>
    <t xml:space="preserve">17/02/2026</t>
  </si>
  <si>
    <t xml:space="preserve">1 paleta dojechała 02.03, 2 palety dojechały</t>
  </si>
  <si>
    <t xml:space="preserve">10/03/2026</t>
  </si>
  <si>
    <t xml:space="preserve">ZT- EMI-2026-02-002</t>
  </si>
  <si>
    <t xml:space="preserve">HEXPOL TPE </t>
  </si>
  <si>
    <t xml:space="preserve">ZT-HEX-2026-02-003</t>
  </si>
  <si>
    <t xml:space="preserve">A0126010436</t>
  </si>
  <si>
    <t xml:space="preserve">DRYFLEX</t>
  </si>
  <si>
    <t xml:space="preserve">DRYFLEX UV 403731 </t>
  </si>
  <si>
    <t xml:space="preserve">DRYFLEX UV 803731-1</t>
  </si>
  <si>
    <t xml:space="preserve">ZT-PLA-2026-02-004</t>
  </si>
  <si>
    <t xml:space="preserve">PC ORYGINAŁ</t>
  </si>
  <si>
    <t xml:space="preserve">004/2/26/FVS</t>
  </si>
  <si>
    <t xml:space="preserve">Cena z transportem</t>
  </si>
  <si>
    <t xml:space="preserve">ZT-RES-2026-02-005</t>
  </si>
  <si>
    <t xml:space="preserve">TPU-RAVATHANE 130A93</t>
  </si>
  <si>
    <t xml:space="preserve">ZT-EMI-2026-02-006</t>
  </si>
  <si>
    <t xml:space="preserve">FV 14/2026</t>
  </si>
  <si>
    <t xml:space="preserve">ZT-EMI-2026-02-007</t>
  </si>
  <si>
    <t xml:space="preserve">ZT-TER-2026-02-008</t>
  </si>
  <si>
    <t xml:space="preserve">1299360</t>
  </si>
  <si>
    <t xml:space="preserve">ZT-EMI-2026-02-009</t>
  </si>
  <si>
    <t xml:space="preserve">FV 23/2026</t>
  </si>
  <si>
    <t xml:space="preserve">FV 25/2026</t>
  </si>
  <si>
    <t xml:space="preserve">ZT-GRA-2026-03-001</t>
  </si>
  <si>
    <t xml:space="preserve">07/03/2026</t>
  </si>
  <si>
    <t xml:space="preserve">0001/3/2026/FVSW</t>
  </si>
  <si>
    <t xml:space="preserve">ZT-PPR-2026-03-002</t>
  </si>
  <si>
    <t xml:space="preserve">FS/179/03/2026</t>
  </si>
  <si>
    <t xml:space="preserve">ZT-RES-2026-03-003</t>
  </si>
  <si>
    <t xml:space="preserve">ZT-PRO-2026-03-004</t>
  </si>
  <si>
    <t xml:space="preserve">rABS BIAŁY</t>
  </si>
  <si>
    <t xml:space="preserve">13/03/2026</t>
  </si>
  <si>
    <t xml:space="preserve">ZT-PPR-2026-03-005</t>
  </si>
  <si>
    <t xml:space="preserve">ZT-PRO-2026-03-006</t>
  </si>
  <si>
    <t xml:space="preserve">21/03/2026</t>
  </si>
  <si>
    <t xml:space="preserve">33/03/2026</t>
  </si>
  <si>
    <t xml:space="preserve">II PARTIA</t>
  </si>
  <si>
    <t xml:space="preserve">III PARTIA</t>
  </si>
  <si>
    <t xml:space="preserve">ZT-PPR-2026-03-007</t>
  </si>
  <si>
    <t xml:space="preserve">PP TATREN HT2511</t>
  </si>
  <si>
    <t xml:space="preserve">FS/286/03/2026</t>
  </si>
  <si>
    <t xml:space="preserve">ZT-BCD-2026-03-008</t>
  </si>
  <si>
    <t xml:space="preserve">PP TIPPLEN R 960 A</t>
  </si>
  <si>
    <t xml:space="preserve">1-BCD-PP-TIPPLEN-R960A-NATURAL</t>
  </si>
  <si>
    <t xml:space="preserve">D060083896</t>
  </si>
  <si>
    <t xml:space="preserve">ZT-BCD-2026-03-009</t>
  </si>
  <si>
    <t xml:space="preserve">HDPE HOSTALEN GC 7260</t>
  </si>
  <si>
    <t xml:space="preserve">ZT-BCD-2026-03-010</t>
  </si>
  <si>
    <t xml:space="preserve">D060083817</t>
  </si>
  <si>
    <t xml:space="preserve">ZT-BCD-2026-03-011</t>
  </si>
  <si>
    <t xml:space="preserve">HT2511</t>
  </si>
  <si>
    <t xml:space="preserve">D060084164</t>
  </si>
  <si>
    <t xml:space="preserve">ZT-KGL-2026-03-012</t>
  </si>
  <si>
    <t xml:space="preserve">ASA -STAREX WR9120 W94848</t>
  </si>
  <si>
    <t xml:space="preserve">(S)FSE-DTSK1/2026/03/00000342</t>
  </si>
  <si>
    <t xml:space="preserve">ZT-PLA-2026-03-013</t>
  </si>
  <si>
    <t xml:space="preserve">LG ASA LI911 NP.</t>
  </si>
  <si>
    <t xml:space="preserve">1-PLASTOPLAN-ASA-LG-CHEM-LI911-NATURAL</t>
  </si>
  <si>
    <t xml:space="preserve">000312/2026/FVS, 000311/2026/FVS</t>
  </si>
  <si>
    <t xml:space="preserve">ZT-PPR-2026-03-014</t>
  </si>
  <si>
    <t xml:space="preserve">PC – 12.80 UR</t>
  </si>
  <si>
    <t xml:space="preserve">FS/487/03/2026</t>
  </si>
  <si>
    <t xml:space="preserve">ZT-TER-2026-03-015</t>
  </si>
  <si>
    <t xml:space="preserve">1300741</t>
  </si>
  <si>
    <t xml:space="preserve">ZT-PPR-2026-03-016</t>
  </si>
  <si>
    <t xml:space="preserve">PA6 naturalny - bez włókna - B1 </t>
  </si>
  <si>
    <t xml:space="preserve">FS/21/04/2026</t>
  </si>
  <si>
    <t xml:space="preserve">ZT-PLS-2026-03-017</t>
  </si>
  <si>
    <t xml:space="preserve">rPS</t>
  </si>
  <si>
    <t xml:space="preserve">rPS czarny</t>
  </si>
  <si>
    <t xml:space="preserve">ZT-RES-2026-03-018</t>
  </si>
  <si>
    <t xml:space="preserve">ZT-EKO-2026-03-019</t>
  </si>
  <si>
    <t xml:space="preserve">ZT-ARG-2026-03-020</t>
  </si>
  <si>
    <t xml:space="preserve">rPC </t>
  </si>
  <si>
    <t xml:space="preserve">(S) FS-3/4/26</t>
  </si>
  <si>
    <t xml:space="preserve">ZT-PRO-2026-03-021</t>
  </si>
  <si>
    <t xml:space="preserve">ZT-PPR-2026-03-022</t>
  </si>
  <si>
    <t xml:space="preserve">PA6 - PLASTAMID 6 B28 CR / PA6 naturalny - bez włókna - B1</t>
  </si>
  <si>
    <t xml:space="preserve">ZT-PPR-2026-03-023</t>
  </si>
  <si>
    <t xml:space="preserve">PA6 - PLASTAMID 6 B28 G6  + GF30</t>
  </si>
  <si>
    <t xml:space="preserve">FS/112/04/2026</t>
  </si>
  <si>
    <t xml:space="preserve">ZT-BCD-2026-03-024</t>
  </si>
  <si>
    <t xml:space="preserve">D060084417</t>
  </si>
  <si>
    <t xml:space="preserve">ZT-PPR-2026-03-025</t>
  </si>
  <si>
    <t xml:space="preserve">ZT-KRA-2026-03-026</t>
  </si>
  <si>
    <t xml:space="preserve">ZT-KRA-2026-03-027</t>
  </si>
  <si>
    <t xml:space="preserve">ZT-PRO-2026-03-028</t>
  </si>
  <si>
    <t xml:space="preserve">rPP CZARNY</t>
  </si>
  <si>
    <t xml:space="preserve">OPÓŹNIONA DOSTAWA</t>
  </si>
  <si>
    <t xml:space="preserve">ZT-PLA-2026-03-029</t>
  </si>
  <si>
    <t xml:space="preserve">ABS HI121H </t>
  </si>
  <si>
    <t xml:space="preserve">1-PLASTOPLAN-ABS-HI121H-NATURAL</t>
  </si>
  <si>
    <t xml:space="preserve">000/394/2026/FVW</t>
  </si>
  <si>
    <t xml:space="preserve">ZT-PRO-2026-03-030</t>
  </si>
  <si>
    <t xml:space="preserve">I PARTIA PROGRESS</t>
  </si>
  <si>
    <t xml:space="preserve">ZT-GRA-2026-03-031</t>
  </si>
  <si>
    <t xml:space="preserve">171/03/26</t>
  </si>
  <si>
    <t xml:space="preserve">GPL-GRANSEB - 80G/000/139S</t>
  </si>
  <si>
    <t xml:space="preserve">I partia Granpol</t>
  </si>
  <si>
    <t xml:space="preserve">II partia Granpol</t>
  </si>
  <si>
    <t xml:space="preserve">ZT-GRA-2026-03-032</t>
  </si>
  <si>
    <t xml:space="preserve">191/03/26</t>
  </si>
  <si>
    <t xml:space="preserve">III partia Granpol</t>
  </si>
  <si>
    <t xml:space="preserve">ZT-RES-2026-03-033</t>
  </si>
  <si>
    <t xml:space="preserve">ABSHF380 WHITE</t>
  </si>
  <si>
    <t xml:space="preserve">ZT-BEN-2026-04-001</t>
  </si>
  <si>
    <t xml:space="preserve">PVC-ST/P81CZ-O-CZARNY</t>
  </si>
  <si>
    <t xml:space="preserve">0318/2026</t>
  </si>
  <si>
    <t xml:space="preserve">ZT-PRO-2026-04-002</t>
  </si>
  <si>
    <t xml:space="preserve">ZT-PRO-2026-04-003</t>
  </si>
  <si>
    <t xml:space="preserve">ZT-PRO-2026-04-004</t>
  </si>
  <si>
    <t xml:space="preserve">ZT-PLS-2026-04-005</t>
  </si>
  <si>
    <t xml:space="preserve">ZT-PRO-2026-04-006</t>
  </si>
  <si>
    <t xml:space="preserve">rPP BIAŁY</t>
  </si>
  <si>
    <t xml:space="preserve">ZT-PPR-2026-04-007</t>
  </si>
  <si>
    <t xml:space="preserve">FS/202/04/2026</t>
  </si>
  <si>
    <t xml:space="preserve">PA6 - PLASTAMID 6 B10 G10  + GF50</t>
  </si>
  <si>
    <t xml:space="preserve">ZT-EMI-2026-04-008</t>
  </si>
  <si>
    <t xml:space="preserve">FV/36/2026</t>
  </si>
  <si>
    <t xml:space="preserve">ZT-RES-2026-04-009</t>
  </si>
  <si>
    <t xml:space="preserve">ZT-HEX-2026-04-010</t>
  </si>
  <si>
    <t xml:space="preserve">A0126041676</t>
  </si>
  <si>
    <t xml:space="preserve">DRYFLEX PCR 403621-2</t>
  </si>
  <si>
    <t xml:space="preserve">ZT-KRA-2026-04-011</t>
  </si>
  <si>
    <t xml:space="preserve">HRC 9480/552</t>
  </si>
  <si>
    <t xml:space="preserve">1-KRAIBURG-TPE-S_HRC9480/552-NATURAL</t>
  </si>
  <si>
    <t xml:space="preserve">opóźniona dostawa</t>
  </si>
  <si>
    <t xml:space="preserve">ZT-EKO-2026-04-012</t>
  </si>
  <si>
    <t xml:space="preserve">wzrost ceny z 3,50 na 3,80</t>
  </si>
  <si>
    <t xml:space="preserve">ZT-PPR-2026-04-013</t>
  </si>
  <si>
    <t xml:space="preserve">25/06/26</t>
  </si>
  <si>
    <t xml:space="preserve">I PARTIA PROGRESS, OPÓŹNIONA DOSTAWA</t>
  </si>
  <si>
    <t xml:space="preserve">8/07/26</t>
  </si>
  <si>
    <t xml:space="preserve">II PARTIA PROGRESS, OPÓŹNIONA DOSTAWA</t>
  </si>
  <si>
    <t xml:space="preserve">ZT-PRO-2026-05-001</t>
  </si>
  <si>
    <t xml:space="preserve">I partia PROGRESS</t>
  </si>
  <si>
    <t xml:space="preserve">II partia PROGRESS</t>
  </si>
  <si>
    <t xml:space="preserve">ZT-PRO-2026-06-001</t>
  </si>
  <si>
    <t xml:space="preserve">7/07/26</t>
  </si>
  <si>
    <t xml:space="preserve">I partia Progress</t>
  </si>
  <si>
    <t xml:space="preserve">9/07/26</t>
  </si>
  <si>
    <t xml:space="preserve">II partia Progress</t>
  </si>
  <si>
    <t xml:space="preserve">ZT-PPR-2026-06-002</t>
  </si>
  <si>
    <t xml:space="preserve">PP MOPLEN EP 548 R</t>
  </si>
  <si>
    <t xml:space="preserve">1-POLIMER-PP-MOPLEN-EP-548R</t>
  </si>
  <si>
    <t xml:space="preserve">FS/182/06/2026</t>
  </si>
  <si>
    <t xml:space="preserve">ZT-PLS-2026-06-003</t>
  </si>
  <si>
    <t xml:space="preserve">ZT-RES-2026-06-004</t>
  </si>
  <si>
    <t xml:space="preserve">RANDOM YUPLENE R392Y</t>
  </si>
  <si>
    <t xml:space="preserve">I partia</t>
  </si>
  <si>
    <t xml:space="preserve">II partia</t>
  </si>
  <si>
    <t xml:space="preserve">ZT-ARG-2026-06-005</t>
  </si>
  <si>
    <t xml:space="preserve">r PC Białe</t>
  </si>
  <si>
    <t xml:space="preserve">S(FS)-3/7/26</t>
  </si>
  <si>
    <t xml:space="preserve">ZT-ARG-2026-06-006</t>
  </si>
  <si>
    <t xml:space="preserve">r PC Czarne</t>
  </si>
  <si>
    <t xml:space="preserve">ZT-RES-2026-06-007</t>
  </si>
  <si>
    <t xml:space="preserve">ZT-KRA-2026-06-008</t>
  </si>
  <si>
    <t xml:space="preserve">ZT-TER-2026-07-001</t>
  </si>
  <si>
    <t xml:space="preserve">ZT-PRO-2026-07-002</t>
  </si>
  <si>
    <t xml:space="preserve">ZT-BCD-2026-07-003</t>
  </si>
  <si>
    <t xml:space="preserve">ZT-PPR-2026-07-004</t>
  </si>
  <si>
    <t xml:space="preserve">ZT-RES-2026-07-005</t>
  </si>
  <si>
    <t xml:space="preserve">ZT-PPR-2026-08-001</t>
  </si>
  <si>
    <t xml:space="preserve">FS/15/09/2026</t>
  </si>
  <si>
    <t xml:space="preserve">ZT-ULT-2026-08-002</t>
  </si>
  <si>
    <t xml:space="preserve">Ravathane 130 D60D0 NATURAL</t>
  </si>
  <si>
    <t xml:space="preserve">ZT-TER-2026-08-003</t>
  </si>
  <si>
    <t xml:space="preserve">ZT_RES-2026-08-004</t>
  </si>
  <si>
    <t xml:space="preserve">LG CHEM ABS HI 121 H </t>
  </si>
  <si>
    <t xml:space="preserve">LG CHEM ABS HF 380 WHITE 03074</t>
  </si>
  <si>
    <t xml:space="preserve">kg</t>
  </si>
  <si>
    <t xml:space="preserve">ZT-PPR-2026-09-001</t>
  </si>
  <si>
    <t xml:space="preserve">ZT-PPR-2026-09-002</t>
  </si>
  <si>
    <t xml:space="preserve">PP-K295 A</t>
  </si>
  <si>
    <t xml:space="preserve">ZT-GRA-2026-09-003</t>
  </si>
  <si>
    <t xml:space="preserve">02/09/26</t>
  </si>
  <si>
    <t xml:space="preserve">I PARTIA</t>
  </si>
  <si>
    <t xml:space="preserve">ZT-PPR-2026-09-004</t>
  </si>
  <si>
    <t xml:space="preserve">Potwierdzone</t>
  </si>
  <si>
    <t xml:space="preserve">ZT-RES-2026-09-005</t>
  </si>
  <si>
    <t xml:space="preserve">LG CHEM ASA LI911</t>
  </si>
  <si>
    <t xml:space="preserve">ZT-PRO-2026-09-006</t>
  </si>
  <si>
    <t xml:space="preserve">Zestawienie - zakup tworzyw</t>
  </si>
  <si>
    <t xml:space="preserve">PÓŁROCZE 2026</t>
  </si>
  <si>
    <t xml:space="preserve">BARWNIKI</t>
  </si>
  <si>
    <t xml:space="preserve">PODSUMOWANIE Z PODZIAŁEM NA MIESIĄCE</t>
  </si>
  <si>
    <t xml:space="preserve">styczeń</t>
  </si>
  <si>
    <t xml:space="preserve">luty </t>
  </si>
  <si>
    <t xml:space="preserve">marzec </t>
  </si>
  <si>
    <t xml:space="preserve">kwiecień</t>
  </si>
  <si>
    <t xml:space="preserve">maj</t>
  </si>
  <si>
    <t xml:space="preserve">czerwiec</t>
  </si>
  <si>
    <t xml:space="preserve">SUMA:</t>
  </si>
  <si>
    <t xml:space="preserve">HISTORIA ZAMÓWIEŃ BARWNIKÓW</t>
  </si>
  <si>
    <t xml:space="preserve">Ilość</t>
  </si>
  <si>
    <t xml:space="preserve">ZB-GM-2025-12-003</t>
  </si>
  <si>
    <t xml:space="preserve">ZO/0501/11/2025</t>
  </si>
  <si>
    <t xml:space="preserve"> GM-80721B</t>
  </si>
  <si>
    <t xml:space="preserve">SZARY</t>
  </si>
  <si>
    <t xml:space="preserve">FV/0017/12/2025</t>
  </si>
  <si>
    <t xml:space="preserve">GM-80779S</t>
  </si>
  <si>
    <t xml:space="preserve">GM-10483B 2%</t>
  </si>
  <si>
    <t xml:space="preserve">BEŻOWY</t>
  </si>
  <si>
    <t xml:space="preserve">ZB-LIF-2025-12-001</t>
  </si>
  <si>
    <t xml:space="preserve">20-91147F PC</t>
  </si>
  <si>
    <t xml:space="preserve">FV/0027/26</t>
  </si>
  <si>
    <t xml:space="preserve">ZB-GAB-2025-12-002</t>
  </si>
  <si>
    <t xml:space="preserve">HP 99611</t>
  </si>
  <si>
    <t xml:space="preserve">90253047</t>
  </si>
  <si>
    <t xml:space="preserve">ZB-GMC-2026-01-001</t>
  </si>
  <si>
    <t xml:space="preserve">ZO/0076/01/2026</t>
  </si>
  <si>
    <t xml:space="preserve"> GM-12197E</t>
  </si>
  <si>
    <t xml:space="preserve">FV/0253/01/2026</t>
  </si>
  <si>
    <t xml:space="preserve">GM-80295</t>
  </si>
  <si>
    <t xml:space="preserve">JASNOSZARY</t>
  </si>
  <si>
    <t xml:space="preserve">GM-378E</t>
  </si>
  <si>
    <t xml:space="preserve">FV/0252/01/2026</t>
  </si>
  <si>
    <t xml:space="preserve">ZB-GCH-2026-01-002</t>
  </si>
  <si>
    <t xml:space="preserve">HP 400331/40</t>
  </si>
  <si>
    <t xml:space="preserve">CZERWONY</t>
  </si>
  <si>
    <t xml:space="preserve">90260079</t>
  </si>
  <si>
    <t xml:space="preserve">ZB-GMC-2026-01-003</t>
  </si>
  <si>
    <t xml:space="preserve">GM-32747E</t>
  </si>
  <si>
    <t xml:space="preserve">RÓŻOWY NEON</t>
  </si>
  <si>
    <t xml:space="preserve">FV/0015/02/2026</t>
  </si>
  <si>
    <t xml:space="preserve">ZB-GMC-2026-02-001</t>
  </si>
  <si>
    <t xml:space="preserve">ZO/0236/02/2026</t>
  </si>
  <si>
    <t xml:space="preserve">FV/0488/02/2026</t>
  </si>
  <si>
    <t xml:space="preserve">GM-80690E</t>
  </si>
  <si>
    <t xml:space="preserve">CIEMNOSZARY</t>
  </si>
  <si>
    <t xml:space="preserve">ZB-LIF-2026-02-002</t>
  </si>
  <si>
    <t xml:space="preserve">FV/0646/26</t>
  </si>
  <si>
    <t xml:space="preserve">ZB-WES-2026-02-003</t>
  </si>
  <si>
    <t xml:space="preserve">W2-73/1</t>
  </si>
  <si>
    <t xml:space="preserve">FA/164/2026/P</t>
  </si>
  <si>
    <t xml:space="preserve">W6-253</t>
  </si>
  <si>
    <t xml:space="preserve">NIEBIESKI</t>
  </si>
  <si>
    <t xml:space="preserve">FA/227/2026/P</t>
  </si>
  <si>
    <t xml:space="preserve">ZB-GMC-2026-02-004</t>
  </si>
  <si>
    <t xml:space="preserve">ZO/0303/02/2026</t>
  </si>
  <si>
    <t xml:space="preserve">FV/0302/02/2026</t>
  </si>
  <si>
    <t xml:space="preserve">ZB-GMC-2026-02-005</t>
  </si>
  <si>
    <t xml:space="preserve">GM-53281E</t>
  </si>
  <si>
    <t xml:space="preserve">ZB-GMC-2026-03-001</t>
  </si>
  <si>
    <t xml:space="preserve">ZO/0077/03/2026</t>
  </si>
  <si>
    <t xml:space="preserve">GM-20225E</t>
  </si>
  <si>
    <t xml:space="preserve">pomarańczowy</t>
  </si>
  <si>
    <t xml:space="preserve">FV/0344/03/2026</t>
  </si>
  <si>
    <t xml:space="preserve">FV/0361/03/2026</t>
  </si>
  <si>
    <t xml:space="preserve">ZB-WES-2026-03-002</t>
  </si>
  <si>
    <t xml:space="preserve">W4-16</t>
  </si>
  <si>
    <t xml:space="preserve">FA/287/2026/P</t>
  </si>
  <si>
    <t xml:space="preserve">W9-60U</t>
  </si>
  <si>
    <t xml:space="preserve">ZB-GMC-2026-03-004</t>
  </si>
  <si>
    <t xml:space="preserve">ZO/0111/03/2026</t>
  </si>
  <si>
    <t xml:space="preserve">FV/0217/03/2026</t>
  </si>
  <si>
    <t xml:space="preserve">ZB-WES-2026-03-003</t>
  </si>
  <si>
    <t xml:space="preserve">w7-76</t>
  </si>
  <si>
    <t xml:space="preserve">ZIELONY</t>
  </si>
  <si>
    <t xml:space="preserve">FA/292/2026/P</t>
  </si>
  <si>
    <t xml:space="preserve">ZB-LIF-2026-03-005</t>
  </si>
  <si>
    <t xml:space="preserve">20-91568F PA</t>
  </si>
  <si>
    <t xml:space="preserve">FV/0946/26</t>
  </si>
  <si>
    <t xml:space="preserve">ZB-GCH-2026-03-006</t>
  </si>
  <si>
    <t xml:space="preserve">ZB-WES-2026-03-007</t>
  </si>
  <si>
    <t xml:space="preserve">w7-259L</t>
  </si>
  <si>
    <t xml:space="preserve">ZB-WES-2026-03-008</t>
  </si>
  <si>
    <t xml:space="preserve">DODATEK UV</t>
  </si>
  <si>
    <t xml:space="preserve">UV</t>
  </si>
  <si>
    <t xml:space="preserve">FA/369/2026/P</t>
  </si>
  <si>
    <t xml:space="preserve">ZB-GMC-2026-03-009</t>
  </si>
  <si>
    <t xml:space="preserve">GM-41373P</t>
  </si>
  <si>
    <t xml:space="preserve">FV/0127/04/2026</t>
  </si>
  <si>
    <t xml:space="preserve">ZB-GMC-2026-03-010</t>
  </si>
  <si>
    <t xml:space="preserve">GM-32747E - różowy neon</t>
  </si>
  <si>
    <t xml:space="preserve">GM-6979E - fioletowy</t>
  </si>
  <si>
    <t xml:space="preserve">FIOLETOWY</t>
  </si>
  <si>
    <t xml:space="preserve">FV/0031/04/2026</t>
  </si>
  <si>
    <t xml:space="preserve">ZB-GMC-2026-03-011</t>
  </si>
  <si>
    <t xml:space="preserve">FV/0177/04/2026</t>
  </si>
  <si>
    <t xml:space="preserve">ZB-WES-2026-03-012</t>
  </si>
  <si>
    <t xml:space="preserve">W5-25</t>
  </si>
  <si>
    <t xml:space="preserve">W6-69</t>
  </si>
  <si>
    <t xml:space="preserve">GRANATOWY</t>
  </si>
  <si>
    <t xml:space="preserve">W6-125</t>
  </si>
  <si>
    <t xml:space="preserve">W2334</t>
  </si>
  <si>
    <t xml:space="preserve">ZB-WES-2026-03-013</t>
  </si>
  <si>
    <t xml:space="preserve">W003</t>
  </si>
  <si>
    <t xml:space="preserve">EKO BIAŁY</t>
  </si>
  <si>
    <t xml:space="preserve">W9-173</t>
  </si>
  <si>
    <t xml:space="preserve">W4-99</t>
  </si>
  <si>
    <t xml:space="preserve">ZB-WES-2026-04-001</t>
  </si>
  <si>
    <t xml:space="preserve">ZB-WES-2026-04-002</t>
  </si>
  <si>
    <t xml:space="preserve">ZB-WES-2026-04-003</t>
  </si>
  <si>
    <t xml:space="preserve">W5-17</t>
  </si>
  <si>
    <t xml:space="preserve">ZB-GMC-2026-04-004</t>
  </si>
  <si>
    <t xml:space="preserve">GM-32218E</t>
  </si>
  <si>
    <t xml:space="preserve">FV/0245/04/2026</t>
  </si>
  <si>
    <t xml:space="preserve">ZB-GMC-2026-04-006</t>
  </si>
  <si>
    <t xml:space="preserve">JASNO-SZARY</t>
  </si>
  <si>
    <t xml:space="preserve">CIEMNO-SZARY</t>
  </si>
  <si>
    <t xml:space="preserve">GM-12485E</t>
  </si>
  <si>
    <t xml:space="preserve">ZB-GMC-2026-04-005</t>
  </si>
  <si>
    <t xml:space="preserve">GM-43107E</t>
  </si>
  <si>
    <t xml:space="preserve">CIEMNO-ZIELONY</t>
  </si>
  <si>
    <t xml:space="preserve">ZB-WES-2026-04-007</t>
  </si>
  <si>
    <t xml:space="preserve">ZB-WES-2026-04-016</t>
  </si>
  <si>
    <t xml:space="preserve">W9-36</t>
  </si>
  <si>
    <t xml:space="preserve">FA/581/2026/P</t>
  </si>
  <si>
    <t xml:space="preserve">ZB-GMC-2026-04-008</t>
  </si>
  <si>
    <t xml:space="preserve">mail</t>
  </si>
  <si>
    <t xml:space="preserve">GM-6979E </t>
  </si>
  <si>
    <t xml:space="preserve">FV/0778/04/2026</t>
  </si>
  <si>
    <t xml:space="preserve">POMARAŃCZOWY</t>
  </si>
  <si>
    <t xml:space="preserve">FV/0192/05/2026</t>
  </si>
  <si>
    <t xml:space="preserve">ZB-WES-2026-04-009</t>
  </si>
  <si>
    <t xml:space="preserve">ZB-GMC-2026-04-010</t>
  </si>
  <si>
    <t xml:space="preserve">C. NIEBIESKI</t>
  </si>
  <si>
    <t xml:space="preserve">FV/0115/05/2026</t>
  </si>
  <si>
    <t xml:space="preserve">ZB-WES-2026-04-011</t>
  </si>
  <si>
    <t xml:space="preserve">W2-01</t>
  </si>
  <si>
    <t xml:space="preserve">ZB-WES-2026-04-012</t>
  </si>
  <si>
    <t xml:space="preserve">W9-67U/1</t>
  </si>
  <si>
    <t xml:space="preserve">W8-43/1</t>
  </si>
  <si>
    <t xml:space="preserve">BRĄZOWY</t>
  </si>
  <si>
    <t xml:space="preserve">ZB-WES-2026-04-013</t>
  </si>
  <si>
    <t xml:space="preserve">ZB-GCH-2026-04-014</t>
  </si>
  <si>
    <t xml:space="preserve">ZB-GCH-2026-04-015</t>
  </si>
  <si>
    <t xml:space="preserve">BIOL6GB3907</t>
  </si>
  <si>
    <t xml:space="preserve">TURKUSOWY</t>
  </si>
  <si>
    <t xml:space="preserve">ZB-WES-2026-04-017</t>
  </si>
  <si>
    <t xml:space="preserve">FA/589/2026/P</t>
  </si>
  <si>
    <t xml:space="preserve">ZB-GMC-2026-05-001</t>
  </si>
  <si>
    <t xml:space="preserve">GM-10483B</t>
  </si>
  <si>
    <t xml:space="preserve">FV/0645/05/2026</t>
  </si>
  <si>
    <t xml:space="preserve">ZB-GMC-2026-05-002</t>
  </si>
  <si>
    <t xml:space="preserve">GM-32747E </t>
  </si>
  <si>
    <t xml:space="preserve">ZB-WES-2026-06-001</t>
  </si>
  <si>
    <t xml:space="preserve">FA/763/2026/P</t>
  </si>
  <si>
    <t xml:space="preserve">ZB-WES-2026-06-002</t>
  </si>
  <si>
    <t xml:space="preserve">W5-02 </t>
  </si>
  <si>
    <t xml:space="preserve">FA/769/2026/P</t>
  </si>
  <si>
    <t xml:space="preserve">W7-272</t>
  </si>
  <si>
    <t xml:space="preserve">ZIELONY / MIĘTOWY</t>
  </si>
  <si>
    <t xml:space="preserve">FA/802/2026/P</t>
  </si>
  <si>
    <t xml:space="preserve">ZB-GMC-2026-06-003</t>
  </si>
  <si>
    <t xml:space="preserve">GM-12197E</t>
  </si>
  <si>
    <t xml:space="preserve">GM-53578E</t>
  </si>
  <si>
    <t xml:space="preserve">ZB-WES-2026-06-004</t>
  </si>
  <si>
    <t xml:space="preserve">MAL</t>
  </si>
  <si>
    <t xml:space="preserve">W2-68</t>
  </si>
  <si>
    <t xml:space="preserve">MIODOWY</t>
  </si>
  <si>
    <t xml:space="preserve">ZB-LIFO-2026-06-005</t>
  </si>
  <si>
    <t xml:space="preserve">KONCENTRAT</t>
  </si>
  <si>
    <t xml:space="preserve">ZB-WES-2026-06-008</t>
  </si>
  <si>
    <t xml:space="preserve">COLORTONE</t>
  </si>
  <si>
    <t xml:space="preserve">ZB-COL-2026-06-006</t>
  </si>
  <si>
    <t xml:space="preserve">C4146</t>
  </si>
  <si>
    <t xml:space="preserve">C7226</t>
  </si>
  <si>
    <t xml:space="preserve">SZAROZIELONY</t>
  </si>
  <si>
    <t xml:space="preserve">ZB-GCH-2026-06-007</t>
  </si>
  <si>
    <t xml:space="preserve">HP400331/40</t>
  </si>
  <si>
    <t xml:space="preserve">ZB-GCH-2026-06-009</t>
  </si>
  <si>
    <t xml:space="preserve">ZB-WES-2026-06-010</t>
  </si>
  <si>
    <t xml:space="preserve">W4-114</t>
  </si>
  <si>
    <t xml:space="preserve">W4-11</t>
  </si>
  <si>
    <t xml:space="preserve">W5-103</t>
  </si>
  <si>
    <t xml:space="preserve">W9-240</t>
  </si>
  <si>
    <t xml:space="preserve">W2-157T</t>
  </si>
  <si>
    <t xml:space="preserve">W7-168T</t>
  </si>
  <si>
    <t xml:space="preserve">ZB-WES-2026-06-011</t>
  </si>
  <si>
    <t xml:space="preserve">STABILIZATOR uv</t>
  </si>
  <si>
    <t xml:space="preserve">ZB-COL-2026-06-012</t>
  </si>
  <si>
    <t xml:space="preserve">C001</t>
  </si>
  <si>
    <t xml:space="preserve">ZB-LIFO-2026-06-013</t>
  </si>
  <si>
    <t xml:space="preserve">ZB-WES-2026-06-014</t>
  </si>
  <si>
    <t xml:space="preserve">W7131</t>
  </si>
  <si>
    <t xml:space="preserve">FA/879/2026/P</t>
  </si>
  <si>
    <t xml:space="preserve">ZB-WES-2026-06-015</t>
  </si>
  <si>
    <t xml:space="preserve">NIEBIESKI/GRANATOWY</t>
  </si>
  <si>
    <t xml:space="preserve">FA/878/2026/P</t>
  </si>
  <si>
    <t xml:space="preserve">ZB-WES-2026-07-001</t>
  </si>
  <si>
    <t xml:space="preserve">W7-76</t>
  </si>
  <si>
    <t xml:space="preserve">FA/953/2026/P</t>
  </si>
  <si>
    <t xml:space="preserve">ZB-GCH-2026-07-002</t>
  </si>
  <si>
    <t xml:space="preserve">HP99611</t>
  </si>
  <si>
    <t xml:space="preserve">ZB-LIF-2026-07-003</t>
  </si>
  <si>
    <t xml:space="preserve">KONCENTRAT BARWIĄCY</t>
  </si>
  <si>
    <t xml:space="preserve">FV/2596/26</t>
  </si>
  <si>
    <t xml:space="preserve">ZB-WES-2026-07-004</t>
  </si>
  <si>
    <t xml:space="preserve">FA/965/2026/P</t>
  </si>
  <si>
    <t xml:space="preserve">FA/986/2026/P</t>
  </si>
  <si>
    <t xml:space="preserve">FA/966/2026/P</t>
  </si>
  <si>
    <t xml:space="preserve">ZB-GMC-2026-07-005</t>
  </si>
  <si>
    <t xml:space="preserve">ZB-COL-2026-07-006</t>
  </si>
  <si>
    <t xml:space="preserve">ZB-GMC-2026-07-007</t>
  </si>
  <si>
    <t xml:space="preserve">GM-50977</t>
  </si>
  <si>
    <t xml:space="preserve">ZB-GCH-2026-08-001</t>
  </si>
  <si>
    <t xml:space="preserve">HP1GA3787UV</t>
  </si>
  <si>
    <t xml:space="preserve">ZB-WES-2026-08-002</t>
  </si>
  <si>
    <t xml:space="preserve">ZB-LIF-2026-08-003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</si>
</sst>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General"/>
    <numFmt numFmtId="167" formatCode="#,##0.00&quot; zł&quot;"/>
    <numFmt numFmtId="168" formatCode="0.00"/>
    <numFmt numFmtId="169" formatCode="@"/>
    <numFmt numFmtId="170" formatCode="yyyy\-mm\-dd;@"/>
    <numFmt numFmtId="171" formatCode="yyyy\-mm\-dd"/>
  </numFmts>
  <fonts count="4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238"/>
    </font>
    <font>
      <sz val="11"/>
      <name val="Times New Roman"/>
      <family val="1"/>
    </font>
    <font>
      <b val="true"/>
      <sz val="14"/>
      <color rgb="FF595959"/>
      <name val="Calibri"/>
      <family val="2"/>
    </font>
    <font>
      <b val="true"/>
      <sz val="11"/>
      <color rgb="FF404040"/>
      <name val="Calibri"/>
      <family val="2"/>
    </font>
    <font>
      <sz val="9"/>
      <color rgb="FF595959"/>
      <name val="Calibri"/>
      <family val="2"/>
    </font>
    <font>
      <b val="true"/>
      <sz val="10.5"/>
      <color rgb="FF404040"/>
      <name val="Calibri"/>
      <family val="2"/>
    </font>
    <font>
      <b val="true"/>
      <sz val="18"/>
      <color rgb="FF595959"/>
      <name val="Calibri"/>
      <family val="2"/>
      <charset val="238"/>
    </font>
    <font>
      <b val="true"/>
      <sz val="11"/>
      <color rgb="FF7F7F7F"/>
      <name val="Calibri"/>
      <family val="2"/>
      <charset val="1"/>
    </font>
    <font>
      <b val="true"/>
      <sz val="14"/>
      <color rgb="FF7F7F7F"/>
      <name val="Calibri"/>
      <family val="2"/>
      <charset val="238"/>
    </font>
    <font>
      <b val="true"/>
      <sz val="14"/>
      <color rgb="FF000000"/>
      <name val="Calibri"/>
      <family val="2"/>
      <charset val="238"/>
    </font>
    <font>
      <sz val="11"/>
      <name val="Calibri"/>
      <family val="2"/>
      <charset val="238"/>
    </font>
    <font>
      <sz val="11"/>
      <color rgb="FF000000"/>
      <name val="Calibri"/>
      <family val="2"/>
      <charset val="238"/>
    </font>
    <font>
      <u val="single"/>
      <sz val="11"/>
      <color rgb="FF0563C1"/>
      <name val="Calibri"/>
      <family val="2"/>
      <charset val="1"/>
    </font>
    <font>
      <u val="single"/>
      <sz val="11"/>
      <color rgb="FF000000"/>
      <name val="Calibri"/>
      <family val="2"/>
      <charset val="238"/>
    </font>
    <font>
      <u val="single"/>
      <sz val="11"/>
      <color rgb="FF0563C1"/>
      <name val="Calibri"/>
      <family val="2"/>
      <charset val="238"/>
    </font>
    <font>
      <b val="true"/>
      <sz val="11"/>
      <color rgb="FF000000"/>
      <name val="Calibri"/>
      <family val="2"/>
      <charset val="238"/>
    </font>
    <font>
      <u val="single"/>
      <sz val="11"/>
      <color rgb="FF000000"/>
      <name val="Calibri"/>
      <family val="2"/>
      <charset val="1"/>
    </font>
    <font>
      <sz val="13"/>
      <color rgb="FF000000"/>
      <name val="Calibri"/>
      <family val="2"/>
      <charset val="1"/>
    </font>
    <font>
      <b val="true"/>
      <sz val="13"/>
      <color rgb="FF000000"/>
      <name val="Calibri"/>
      <family val="2"/>
      <charset val="1"/>
    </font>
    <font>
      <b val="true"/>
      <sz val="13"/>
      <color rgb="FFFFFFFF"/>
      <name val="Calibri"/>
      <family val="2"/>
      <charset val="1"/>
    </font>
    <font>
      <u val="single"/>
      <sz val="11"/>
      <color rgb="FF2F5597"/>
      <name val="Calibri"/>
      <family val="2"/>
      <charset val="238"/>
    </font>
    <font>
      <sz val="10"/>
      <color rgb="FFF08130"/>
      <name val="Trebuchet MS"/>
      <family val="2"/>
      <charset val="238"/>
    </font>
    <font>
      <sz val="11"/>
      <color rgb="FF262626"/>
      <name val="Calibri"/>
      <family val="2"/>
      <charset val="238"/>
    </font>
    <font>
      <sz val="14"/>
      <color rgb="FF00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b val="true"/>
      <sz val="14"/>
      <color rgb="FFFFFFFF"/>
      <name val="Calibri"/>
      <family val="2"/>
      <charset val="1"/>
    </font>
    <font>
      <b val="true"/>
      <sz val="18"/>
      <color rgb="FF7F7F7F"/>
      <name val="Calibri"/>
      <family val="2"/>
      <charset val="238"/>
    </font>
    <font>
      <b val="true"/>
      <sz val="11"/>
      <color rgb="FF7F7F7F"/>
      <name val="Calibri"/>
      <family val="2"/>
      <charset val="238"/>
    </font>
    <font>
      <b val="true"/>
      <sz val="14"/>
      <color rgb="FFFFFFFF"/>
      <name val="Calibri"/>
      <family val="2"/>
      <charset val="238"/>
    </font>
    <font>
      <sz val="10"/>
      <color rgb="FF000000"/>
      <name val="Calibri"/>
      <family val="2"/>
      <charset val="238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238"/>
    </font>
    <font>
      <b val="true"/>
      <sz val="10"/>
      <color rgb="FF000000"/>
      <name val="Calibri"/>
      <family val="2"/>
      <charset val="238"/>
    </font>
    <font>
      <sz val="22"/>
      <color rgb="FF000000"/>
      <name val="Calibri"/>
      <family val="2"/>
      <charset val="1"/>
    </font>
    <font>
      <b val="true"/>
      <sz val="11"/>
      <color rgb="FFFFFFFF"/>
      <name val="Calibri"/>
      <family val="2"/>
      <charset val="238"/>
    </font>
    <font>
      <sz val="10"/>
      <color rgb="FF000000"/>
      <name val="Aptos Narrow"/>
      <family val="2"/>
      <charset val="1"/>
    </font>
    <font>
      <sz val="18"/>
      <color rgb="FF000000"/>
      <name val="Calibri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rgb="FFB4C7E7"/>
        <bgColor rgb="FF9DC3E6"/>
      </patternFill>
    </fill>
    <fill>
      <patternFill patternType="solid">
        <fgColor rgb="FFDEEBF7"/>
        <bgColor rgb="FFE6EBF6"/>
      </patternFill>
    </fill>
    <fill>
      <patternFill patternType="solid">
        <fgColor rgb="FF8FAADC"/>
        <bgColor rgb="FF9DC3E6"/>
      </patternFill>
    </fill>
    <fill>
      <patternFill patternType="solid">
        <fgColor rgb="FFDAE3F3"/>
        <bgColor rgb="FFDEEBF7"/>
      </patternFill>
    </fill>
    <fill>
      <patternFill patternType="solid">
        <fgColor rgb="FFFFFF00"/>
        <bgColor rgb="FFFFF2CC"/>
      </patternFill>
    </fill>
    <fill>
      <patternFill patternType="solid">
        <fgColor rgb="FF8497B0"/>
        <bgColor rgb="FF8FAADC"/>
      </patternFill>
    </fill>
    <fill>
      <patternFill patternType="solid">
        <fgColor rgb="FFD6DCE5"/>
        <bgColor rgb="FFDBDBDB"/>
      </patternFill>
    </fill>
    <fill>
      <patternFill patternType="solid">
        <fgColor rgb="FFFFFFFF"/>
        <bgColor rgb="FFFFF2CC"/>
      </patternFill>
    </fill>
    <fill>
      <patternFill patternType="solid">
        <fgColor rgb="FFE2F0D9"/>
        <bgColor rgb="FFE6EBF6"/>
      </patternFill>
    </fill>
    <fill>
      <patternFill patternType="solid">
        <fgColor rgb="FFFF4000"/>
        <bgColor rgb="FFFF0000"/>
      </patternFill>
    </fill>
    <fill>
      <patternFill patternType="solid">
        <fgColor rgb="FFDBDBDB"/>
        <bgColor rgb="FFD9D9D9"/>
      </patternFill>
    </fill>
    <fill>
      <patternFill patternType="solid">
        <fgColor rgb="FFD0CECE"/>
        <bgColor rgb="FFD9D9D9"/>
      </patternFill>
    </fill>
    <fill>
      <patternFill patternType="solid">
        <fgColor rgb="FF5B9BD5"/>
        <bgColor rgb="FF8497B0"/>
      </patternFill>
    </fill>
    <fill>
      <patternFill patternType="solid">
        <fgColor rgb="FFE6EBF6"/>
        <bgColor rgb="FFDEEBF7"/>
      </patternFill>
    </fill>
    <fill>
      <patternFill patternType="solid">
        <fgColor rgb="FFFFF2CC"/>
        <bgColor rgb="FFFBE5D6"/>
      </patternFill>
    </fill>
  </fills>
  <borders count="20">
    <border diagonalUp="false" diagonalDown="false">
      <left/>
      <right/>
      <top/>
      <bottom/>
      <diagonal/>
    </border>
    <border diagonalUp="false" diagonalDown="false">
      <left/>
      <right/>
      <top style="thin">
        <color rgb="FF9DC3E6"/>
      </top>
      <bottom/>
      <diagonal/>
    </border>
    <border diagonalUp="false" diagonalDown="false">
      <left/>
      <right style="thin">
        <color rgb="FFFFFFFF"/>
      </right>
      <top style="thin">
        <color rgb="FF9DC3E6"/>
      </top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dotted"/>
      <diagonal/>
    </border>
    <border diagonalUp="false" diagonalDown="false">
      <left style="thin"/>
      <right style="thin"/>
      <top style="dotted"/>
      <bottom style="dotted"/>
      <diagonal/>
    </border>
    <border diagonalUp="false" diagonalDown="false">
      <left style="thin"/>
      <right style="thin"/>
      <top style="dotted"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7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2" borderId="0" applyFont="true" applyBorder="false" applyAlignment="true" applyProtection="false">
      <alignment horizontal="general" vertical="bottom" textRotation="0" wrapText="false" indent="0" shrinkToFit="false"/>
    </xf>
  </cellStyleXfs>
  <cellXfs count="2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8" fillId="5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5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9" fillId="5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6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6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2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5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5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5" borderId="2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6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6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5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6" fillId="5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5" fillId="5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5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5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0" fillId="5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8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6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8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8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8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0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0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8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8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8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9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9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9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3" borderId="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34" fillId="9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4" fillId="9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3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9" borderId="5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9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9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9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5" fillId="3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34" fillId="9" borderId="9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3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9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9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9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5" fillId="3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34" fillId="9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9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9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9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9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0" fillId="9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9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3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7" fillId="9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9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9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7" fillId="9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9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7" fillId="9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3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7" fillId="9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9" fillId="4" borderId="5" xfId="2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9" fillId="4" borderId="5" xfId="22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70" fontId="0" fillId="1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1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11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1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1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0" fillId="1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1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1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0" fillId="1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0" fillId="9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9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2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8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0" fillId="3" borderId="19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5" fillId="13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14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0" fillId="3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0" fillId="16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0" fillId="3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ny 2" xfId="21"/>
    <cellStyle name="*unknown*" xfId="20" builtinId="8"/>
    <cellStyle name="Excel Built-in 40% - Accent5" xfId="22"/>
  </cellStyles>
  <dxfs count="17">
    <dxf>
      <fill>
        <patternFill patternType="solid">
          <fgColor rgb="FF8FAADC"/>
        </patternFill>
      </fill>
    </dxf>
    <dxf>
      <fill>
        <patternFill patternType="solid">
          <fgColor rgb="FFDAE3F3"/>
        </patternFill>
      </fill>
    </dxf>
    <dxf>
      <fill>
        <patternFill patternType="solid">
          <fgColor rgb="FF3C3C3C"/>
          <bgColor rgb="FFFCFCFC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563C1"/>
        </patternFill>
      </fill>
    </dxf>
    <dxf>
      <fill>
        <patternFill patternType="solid">
          <fgColor rgb="FF262626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F08130"/>
        </patternFill>
      </fill>
    </dxf>
    <dxf>
      <fill>
        <patternFill patternType="solid">
          <fgColor rgb="FF2F5597"/>
        </patternFill>
      </fill>
    </dxf>
    <dxf>
      <fill>
        <patternFill patternType="solid">
          <fgColor rgb="FF8497B0"/>
        </patternFill>
      </fill>
    </dxf>
    <dxf>
      <fill>
        <patternFill patternType="solid">
          <fgColor rgb="FFD6DCE5"/>
        </patternFill>
      </fill>
    </dxf>
    <dxf>
      <fill>
        <patternFill patternType="solid">
          <fgColor rgb="FFDEEBF7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F4000"/>
        </patternFill>
      </fill>
    </dxf>
    <dxf>
      <fill>
        <patternFill patternType="solid">
          <fgColor rgb="FF5B9BD5"/>
        </patternFill>
      </fill>
    </dxf>
    <dxf>
      <fill>
        <patternFill patternType="solid">
          <fgColor rgb="FFE6EBF6"/>
        </patternFill>
      </fill>
    </dxf>
    <dxf>
      <fill>
        <patternFill patternType="solid">
          <f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DB9CA"/>
      <rgbColor rgb="FF7F7F7F"/>
      <rgbColor rgb="FF8FAADC"/>
      <rgbColor rgb="FF993366"/>
      <rgbColor rgb="FFFFF2CC"/>
      <rgbColor rgb="FFDEEBF7"/>
      <rgbColor rgb="FF660066"/>
      <rgbColor rgb="FFFF8080"/>
      <rgbColor rgb="FF0563C1"/>
      <rgbColor rgb="FFB4C7E7"/>
      <rgbColor rgb="FF000080"/>
      <rgbColor rgb="FFFF00FF"/>
      <rgbColor rgb="FFDAE3F3"/>
      <rgbColor rgb="FF00FFFF"/>
      <rgbColor rgb="FF800080"/>
      <rgbColor rgb="FF800000"/>
      <rgbColor rgb="FF008080"/>
      <rgbColor rgb="FF0000FF"/>
      <rgbColor rgb="FF00CCFF"/>
      <rgbColor rgb="FFE6EBF6"/>
      <rgbColor rgb="FFE2F0D9"/>
      <rgbColor rgb="FFDBDBDB"/>
      <rgbColor rgb="FF9DC3E6"/>
      <rgbColor rgb="FFD9D9D9"/>
      <rgbColor rgb="FFD0CECE"/>
      <rgbColor rgb="FFFBE5D6"/>
      <rgbColor rgb="FF3366FF"/>
      <rgbColor rgb="FF33CCCC"/>
      <rgbColor rgb="FF99CC00"/>
      <rgbColor rgb="FFD6DCE5"/>
      <rgbColor rgb="FFF08130"/>
      <rgbColor rgb="FFFF4000"/>
      <rgbColor rgb="FF595959"/>
      <rgbColor rgb="FF8497B0"/>
      <rgbColor rgb="FF003366"/>
      <rgbColor rgb="FF5B9BD5"/>
      <rgbColor rgb="FF003300"/>
      <rgbColor rgb="FF404040"/>
      <rgbColor rgb="FF993300"/>
      <rgbColor rgb="FF993366"/>
      <rgbColor rgb="FF2F5597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
</Relationships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pl-PL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1" lang="pl-PL" sz="1400" spc="-1" strike="noStrike">
                <a:solidFill>
                  <a:srgbClr val="595959"/>
                </a:solidFill>
                <a:latin typeface="Calibri"/>
              </a:rPr>
              <a:t>Ilość w KG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'Analiza DOSTAWCÓW'!$B$8:$B$9</c:f>
              <c:strCache>
                <c:ptCount val="1"/>
                <c:pt idx="0">
                  <c:v>Etykiety kolumn 2026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1" sz="11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'Analiza DOSTAWCÓW'!$A$10:$A$17</c:f>
              <c:strCache>
                <c:ptCount val="8"/>
                <c:pt idx="0">
                  <c:v>ARGUS</c:v>
                </c:pt>
                <c:pt idx="1">
                  <c:v>EMIPAK Jarosław Stoliński</c:v>
                </c:pt>
                <c:pt idx="2">
                  <c:v>KRAIBURG TPE GmbH&amp;Co</c:v>
                </c:pt>
                <c:pt idx="3">
                  <c:v>PLASTPRO</c:v>
                </c:pt>
                <c:pt idx="4">
                  <c:v>POLIMER PROJEKT Sp. z o.o.</c:v>
                </c:pt>
                <c:pt idx="5">
                  <c:v>PROGRESS</c:v>
                </c:pt>
                <c:pt idx="6">
                  <c:v>PRT RADOMSKO</c:v>
                </c:pt>
                <c:pt idx="7">
                  <c:v>RESINEX</c:v>
                </c:pt>
              </c:strCache>
            </c:strRef>
          </c:cat>
          <c:val>
            <c:numRef>
              <c:f>'Analiza DOSTAWCÓW'!$B$10:$B$17</c:f>
              <c:numCache>
                <c:formatCode>General</c:formatCode>
                <c:ptCount val="8"/>
                <c:pt idx="0">
                  <c:v>9935</c:v>
                </c:pt>
                <c:pt idx="1">
                  <c:v>7200</c:v>
                </c:pt>
                <c:pt idx="2">
                  <c:v>20720</c:v>
                </c:pt>
                <c:pt idx="3">
                  <c:v>4000</c:v>
                </c:pt>
                <c:pt idx="4">
                  <c:v>1750</c:v>
                </c:pt>
                <c:pt idx="5">
                  <c:v>3114</c:v>
                </c:pt>
                <c:pt idx="6">
                  <c:v>1000</c:v>
                </c:pt>
                <c:pt idx="7">
                  <c:v>3700</c:v>
                </c:pt>
              </c:numCache>
            </c:numRef>
          </c:val>
        </c:ser>
        <c:gapWidth val="219"/>
        <c:overlap val="-27"/>
        <c:axId val="57168868"/>
        <c:axId val="92371247"/>
      </c:barChart>
      <c:catAx>
        <c:axId val="571688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2371247"/>
        <c:crosses val="autoZero"/>
        <c:auto val="1"/>
        <c:lblAlgn val="ctr"/>
        <c:lblOffset val="100"/>
        <c:noMultiLvlLbl val="0"/>
      </c:catAx>
      <c:valAx>
        <c:axId val="9237124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716886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pl-PL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1" lang="pl-PL" sz="1400" spc="-1" strike="noStrike">
                <a:solidFill>
                  <a:srgbClr val="595959"/>
                </a:solidFill>
                <a:latin typeface="Calibri"/>
              </a:rPr>
              <a:t>Wartość dostaw w PLN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'Analiza DOSTAWCÓW'!$B$27:$B$28</c:f>
              <c:strCache>
                <c:ptCount val="1"/>
                <c:pt idx="0">
                  <c:v>Etykiety kolumn 2026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1" sz="105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'Analiza DOSTAWCÓW'!$A$29:$A$36</c:f>
              <c:strCache>
                <c:ptCount val="8"/>
                <c:pt idx="0">
                  <c:v>ARGUS</c:v>
                </c:pt>
                <c:pt idx="1">
                  <c:v>EMIPAK Jarosław Stoliński</c:v>
                </c:pt>
                <c:pt idx="2">
                  <c:v>KRAIBURG TPE GmbH&amp;Co</c:v>
                </c:pt>
                <c:pt idx="3">
                  <c:v>PLASTPRO</c:v>
                </c:pt>
                <c:pt idx="4">
                  <c:v>POLIMER PROJEKT Sp. z o.o.</c:v>
                </c:pt>
                <c:pt idx="5">
                  <c:v>PROGRESS</c:v>
                </c:pt>
                <c:pt idx="6">
                  <c:v>PRT RADOMSKO</c:v>
                </c:pt>
                <c:pt idx="7">
                  <c:v>RESINEX</c:v>
                </c:pt>
              </c:strCache>
            </c:strRef>
          </c:cat>
          <c:val>
            <c:numRef>
              <c:f>'Analiza DOSTAWCÓW'!$B$29:$B$36</c:f>
              <c:numCache>
                <c:formatCode>General</c:formatCode>
                <c:ptCount val="8"/>
                <c:pt idx="0">
                  <c:v>60110</c:v>
                </c:pt>
                <c:pt idx="1">
                  <c:v>43200</c:v>
                </c:pt>
                <c:pt idx="2">
                  <c:v>328182.54096</c:v>
                </c:pt>
                <c:pt idx="3">
                  <c:v>25200</c:v>
                </c:pt>
                <c:pt idx="4">
                  <c:v>19475</c:v>
                </c:pt>
                <c:pt idx="5">
                  <c:v>13078.8</c:v>
                </c:pt>
                <c:pt idx="6">
                  <c:v>5978.4312</c:v>
                </c:pt>
                <c:pt idx="7">
                  <c:v>30510.04125</c:v>
                </c:pt>
              </c:numCache>
            </c:numRef>
          </c:val>
        </c:ser>
        <c:gapWidth val="219"/>
        <c:overlap val="-27"/>
        <c:axId val="1596681"/>
        <c:axId val="92025199"/>
      </c:barChart>
      <c:catAx>
        <c:axId val="159668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2025199"/>
        <c:crosses val="autoZero"/>
        <c:auto val="1"/>
        <c:lblAlgn val="ctr"/>
        <c:lblOffset val="100"/>
        <c:noMultiLvlLbl val="0"/>
      </c:catAx>
      <c:valAx>
        <c:axId val="9202519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59668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514440</xdr:colOff>
      <xdr:row>0</xdr:row>
      <xdr:rowOff>162000</xdr:rowOff>
    </xdr:from>
    <xdr:to>
      <xdr:col>1</xdr:col>
      <xdr:colOff>1590480</xdr:colOff>
      <xdr:row>4</xdr:row>
      <xdr:rowOff>123480</xdr:rowOff>
    </xdr:to>
    <xdr:sp>
      <xdr:nvSpPr>
        <xdr:cNvPr id="0" name=""/>
        <xdr:cNvSpPr/>
      </xdr:nvSpPr>
      <xdr:spPr>
        <a:xfrm>
          <a:off x="514440" y="162000"/>
          <a:ext cx="4010400" cy="72360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pl-PL" sz="1100" spc="-1" strike="noStrike">
              <a:latin typeface="Times New Roman"/>
            </a:rPr>
            <a:t>Ten kształt odzwierciedla fragmentator. Fragmentatory są obsługiwane w programie Excel 2010 i nowszych wersjach.</a:t>
          </a:r>
          <a:endParaRPr b="0" lang="pl-PL" sz="1100" spc="-1" strike="noStrike">
            <a:latin typeface="Times New Roman"/>
          </a:endParaRPr>
        </a:p>
        <a:p>
          <a:endParaRPr b="0" lang="pl-PL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pl-PL" sz="1100" spc="-1" strike="noStrike">
              <a:latin typeface="Times New Roman"/>
            </a:rPr>
            <a:t>Jeśli kształt został zmodyfikowany w starszej wersji programu Excel lub jeśli skoroszyt został zapisany w programie Excel 2003 albo starszej wersji, korzystanie z fragmentatora jest niemożliwe.</a:t>
          </a:r>
          <a:endParaRPr b="0" lang="pl-PL" sz="1100" spc="-1" strike="noStrike">
            <a:latin typeface="Times New Roman"/>
          </a:endParaRPr>
        </a:p>
      </xdr:txBody>
    </xdr:sp>
    <xdr:clientData/>
  </xdr:twoCellAnchor>
  <xdr:twoCellAnchor editAs="oneCell">
    <xdr:from>
      <xdr:col>5</xdr:col>
      <xdr:colOff>419040</xdr:colOff>
      <xdr:row>0</xdr:row>
      <xdr:rowOff>152280</xdr:rowOff>
    </xdr:from>
    <xdr:to>
      <xdr:col>11</xdr:col>
      <xdr:colOff>313920</xdr:colOff>
      <xdr:row>5</xdr:row>
      <xdr:rowOff>9000</xdr:rowOff>
    </xdr:to>
    <xdr:sp>
      <xdr:nvSpPr>
        <xdr:cNvPr id="1" name=""/>
        <xdr:cNvSpPr/>
      </xdr:nvSpPr>
      <xdr:spPr>
        <a:xfrm>
          <a:off x="11850840" y="152280"/>
          <a:ext cx="4844880" cy="80928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pl-PL" sz="1100" spc="-1" strike="noStrike">
              <a:latin typeface="Times New Roman"/>
            </a:rPr>
            <a:t>Ten kształt odzwierciedla fragmentator. Fragmentatory są obsługiwane w programie Excel 2010 i nowszych wersjach.</a:t>
          </a:r>
          <a:endParaRPr b="0" lang="pl-PL" sz="1100" spc="-1" strike="noStrike">
            <a:latin typeface="Times New Roman"/>
          </a:endParaRPr>
        </a:p>
        <a:p>
          <a:endParaRPr b="0" lang="pl-PL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pl-PL" sz="1100" spc="-1" strike="noStrike">
              <a:latin typeface="Times New Roman"/>
            </a:rPr>
            <a:t>Jeśli kształt został zmodyfikowany w starszej wersji programu Excel lub jeśli skoroszyt został zapisany w programie Excel 2003 albo starszej wersji, korzystanie z fragmentatora jest niemożliwe.</a:t>
          </a:r>
          <a:endParaRPr b="0" lang="pl-PL" sz="1100" spc="-1" strike="noStrike">
            <a:latin typeface="Times New Roman"/>
          </a:endParaRPr>
        </a:p>
      </xdr:txBody>
    </xdr:sp>
    <xdr:clientData/>
  </xdr:twoCellAnchor>
  <xdr:twoCellAnchor editAs="oneCell">
    <xdr:from>
      <xdr:col>2</xdr:col>
      <xdr:colOff>276120</xdr:colOff>
      <xdr:row>7</xdr:row>
      <xdr:rowOff>14400</xdr:rowOff>
    </xdr:from>
    <xdr:to>
      <xdr:col>16</xdr:col>
      <xdr:colOff>171000</xdr:colOff>
      <xdr:row>20</xdr:row>
      <xdr:rowOff>156960</xdr:rowOff>
    </xdr:to>
    <xdr:graphicFrame>
      <xdr:nvGraphicFramePr>
        <xdr:cNvPr id="2" name="Wykres 6"/>
        <xdr:cNvGraphicFramePr/>
      </xdr:nvGraphicFramePr>
      <xdr:xfrm>
        <a:off x="5433480" y="1347840"/>
        <a:ext cx="14913360" cy="2714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50</xdr:row>
      <xdr:rowOff>19080</xdr:rowOff>
    </xdr:from>
    <xdr:to>
      <xdr:col>1</xdr:col>
      <xdr:colOff>561600</xdr:colOff>
      <xdr:row>76</xdr:row>
      <xdr:rowOff>190080</xdr:rowOff>
    </xdr:to>
    <xdr:sp>
      <xdr:nvSpPr>
        <xdr:cNvPr id="3" name=""/>
        <xdr:cNvSpPr/>
      </xdr:nvSpPr>
      <xdr:spPr>
        <a:xfrm>
          <a:off x="0" y="9734760"/>
          <a:ext cx="3495960" cy="540000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pl-PL" sz="1100" spc="-1" strike="noStrike">
              <a:latin typeface="Times New Roman"/>
            </a:rPr>
            <a:t>Ten kształt odzwierciedla fragmentator. Fragmentatory są obsługiwane w programie Excel 2010 i nowszych wersjach.</a:t>
          </a:r>
          <a:endParaRPr b="0" lang="pl-PL" sz="1100" spc="-1" strike="noStrike">
            <a:latin typeface="Times New Roman"/>
          </a:endParaRPr>
        </a:p>
        <a:p>
          <a:endParaRPr b="0" lang="pl-PL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pl-PL" sz="1100" spc="-1" strike="noStrike">
              <a:latin typeface="Times New Roman"/>
            </a:rPr>
            <a:t>Jeśli kształt został zmodyfikowany w starszej wersji programu Excel lub jeśli skoroszyt został zapisany w programie Excel 2003 albo starszej wersji, korzystanie z fragmentatora jest niemożliwe.</a:t>
          </a:r>
          <a:endParaRPr b="0" lang="pl-PL" sz="1100" spc="-1" strike="noStrike">
            <a:latin typeface="Times New Roman"/>
          </a:endParaRPr>
        </a:p>
      </xdr:txBody>
    </xdr:sp>
    <xdr:clientData/>
  </xdr:twoCellAnchor>
  <xdr:twoCellAnchor editAs="oneCell">
    <xdr:from>
      <xdr:col>2</xdr:col>
      <xdr:colOff>347760</xdr:colOff>
      <xdr:row>26</xdr:row>
      <xdr:rowOff>4680</xdr:rowOff>
    </xdr:from>
    <xdr:to>
      <xdr:col>16</xdr:col>
      <xdr:colOff>190080</xdr:colOff>
      <xdr:row>39</xdr:row>
      <xdr:rowOff>147240</xdr:rowOff>
    </xdr:to>
    <xdr:graphicFrame>
      <xdr:nvGraphicFramePr>
        <xdr:cNvPr id="4" name="Wykres 10"/>
        <xdr:cNvGraphicFramePr/>
      </xdr:nvGraphicFramePr>
      <xdr:xfrm>
        <a:off x="5505120" y="5052960"/>
        <a:ext cx="14860800" cy="2714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Dostawcy" displayName="Dostawcy" ref="B4:O8" headerRowCount="1" totalsRowCount="0" totalsRowShown="0">
  <autoFilter ref="B4:O8"/>
  <tableColumns count="14">
    <tableColumn id="1" name="Lp."/>
    <tableColumn id="2" name="Nazwa Dostawcy"/>
    <tableColumn id="3" name="Nazwa skrócona"/>
    <tableColumn id="4" name="Nr dostawcy"/>
    <tableColumn id="5" name="BARWNIK"/>
    <tableColumn id="6" name="Adres"/>
    <tableColumn id="7" name="Kod pocztowy"/>
    <tableColumn id="8" name="Miasto"/>
    <tableColumn id="9" name="Kraj"/>
    <tableColumn id="10" name="NIP"/>
    <tableColumn id="11" name="NR TEL OGÓLNY"/>
    <tableColumn id="12" name="STRONA INTERNETOWA"/>
    <tableColumn id="13" name="WARUNKI PŁATNOŚCI"/>
    <tableColumn id="14" name="UWAGI"/>
  </tableColumns>
</table>
</file>

<file path=xl/tables/table2.xml><?xml version="1.0" encoding="utf-8"?>
<table xmlns="http://schemas.openxmlformats.org/spreadsheetml/2006/main" id="2" name="Dostawcy7" displayName="Dostawcy7" ref="B4:O28" headerRowCount="1" totalsRowCount="0" totalsRowShown="0">
  <autoFilter ref="B4:O28"/>
  <tableColumns count="14">
    <tableColumn id="1" name="Lp."/>
    <tableColumn id="2" name="Nazwa Dostawcy"/>
    <tableColumn id="3" name="Nazwa skrócona"/>
    <tableColumn id="4" name="Nr dostawcy"/>
    <tableColumn id="5" name="TWORZYWO"/>
    <tableColumn id="6" name="Adres"/>
    <tableColumn id="7" name="Kod pocztowy"/>
    <tableColumn id="8" name="Miasto"/>
    <tableColumn id="9" name="Kraj"/>
    <tableColumn id="10" name="NIP"/>
    <tableColumn id="11" name="NR TEL OGÓLNY"/>
    <tableColumn id="12" name="STRONA INTERNETOWA"/>
    <tableColumn id="13" name="WARUNKI PŁATNOŚCI"/>
    <tableColumn id="14" name="UWAGI"/>
  </tableColumns>
</table>
</file>

<file path=xl/tables/table3.xml><?xml version="1.0" encoding="utf-8"?>
<table xmlns="http://schemas.openxmlformats.org/spreadsheetml/2006/main" id="3" name="Tabela4" displayName="Tabela4" ref="B4:K10" headerRowCount="1" totalsRowCount="0" totalsRowShown="0">
  <autoFilter ref="B4:K10"/>
  <tableColumns count="10">
    <tableColumn id="1" name="Lp. "/>
    <tableColumn id="2" name="Nazwa Dostawcy"/>
    <tableColumn id="3" name="Nazwa skrócona"/>
    <tableColumn id="4" name="Nr dostawcy"/>
    <tableColumn id="5" name="BARWNIK"/>
    <tableColumn id="6" name="OSOBA KONTATKOWA"/>
    <tableColumn id="7" name="NR TEL OSOBA KONTAKT."/>
    <tableColumn id="8" name="E-MAIL DO OSOBY KONTAKOWEJ"/>
    <tableColumn id="9" name="Stanowisko"/>
    <tableColumn id="10" name="UWAGI"/>
  </tableColumns>
</table>
</file>

<file path=xl/tables/table4.xml><?xml version="1.0" encoding="utf-8"?>
<table xmlns="http://schemas.openxmlformats.org/spreadsheetml/2006/main" id="4" name="Tabela48" displayName="Tabela48" ref="B4:H30" headerRowCount="1" totalsRowCount="0" totalsRowShown="0">
  <autoFilter ref="B4:H30"/>
  <tableColumns count="7">
    <tableColumn id="1" name="Lp. "/>
    <tableColumn id="2" name="Nazwa skrócona"/>
    <tableColumn id="3" name="Nr dostawcy"/>
    <tableColumn id="4" name="OSOBA KONTATKOWA"/>
    <tableColumn id="5" name="NR TEL OSOBA KONTAKT."/>
    <tableColumn id="6" name="E-MAIL DO OSOBY KONTAKOWEJ"/>
    <tableColumn id="7" name="UWAGI"/>
  </tableColumns>
</table>
</file>

<file path=xl/tables/table5.xml><?xml version="1.0" encoding="utf-8"?>
<table xmlns="http://schemas.openxmlformats.org/spreadsheetml/2006/main" id="5" name="Tabela5" displayName="Tabela5" ref="B4:Q96" headerRowCount="1" totalsRowCount="0" totalsRowShown="0">
  <autoFilter ref="B4:Q96"/>
  <tableColumns count="16">
    <tableColumn id="1" name="Lp."/>
    <tableColumn id="2" name="Nazwa Dostawcy"/>
    <tableColumn id="3" name="Skrócona nazwa"/>
    <tableColumn id="4" name="Nr dostawcy"/>
    <tableColumn id="5" name="TWORZYWA / "/>
    <tableColumn id="6" name="Rodzaj"/>
    <tableColumn id="7" name="Oryginał / regranulat"/>
    <tableColumn id="8" name="Symbol"/>
    <tableColumn id="9" name="Kolor"/>
    <tableColumn id="10" name="Nasza nazwa tworzywa "/>
    <tableColumn id="11" name="Cena Jednostkowa "/>
    <tableColumn id="12" name="PLN/ EURO "/>
    <tableColumn id="13" name="Cena Jednostkowa w PLN"/>
    <tableColumn id="14" name="Jednostka miary (kg)"/>
    <tableColumn id="15" name="Średni czas dostawy&#10;Ilość dni"/>
    <tableColumn id="16" name="Uwagi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tel:+48609613009" TargetMode="External"/><Relationship Id="rId3" Type="http://schemas.openxmlformats.org/officeDocument/2006/relationships/hyperlink" Target="http://www.granpol.com.pl/" TargetMode="External"/><Relationship Id="rId4" Type="http://schemas.openxmlformats.org/officeDocument/2006/relationships/hyperlink" Target="https://www.google.com/search?gs_ssp=eJzj4tZP1zcsSTGpzDY2MWC0UjWoMDE3MDExNrAwtkwyNExOTLMyqEixMDQ2TUlJTLNMNkgxT0714klKTlEoyM-pzE0tKgYAWnITgg&amp;q=bcd+polymers&amp;oq=bcd+pol&amp;gs_lcrp=EgZjaHJvbWUqEAgBEC4YrwEYxwEYgAQYjgUyCggAEAAY4wIYgAQyEAgBEC4YrwEYxwEYgAQYjgUyBwgCE" TargetMode="External"/><Relationship Id="rId5" Type="http://schemas.openxmlformats.org/officeDocument/2006/relationships/hyperlink" Target="https://www.google.com/search?q=TER+Plastics+Sp.+z+o.o.&amp;oq=TER+Plastics+Sp.+z+o.o.&amp;gs_lcrp=EgZjaHJvbWUyBggAEEUYOTIICAEQABgWGB4yCAgCEAAYFhgeMggIAxAAGBYYHjIICAQQABgWGB4yCggFEAAYogQYiQUyBwgGEAAY7wUyCggHEAAYgAQYogTSAQc0MzJqMGo3qAIAsAIA&amp;sourceid=chrome&amp;ie=UTF-" TargetMode="External"/><Relationship Id="rId6" Type="http://schemas.openxmlformats.org/officeDocument/2006/relationships/hyperlink" Target="http://www.petrecyclingteam.eu/" TargetMode="External"/><Relationship Id="rId7" Type="http://schemas.openxmlformats.org/officeDocument/2006/relationships/hyperlink" Target="tel:+48664995559" TargetMode="External"/><Relationship Id="rId8" Type="http://schemas.openxmlformats.org/officeDocument/2006/relationships/hyperlink" Target="tel:+48%2052%20323%2081%2060" TargetMode="External"/><Relationship Id="rId9" Type="http://schemas.openxmlformats.org/officeDocument/2006/relationships/hyperlink" Target="http://www.lifocolor.de/pl" TargetMode="External"/><Relationship Id="rId10" Type="http://schemas.openxmlformats.org/officeDocument/2006/relationships/hyperlink" Target="http://www.gabriel-chemie.com/" TargetMode="External"/><Relationship Id="rId11" Type="http://schemas.openxmlformats.org/officeDocument/2006/relationships/hyperlink" Target="mailto:office@gmcolor.pl" TargetMode="External"/><Relationship Id="rId12" Type="http://schemas.openxmlformats.org/officeDocument/2006/relationships/vmlDrawing" Target="../drawings/vmlDrawing1.vml"/><Relationship Id="rId13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mailto:joanna.balcerzak@bcd-polymers.pl" TargetMode="External"/><Relationship Id="rId3" Type="http://schemas.openxmlformats.org/officeDocument/2006/relationships/hyperlink" Target="mailto:joanna.balcerzak@bcd-polymers.pl" TargetMode="External"/><Relationship Id="rId4" Type="http://schemas.openxmlformats.org/officeDocument/2006/relationships/hyperlink" Target="mailto:slawomir.puzio@ekobasket.pl" TargetMode="External"/><Relationship Id="rId5" Type="http://schemas.openxmlformats.org/officeDocument/2006/relationships/hyperlink" Target="mailto:sylwia.miter@ppc.pl" TargetMode="External"/><Relationship Id="rId6" Type="http://schemas.openxmlformats.org/officeDocument/2006/relationships/hyperlink" Target="mailto:Barbara.Ciesielska@petrecyclingteam.eu" TargetMode="External"/><Relationship Id="rId7" Type="http://schemas.openxmlformats.org/officeDocument/2006/relationships/hyperlink" Target="tel:6640995559" TargetMode="External"/><Relationship Id="rId8" Type="http://schemas.openxmlformats.org/officeDocument/2006/relationships/hyperlink" Target="mailto:bartosz@plastpro.pl" TargetMode="External"/><Relationship Id="rId9" Type="http://schemas.openxmlformats.org/officeDocument/2006/relationships/hyperlink" Target="mailto:Ivan@plasticsolutions.pl" TargetMode="External"/><Relationship Id="rId10" Type="http://schemas.openxmlformats.org/officeDocument/2006/relationships/hyperlink" Target="tel:+48%20664%20596%20988" TargetMode="External"/><Relationship Id="rId11" Type="http://schemas.openxmlformats.org/officeDocument/2006/relationships/hyperlink" Target="mailto:bartosz.rusicki@benvic.com" TargetMode="External"/><Relationship Id="rId12" Type="http://schemas.openxmlformats.org/officeDocument/2006/relationships/hyperlink" Target="mailto:konrad.brywczynski@ultrapolymers.com" TargetMode="External"/><Relationship Id="rId13" Type="http://schemas.openxmlformats.org/officeDocument/2006/relationships/vmlDrawing" Target="../drawings/vmlDrawing2.vml"/><Relationship Id="rId14" Type="http://schemas.openxmlformats.org/officeDocument/2006/relationships/table" Target="../tables/table4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tel:+48%2052%20323%2081%2060" TargetMode="External"/><Relationship Id="rId2" Type="http://schemas.openxmlformats.org/officeDocument/2006/relationships/hyperlink" Target="http://www.lifocolor.de/pl" TargetMode="External"/><Relationship Id="rId3" Type="http://schemas.openxmlformats.org/officeDocument/2006/relationships/hyperlink" Target="http://www.gabriel-chemie.com/" TargetMode="External"/><Relationship Id="rId4" Type="http://schemas.openxmlformats.org/officeDocument/2006/relationships/hyperlink" Target="mailto:office@gmcolor.pl" TargetMode="External"/><Relationship Id="rId5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hyperlink" Target="mailto:biuro@emipak.pl" TargetMode="External"/><Relationship Id="rId3" Type="http://schemas.openxmlformats.org/officeDocument/2006/relationships/hyperlink" Target="mailto:j.kirewicz@pl.gabriel-chemie.com" TargetMode="External"/><Relationship Id="rId4" Type="http://schemas.openxmlformats.org/officeDocument/2006/relationships/vmlDrawing" Target="../drawings/vmlDrawing3.vml"/><Relationship Id="rId5" Type="http://schemas.openxmlformats.org/officeDocument/2006/relationships/table" Target="../tables/table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<Relationship Id="rId3" Type="http://schemas.openxmlformats.org/officeDocument/2006/relationships/table" Target="../tables/table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5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0000"/>
    <pageSetUpPr fitToPage="false"/>
  </sheetPr>
  <dimension ref="A1:Q95"/>
  <sheetViews>
    <sheetView showFormulas="false" showGridLines="true" showRowColHeaders="true" showZeros="true" rightToLeft="false" tabSelected="false" showOutlineSymbols="true" defaultGridColor="true" view="normal" topLeftCell="A9" colorId="64" zoomScale="100" zoomScaleNormal="100" zoomScalePageLayoutView="100" workbookViewId="0">
      <selection pane="topLeft" activeCell="A9" activeCellId="0" sqref="A9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3"/>
    <col collapsed="false" customWidth="true" hidden="false" outlineLevel="0" max="2" min="2" style="0" width="25"/>
    <col collapsed="false" customWidth="true" hidden="false" outlineLevel="0" max="3" min="3" style="0" width="16.28"/>
    <col collapsed="false" customWidth="true" hidden="false" outlineLevel="0" max="4" min="4" style="0" width="39.14"/>
    <col collapsed="false" customWidth="true" hidden="false" outlineLevel="0" max="5" min="5" style="0" width="15.14"/>
    <col collapsed="false" customWidth="true" hidden="false" outlineLevel="0" max="6" min="6" style="0" width="1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customFormat="false" ht="15" hidden="false" customHeight="false" outlineLevel="0" collapsed="false"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customFormat="false" ht="15.75" hidden="false" customHeight="false" outlineLevel="0" collapsed="false">
      <c r="A8" s="2" t="s">
        <v>0</v>
      </c>
      <c r="B8" s="2" t="s">
        <v>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customFormat="false" ht="15.75" hidden="false" customHeight="false" outlineLevel="0" collapsed="false">
      <c r="A9" s="2" t="s">
        <v>2</v>
      </c>
      <c r="B9" s="2" t="s">
        <v>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customFormat="false" ht="15.75" hidden="false" customHeight="false" outlineLevel="0" collapsed="false">
      <c r="A10" s="3" t="s">
        <v>4</v>
      </c>
      <c r="B10" s="4" t="n">
        <v>9935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customFormat="false" ht="15.75" hidden="false" customHeight="false" outlineLevel="0" collapsed="false">
      <c r="A11" s="3" t="s">
        <v>5</v>
      </c>
      <c r="B11" s="4" t="n">
        <v>7200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customFormat="false" ht="15.75" hidden="false" customHeight="false" outlineLevel="0" collapsed="false">
      <c r="A12" s="3" t="s">
        <v>6</v>
      </c>
      <c r="B12" s="4" t="n">
        <v>20720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customFormat="false" ht="15.75" hidden="false" customHeight="false" outlineLevel="0" collapsed="false">
      <c r="A13" s="3" t="s">
        <v>7</v>
      </c>
      <c r="B13" s="4" t="n">
        <v>4000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customFormat="false" ht="15.75" hidden="false" customHeight="false" outlineLevel="0" collapsed="false">
      <c r="A14" s="3" t="s">
        <v>8</v>
      </c>
      <c r="B14" s="4" t="n">
        <v>1750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customFormat="false" ht="15.75" hidden="false" customHeight="false" outlineLevel="0" collapsed="false">
      <c r="A15" s="3" t="s">
        <v>9</v>
      </c>
      <c r="B15" s="4" t="n">
        <v>3114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customFormat="false" ht="15.75" hidden="false" customHeight="false" outlineLevel="0" collapsed="false">
      <c r="A16" s="3" t="s">
        <v>10</v>
      </c>
      <c r="B16" s="4" t="n">
        <v>1000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customFormat="false" ht="15.75" hidden="false" customHeight="false" outlineLevel="0" collapsed="false">
      <c r="A17" s="3" t="s">
        <v>11</v>
      </c>
      <c r="B17" s="4" t="n">
        <v>3700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customFormat="false" ht="15" hidden="false" customHeight="false" outlineLevel="0" collapsed="false"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customFormat="false" ht="15" hidden="false" customHeight="false" outlineLevel="0" collapsed="false"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customFormat="false" ht="15" hidden="false" customHeight="false" outlineLevel="0" collapsed="false"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customFormat="false" ht="15" hidden="false" customHeight="false" outlineLevel="0" collapsed="false"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customFormat="false" ht="15" hidden="false" customHeight="false" outlineLevel="0" collapsed="false"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customFormat="false" ht="15.75" hidden="false" customHeight="false" outlineLevel="0" collapsed="false">
      <c r="A27" s="2" t="s">
        <v>12</v>
      </c>
      <c r="B27" s="2" t="s">
        <v>1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customFormat="false" ht="15.75" hidden="false" customHeight="false" outlineLevel="0" collapsed="false">
      <c r="A28" s="2" t="s">
        <v>2</v>
      </c>
      <c r="B28" s="2" t="s">
        <v>3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customFormat="false" ht="15.75" hidden="false" customHeight="false" outlineLevel="0" collapsed="false">
      <c r="A29" s="3" t="s">
        <v>4</v>
      </c>
      <c r="B29" s="4" t="n">
        <v>60110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customFormat="false" ht="15.75" hidden="false" customHeight="false" outlineLevel="0" collapsed="false">
      <c r="A30" s="3" t="s">
        <v>5</v>
      </c>
      <c r="B30" s="4" t="n">
        <v>43200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customFormat="false" ht="15.75" hidden="false" customHeight="false" outlineLevel="0" collapsed="false">
      <c r="A31" s="3" t="s">
        <v>6</v>
      </c>
      <c r="B31" s="4" t="n">
        <v>328182.54096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customFormat="false" ht="15.75" hidden="false" customHeight="false" outlineLevel="0" collapsed="false">
      <c r="A32" s="3" t="s">
        <v>7</v>
      </c>
      <c r="B32" s="4" t="n">
        <v>25200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customFormat="false" ht="15.75" hidden="false" customHeight="false" outlineLevel="0" collapsed="false">
      <c r="A33" s="3" t="s">
        <v>8</v>
      </c>
      <c r="B33" s="4" t="n">
        <v>19475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customFormat="false" ht="15.75" hidden="false" customHeight="false" outlineLevel="0" collapsed="false">
      <c r="A34" s="3" t="s">
        <v>9</v>
      </c>
      <c r="B34" s="4" t="n">
        <v>13078.8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customFormat="false" ht="15.75" hidden="false" customHeight="false" outlineLevel="0" collapsed="false">
      <c r="A35" s="3" t="s">
        <v>10</v>
      </c>
      <c r="B35" s="4" t="n">
        <v>5978.4312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customFormat="false" ht="15.75" hidden="false" customHeight="false" outlineLevel="0" collapsed="false">
      <c r="A36" s="3" t="s">
        <v>11</v>
      </c>
      <c r="B36" s="4" t="n">
        <v>30510.04125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customFormat="false" ht="15" hidden="false" customHeight="false" outlineLevel="0" collapsed="false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customFormat="false" ht="15" hidden="false" customHeight="false" outlineLevel="0" collapsed="false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customFormat="false" ht="15" hidden="false" customHeight="false" outlineLevel="0" collapsed="false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customFormat="false" ht="15" hidden="false" customHeight="false" outlineLevel="0" collapsed="false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customFormat="false" ht="15" hidden="false" customHeight="false" outlineLevel="0" collapsed="false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customFormat="false" ht="15" hidden="false" customHeight="false" outlineLevel="0" collapsed="false">
      <c r="A51" s="1"/>
      <c r="B51" s="1"/>
      <c r="I51" s="1"/>
      <c r="J51" s="1"/>
      <c r="K51" s="1"/>
      <c r="L51" s="1"/>
      <c r="M51" s="1"/>
      <c r="N51" s="1"/>
      <c r="O51" s="1"/>
      <c r="P51" s="1"/>
      <c r="Q51" s="1"/>
    </row>
    <row r="52" customFormat="false" ht="15.75" hidden="false" customHeight="false" outlineLevel="0" collapsed="false">
      <c r="A52" s="1"/>
      <c r="B52" s="1"/>
      <c r="C52" s="2" t="s">
        <v>0</v>
      </c>
      <c r="D52" s="2"/>
      <c r="E52" s="2" t="s">
        <v>13</v>
      </c>
      <c r="F52" s="2"/>
      <c r="I52" s="1"/>
      <c r="J52" s="1"/>
      <c r="K52" s="1"/>
      <c r="L52" s="1"/>
      <c r="M52" s="1"/>
      <c r="N52" s="1"/>
      <c r="O52" s="1"/>
      <c r="P52" s="1"/>
      <c r="Q52" s="1"/>
    </row>
    <row r="53" customFormat="false" ht="31.5" hidden="false" customHeight="false" outlineLevel="0" collapsed="false">
      <c r="A53" s="1"/>
      <c r="B53" s="1"/>
      <c r="C53" s="2" t="s">
        <v>14</v>
      </c>
      <c r="D53" s="2" t="s">
        <v>15</v>
      </c>
      <c r="E53" s="2" t="s">
        <v>3</v>
      </c>
      <c r="F53" s="5" t="s">
        <v>16</v>
      </c>
      <c r="I53" s="1"/>
      <c r="J53" s="1"/>
      <c r="K53" s="1"/>
      <c r="L53" s="1"/>
      <c r="M53" s="1"/>
      <c r="N53" s="1"/>
      <c r="O53" s="1"/>
      <c r="P53" s="1"/>
      <c r="Q53" s="1"/>
    </row>
    <row r="54" customFormat="false" ht="15.75" hidden="false" customHeight="false" outlineLevel="0" collapsed="false">
      <c r="A54" s="1"/>
      <c r="B54" s="1"/>
      <c r="C54" s="2" t="s">
        <v>17</v>
      </c>
      <c r="D54" s="2" t="s">
        <v>18</v>
      </c>
      <c r="E54" s="4" t="n">
        <v>250</v>
      </c>
      <c r="F54" s="6" t="n">
        <v>250</v>
      </c>
      <c r="I54" s="1"/>
      <c r="J54" s="1"/>
      <c r="K54" s="1"/>
      <c r="L54" s="1"/>
      <c r="M54" s="1"/>
      <c r="N54" s="1"/>
      <c r="O54" s="1"/>
      <c r="P54" s="1"/>
      <c r="Q54" s="1"/>
    </row>
    <row r="55" customFormat="false" ht="15.75" hidden="false" customHeight="false" outlineLevel="0" collapsed="false">
      <c r="A55" s="1"/>
      <c r="B55" s="1"/>
      <c r="C55" s="2"/>
      <c r="D55" s="2" t="s">
        <v>19</v>
      </c>
      <c r="E55" s="4" t="n">
        <v>150</v>
      </c>
      <c r="F55" s="6" t="n">
        <v>150</v>
      </c>
      <c r="I55" s="1"/>
      <c r="J55" s="1"/>
      <c r="K55" s="1"/>
      <c r="L55" s="1"/>
      <c r="M55" s="1"/>
      <c r="N55" s="1"/>
      <c r="O55" s="1"/>
      <c r="P55" s="1"/>
      <c r="Q55" s="1"/>
    </row>
    <row r="56" customFormat="false" ht="15.75" hidden="false" customHeight="false" outlineLevel="0" collapsed="false">
      <c r="A56" s="1"/>
      <c r="B56" s="1"/>
      <c r="C56" s="2"/>
      <c r="D56" s="2" t="s">
        <v>20</v>
      </c>
      <c r="E56" s="4" t="n">
        <v>500</v>
      </c>
      <c r="F56" s="6" t="n">
        <v>500</v>
      </c>
      <c r="I56" s="1"/>
      <c r="J56" s="1"/>
      <c r="K56" s="1"/>
      <c r="L56" s="1"/>
      <c r="M56" s="1"/>
      <c r="N56" s="1"/>
      <c r="O56" s="1"/>
      <c r="P56" s="1"/>
      <c r="Q56" s="1"/>
    </row>
    <row r="57" customFormat="false" ht="15.75" hidden="false" customHeight="false" outlineLevel="0" collapsed="false">
      <c r="A57" s="1"/>
      <c r="B57" s="1"/>
      <c r="C57" s="2" t="s">
        <v>21</v>
      </c>
      <c r="D57" s="2" t="s">
        <v>19</v>
      </c>
      <c r="E57" s="4" t="n">
        <v>100</v>
      </c>
      <c r="F57" s="6" t="n">
        <v>100</v>
      </c>
      <c r="I57" s="1"/>
      <c r="J57" s="1"/>
      <c r="K57" s="1"/>
      <c r="L57" s="1"/>
      <c r="M57" s="1"/>
      <c r="N57" s="1"/>
      <c r="O57" s="1"/>
      <c r="P57" s="1"/>
      <c r="Q57" s="1"/>
    </row>
    <row r="58" customFormat="false" ht="15.75" hidden="false" customHeight="false" outlineLevel="0" collapsed="false">
      <c r="A58" s="1"/>
      <c r="B58" s="1"/>
      <c r="C58" s="2" t="s">
        <v>22</v>
      </c>
      <c r="D58" s="2" t="s">
        <v>23</v>
      </c>
      <c r="E58" s="4" t="n">
        <v>250</v>
      </c>
      <c r="F58" s="6" t="n">
        <v>250</v>
      </c>
      <c r="I58" s="1"/>
      <c r="J58" s="1"/>
      <c r="K58" s="1"/>
      <c r="L58" s="1"/>
      <c r="M58" s="1"/>
      <c r="N58" s="1"/>
      <c r="O58" s="1"/>
      <c r="P58" s="1"/>
      <c r="Q58" s="1"/>
    </row>
    <row r="59" customFormat="false" ht="15.75" hidden="false" customHeight="false" outlineLevel="0" collapsed="false">
      <c r="A59" s="1"/>
      <c r="B59" s="1"/>
      <c r="C59" s="2" t="s">
        <v>24</v>
      </c>
      <c r="D59" s="2" t="s">
        <v>25</v>
      </c>
      <c r="E59" s="4" t="n">
        <v>500</v>
      </c>
      <c r="F59" s="6" t="n">
        <v>500</v>
      </c>
      <c r="I59" s="1"/>
      <c r="J59" s="1"/>
      <c r="K59" s="1"/>
      <c r="L59" s="1"/>
      <c r="M59" s="1"/>
      <c r="N59" s="1"/>
      <c r="O59" s="1"/>
      <c r="P59" s="1"/>
      <c r="Q59" s="1"/>
    </row>
    <row r="60" customFormat="false" ht="15" hidden="false" customHeight="false" outlineLevel="0" collapsed="false">
      <c r="A60" s="1"/>
      <c r="B60" s="1"/>
      <c r="I60" s="1"/>
      <c r="J60" s="1"/>
      <c r="K60" s="1"/>
      <c r="L60" s="1"/>
      <c r="M60" s="1"/>
      <c r="N60" s="1"/>
      <c r="O60" s="1"/>
      <c r="P60" s="1"/>
      <c r="Q60" s="1"/>
    </row>
    <row r="61" customFormat="false" ht="15" hidden="false" customHeight="false" outlineLevel="0" collapsed="false">
      <c r="A61" s="1"/>
      <c r="B61" s="1"/>
      <c r="I61" s="1"/>
      <c r="J61" s="1"/>
      <c r="K61" s="1"/>
      <c r="L61" s="1"/>
      <c r="M61" s="1"/>
      <c r="N61" s="1"/>
      <c r="O61" s="1"/>
      <c r="P61" s="1"/>
      <c r="Q61" s="1"/>
    </row>
    <row r="62" customFormat="false" ht="15" hidden="false" customHeight="false" outlineLevel="0" collapsed="false">
      <c r="A62" s="1"/>
      <c r="B62" s="1"/>
      <c r="I62" s="1"/>
      <c r="J62" s="1"/>
      <c r="K62" s="1"/>
      <c r="L62" s="1"/>
      <c r="M62" s="1"/>
      <c r="N62" s="1"/>
      <c r="O62" s="1"/>
      <c r="P62" s="1"/>
      <c r="Q62" s="1"/>
    </row>
    <row r="63" customFormat="false" ht="15" hidden="false" customHeight="false" outlineLevel="0" collapsed="false">
      <c r="A63" s="1"/>
      <c r="B63" s="1"/>
      <c r="I63" s="1"/>
      <c r="J63" s="1"/>
      <c r="K63" s="1"/>
      <c r="L63" s="1"/>
      <c r="M63" s="1"/>
      <c r="N63" s="1"/>
      <c r="O63" s="1"/>
      <c r="P63" s="1"/>
      <c r="Q63" s="1"/>
    </row>
    <row r="64" customFormat="false" ht="15" hidden="false" customHeight="false" outlineLevel="0" collapsed="false">
      <c r="A64" s="1"/>
      <c r="B64" s="1"/>
      <c r="I64" s="1"/>
      <c r="J64" s="1"/>
      <c r="K64" s="1"/>
      <c r="L64" s="1"/>
      <c r="M64" s="1"/>
      <c r="N64" s="1"/>
      <c r="O64" s="1"/>
      <c r="P64" s="1"/>
      <c r="Q64" s="1"/>
    </row>
    <row r="65" customFormat="false" ht="15" hidden="false" customHeight="false" outlineLevel="0" collapsed="false">
      <c r="A65" s="1"/>
      <c r="B65" s="1"/>
      <c r="I65" s="1"/>
      <c r="J65" s="1"/>
      <c r="K65" s="1"/>
      <c r="L65" s="1"/>
      <c r="M65" s="1"/>
      <c r="N65" s="1"/>
      <c r="O65" s="1"/>
      <c r="P65" s="1"/>
      <c r="Q65" s="1"/>
    </row>
    <row r="66" customFormat="false" ht="15" hidden="false" customHeight="false" outlineLevel="0" collapsed="false">
      <c r="A66" s="1"/>
      <c r="B66" s="1"/>
      <c r="I66" s="1"/>
      <c r="J66" s="1"/>
      <c r="K66" s="1"/>
      <c r="L66" s="1"/>
      <c r="M66" s="1"/>
      <c r="N66" s="1"/>
      <c r="O66" s="1"/>
      <c r="P66" s="1"/>
      <c r="Q66" s="1"/>
    </row>
    <row r="67" customFormat="false" ht="15" hidden="false" customHeight="false" outlineLevel="0" collapsed="false">
      <c r="A67" s="1"/>
      <c r="B67" s="1"/>
      <c r="I67" s="1"/>
      <c r="J67" s="1"/>
      <c r="K67" s="1"/>
      <c r="L67" s="1"/>
      <c r="M67" s="1"/>
      <c r="N67" s="1"/>
      <c r="O67" s="1"/>
      <c r="P67" s="1"/>
      <c r="Q67" s="1"/>
    </row>
    <row r="68" customFormat="false" ht="15" hidden="false" customHeight="false" outlineLevel="0" collapsed="false">
      <c r="A68" s="1"/>
      <c r="B68" s="1"/>
      <c r="I68" s="1"/>
      <c r="J68" s="1"/>
      <c r="K68" s="1"/>
      <c r="L68" s="1"/>
      <c r="M68" s="1"/>
      <c r="N68" s="1"/>
      <c r="O68" s="1"/>
      <c r="P68" s="1"/>
      <c r="Q68" s="1"/>
    </row>
    <row r="69" customFormat="false" ht="15" hidden="false" customHeight="false" outlineLevel="0" collapsed="false">
      <c r="A69" s="1"/>
      <c r="B69" s="1"/>
      <c r="I69" s="1"/>
      <c r="J69" s="1"/>
      <c r="K69" s="1"/>
      <c r="L69" s="1"/>
      <c r="M69" s="1"/>
      <c r="N69" s="1"/>
      <c r="O69" s="1"/>
      <c r="P69" s="1"/>
      <c r="Q69" s="1"/>
    </row>
    <row r="70" customFormat="false" ht="15" hidden="false" customHeight="false" outlineLevel="0" collapsed="false">
      <c r="A70" s="1"/>
      <c r="B70" s="1"/>
      <c r="I70" s="1"/>
      <c r="J70" s="1"/>
      <c r="K70" s="1"/>
      <c r="L70" s="1"/>
      <c r="M70" s="1"/>
      <c r="N70" s="1"/>
      <c r="O70" s="1"/>
      <c r="P70" s="1"/>
      <c r="Q70" s="1"/>
    </row>
    <row r="71" customFormat="false" ht="15" hidden="false" customHeight="false" outlineLevel="0" collapsed="false">
      <c r="A71" s="1"/>
      <c r="B71" s="1"/>
      <c r="I71" s="1"/>
      <c r="J71" s="1"/>
      <c r="K71" s="1"/>
      <c r="L71" s="1"/>
      <c r="M71" s="1"/>
      <c r="N71" s="1"/>
      <c r="O71" s="1"/>
      <c r="P71" s="1"/>
      <c r="Q71" s="1"/>
    </row>
    <row r="72" customFormat="false" ht="15" hidden="false" customHeight="false" outlineLevel="0" collapsed="false">
      <c r="A72" s="1"/>
      <c r="B72" s="1"/>
      <c r="I72" s="1"/>
      <c r="J72" s="1"/>
      <c r="K72" s="1"/>
      <c r="L72" s="1"/>
      <c r="M72" s="1"/>
      <c r="N72" s="1"/>
      <c r="O72" s="1"/>
      <c r="P72" s="1"/>
      <c r="Q72" s="1"/>
    </row>
    <row r="73" customFormat="false" ht="15" hidden="false" customHeight="false" outlineLevel="0" collapsed="false">
      <c r="A73" s="1"/>
      <c r="B73" s="1"/>
      <c r="I73" s="1"/>
      <c r="J73" s="1"/>
      <c r="K73" s="1"/>
      <c r="L73" s="1"/>
      <c r="M73" s="1"/>
      <c r="N73" s="1"/>
      <c r="O73" s="1"/>
      <c r="P73" s="1"/>
      <c r="Q73" s="1"/>
    </row>
    <row r="74" customFormat="false" ht="15" hidden="false" customHeight="false" outlineLevel="0" collapsed="false">
      <c r="A74" s="1"/>
      <c r="B74" s="1"/>
      <c r="I74" s="1"/>
      <c r="J74" s="1"/>
      <c r="K74" s="1"/>
      <c r="L74" s="1"/>
      <c r="M74" s="1"/>
      <c r="N74" s="1"/>
      <c r="O74" s="1"/>
      <c r="P74" s="1"/>
      <c r="Q74" s="1"/>
    </row>
    <row r="75" customFormat="false" ht="15" hidden="false" customHeight="false" outlineLevel="0" collapsed="false">
      <c r="A75" s="1"/>
      <c r="B75" s="1"/>
      <c r="I75" s="1"/>
      <c r="J75" s="1"/>
      <c r="K75" s="1"/>
      <c r="L75" s="1"/>
      <c r="M75" s="1"/>
      <c r="N75" s="1"/>
      <c r="O75" s="1"/>
      <c r="P75" s="1"/>
      <c r="Q75" s="1"/>
    </row>
    <row r="76" customFormat="false" ht="15" hidden="false" customHeight="false" outlineLevel="0" collapsed="false">
      <c r="A76" s="1"/>
      <c r="B76" s="1"/>
      <c r="I76" s="1"/>
      <c r="J76" s="1"/>
      <c r="K76" s="1"/>
      <c r="L76" s="1"/>
      <c r="M76" s="1"/>
      <c r="N76" s="1"/>
      <c r="O76" s="1"/>
      <c r="P76" s="1"/>
      <c r="Q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customFormat="false" ht="1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customFormat="false" ht="1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customFormat="false" ht="1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customFormat="false" ht="1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customFormat="false" ht="1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customFormat="false" ht="1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customFormat="false" ht="1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8FAADC"/>
    <pageSetUpPr fitToPage="false"/>
  </sheetPr>
  <dimension ref="A1:O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4" activeCellId="0" sqref="O4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.28"/>
    <col collapsed="false" customWidth="true" hidden="false" outlineLevel="0" max="2" min="2" style="7" width="7.14"/>
    <col collapsed="false" customWidth="true" hidden="false" outlineLevel="0" max="3" min="3" style="0" width="32.86"/>
    <col collapsed="false" customWidth="true" hidden="false" outlineLevel="0" max="4" min="4" style="7" width="15.71"/>
    <col collapsed="false" customWidth="true" hidden="false" outlineLevel="0" max="5" min="5" style="8" width="17"/>
    <col collapsed="false" customWidth="true" hidden="false" outlineLevel="0" max="6" min="6" style="0" width="18.57"/>
    <col collapsed="false" customWidth="true" hidden="false" outlineLevel="0" max="7" min="7" style="0" width="29"/>
    <col collapsed="false" customWidth="true" hidden="false" outlineLevel="0" max="8" min="8" style="7" width="13.85"/>
    <col collapsed="false" customWidth="true" hidden="false" outlineLevel="0" max="9" min="9" style="0" width="12.85"/>
    <col collapsed="false" customWidth="true" hidden="false" outlineLevel="0" max="10" min="10" style="0" width="8.71"/>
    <col collapsed="false" customWidth="true" hidden="false" outlineLevel="0" max="11" min="11" style="0" width="13.85"/>
    <col collapsed="false" customWidth="true" hidden="false" outlineLevel="0" max="12" min="12" style="8" width="17"/>
    <col collapsed="false" customWidth="true" hidden="false" outlineLevel="0" max="13" min="13" style="0" width="30.42"/>
    <col collapsed="false" customWidth="true" hidden="false" outlineLevel="0" max="14" min="14" style="0" width="16.14"/>
    <col collapsed="false" customWidth="true" hidden="false" outlineLevel="0" max="15" min="15" style="0" width="11.43"/>
  </cols>
  <sheetData>
    <row r="1" customFormat="false" ht="58.5" hidden="false" customHeight="true" outlineLevel="0" collapsed="false">
      <c r="A1" s="9" t="e">
        <f aca="false">#VALUE!</f>
        <v>#VALUE!</v>
      </c>
      <c r="B1" s="9"/>
      <c r="C1" s="9"/>
    </row>
    <row r="2" customFormat="false" ht="31.5" hidden="false" customHeight="true" outlineLevel="0" collapsed="false">
      <c r="A2" s="10"/>
      <c r="B2" s="11" t="s">
        <v>26</v>
      </c>
      <c r="C2" s="11"/>
      <c r="D2" s="12"/>
      <c r="E2" s="13"/>
      <c r="F2" s="14"/>
    </row>
    <row r="4" s="15" customFormat="true" ht="64.5" hidden="false" customHeight="true" outlineLevel="0" collapsed="false">
      <c r="B4" s="16" t="s">
        <v>27</v>
      </c>
      <c r="C4" s="16" t="s">
        <v>28</v>
      </c>
      <c r="D4" s="17" t="s">
        <v>29</v>
      </c>
      <c r="E4" s="17" t="s">
        <v>30</v>
      </c>
      <c r="F4" s="17" t="s">
        <v>31</v>
      </c>
      <c r="G4" s="16" t="s">
        <v>32</v>
      </c>
      <c r="H4" s="17" t="s">
        <v>33</v>
      </c>
      <c r="I4" s="16" t="s">
        <v>34</v>
      </c>
      <c r="J4" s="16" t="s">
        <v>35</v>
      </c>
      <c r="K4" s="16" t="s">
        <v>36</v>
      </c>
      <c r="L4" s="17" t="s">
        <v>37</v>
      </c>
      <c r="M4" s="16" t="s">
        <v>38</v>
      </c>
      <c r="N4" s="17" t="s">
        <v>39</v>
      </c>
      <c r="O4" s="16" t="s">
        <v>40</v>
      </c>
    </row>
    <row r="5" s="18" customFormat="true" ht="15" hidden="false" customHeight="false" outlineLevel="0" collapsed="false">
      <c r="B5" s="19" t="n">
        <v>1</v>
      </c>
      <c r="C5" s="20" t="s">
        <v>8</v>
      </c>
      <c r="D5" s="21" t="s">
        <v>41</v>
      </c>
      <c r="E5" s="22" t="s">
        <v>42</v>
      </c>
      <c r="F5" s="22" t="s">
        <v>31</v>
      </c>
      <c r="G5" s="21" t="s">
        <v>43</v>
      </c>
      <c r="H5" s="22" t="s">
        <v>44</v>
      </c>
      <c r="I5" s="20" t="s">
        <v>45</v>
      </c>
      <c r="J5" s="22" t="s">
        <v>46</v>
      </c>
      <c r="K5" s="20" t="n">
        <v>7811940812</v>
      </c>
      <c r="L5" s="23" t="n">
        <v>48575511412</v>
      </c>
      <c r="M5" s="22" t="s">
        <v>47</v>
      </c>
      <c r="N5" s="22" t="s">
        <v>48</v>
      </c>
      <c r="O5" s="22"/>
    </row>
    <row r="6" s="18" customFormat="true" ht="15.75" hidden="false" customHeight="true" outlineLevel="0" collapsed="false">
      <c r="B6" s="19" t="n">
        <v>2</v>
      </c>
      <c r="C6" s="20" t="s">
        <v>6</v>
      </c>
      <c r="D6" s="21" t="s">
        <v>49</v>
      </c>
      <c r="E6" s="22" t="s">
        <v>50</v>
      </c>
      <c r="F6" s="22" t="s">
        <v>31</v>
      </c>
      <c r="G6" s="21" t="s">
        <v>51</v>
      </c>
      <c r="H6" s="22" t="n">
        <v>84478</v>
      </c>
      <c r="I6" s="20" t="s">
        <v>52</v>
      </c>
      <c r="J6" s="22" t="s">
        <v>53</v>
      </c>
      <c r="K6" s="20"/>
      <c r="L6" s="22"/>
      <c r="M6" s="22"/>
      <c r="N6" s="22" t="s">
        <v>48</v>
      </c>
      <c r="O6" s="22"/>
    </row>
    <row r="7" s="18" customFormat="true" ht="15.75" hidden="false" customHeight="true" outlineLevel="0" collapsed="false">
      <c r="B7" s="19" t="n">
        <v>3</v>
      </c>
      <c r="C7" s="20" t="s">
        <v>54</v>
      </c>
      <c r="D7" s="21" t="s">
        <v>55</v>
      </c>
      <c r="E7" s="22" t="s">
        <v>56</v>
      </c>
      <c r="F7" s="22" t="s">
        <v>31</v>
      </c>
      <c r="G7" s="21" t="s">
        <v>57</v>
      </c>
      <c r="H7" s="22" t="s">
        <v>58</v>
      </c>
      <c r="I7" s="20" t="s">
        <v>59</v>
      </c>
      <c r="J7" s="22" t="s">
        <v>46</v>
      </c>
      <c r="K7" s="20" t="n">
        <v>8881003651</v>
      </c>
      <c r="L7" s="24" t="s">
        <v>60</v>
      </c>
      <c r="M7" s="24" t="s">
        <v>61</v>
      </c>
      <c r="N7" s="22" t="s">
        <v>62</v>
      </c>
      <c r="O7" s="22"/>
    </row>
    <row r="8" s="25" customFormat="true" ht="15" hidden="false" customHeight="false" outlineLevel="0" collapsed="false">
      <c r="B8" s="19" t="n">
        <v>4</v>
      </c>
      <c r="C8" s="26" t="s">
        <v>63</v>
      </c>
      <c r="D8" s="21" t="s">
        <v>64</v>
      </c>
      <c r="E8" s="22" t="s">
        <v>65</v>
      </c>
      <c r="F8" s="22" t="s">
        <v>31</v>
      </c>
      <c r="G8" s="21" t="s">
        <v>66</v>
      </c>
      <c r="H8" s="22" t="s">
        <v>67</v>
      </c>
      <c r="I8" s="20" t="s">
        <v>68</v>
      </c>
      <c r="J8" s="22" t="s">
        <v>46</v>
      </c>
      <c r="K8" s="20" t="n">
        <v>7772903697</v>
      </c>
      <c r="L8" s="24" t="s">
        <v>69</v>
      </c>
      <c r="M8" s="22" t="s">
        <v>70</v>
      </c>
      <c r="N8" s="22"/>
      <c r="O8" s="22"/>
    </row>
    <row r="9" s="25" customFormat="true" ht="15" hidden="false" customHeight="false" outlineLevel="0" collapsed="false">
      <c r="B9" s="19" t="n">
        <v>5</v>
      </c>
      <c r="C9" s="20" t="s">
        <v>71</v>
      </c>
      <c r="D9" s="21" t="s">
        <v>72</v>
      </c>
      <c r="E9" s="22" t="s">
        <v>73</v>
      </c>
      <c r="F9" s="22" t="s">
        <v>31</v>
      </c>
      <c r="G9" s="21" t="s">
        <v>74</v>
      </c>
      <c r="H9" s="22" t="s">
        <v>75</v>
      </c>
      <c r="I9" s="20" t="s">
        <v>76</v>
      </c>
      <c r="J9" s="22" t="s">
        <v>46</v>
      </c>
      <c r="K9" s="20" t="n">
        <v>5170366748</v>
      </c>
      <c r="L9" s="24" t="s">
        <v>77</v>
      </c>
      <c r="M9" s="22" t="s">
        <v>78</v>
      </c>
      <c r="N9" s="22" t="s">
        <v>79</v>
      </c>
      <c r="O9" s="22"/>
    </row>
    <row r="10" s="25" customFormat="true" ht="15" hidden="false" customHeight="false" outlineLevel="0" collapsed="false">
      <c r="B10" s="19" t="n">
        <v>6</v>
      </c>
      <c r="C10" s="20" t="s">
        <v>5</v>
      </c>
      <c r="D10" s="21" t="s">
        <v>80</v>
      </c>
      <c r="E10" s="22" t="s">
        <v>81</v>
      </c>
      <c r="F10" s="22" t="s">
        <v>31</v>
      </c>
      <c r="G10" s="21" t="s">
        <v>82</v>
      </c>
      <c r="H10" s="22" t="s">
        <v>83</v>
      </c>
      <c r="I10" s="20" t="s">
        <v>84</v>
      </c>
      <c r="J10" s="22" t="s">
        <v>46</v>
      </c>
      <c r="K10" s="20" t="n">
        <v>5571452028</v>
      </c>
      <c r="L10" s="27" t="n">
        <v>48601997647</v>
      </c>
      <c r="M10" s="24" t="s">
        <v>85</v>
      </c>
      <c r="N10" s="22"/>
      <c r="O10" s="22"/>
    </row>
    <row r="11" s="25" customFormat="true" ht="15" hidden="false" customHeight="false" outlineLevel="0" collapsed="false">
      <c r="B11" s="19" t="n">
        <v>7</v>
      </c>
      <c r="C11" s="20" t="s">
        <v>86</v>
      </c>
      <c r="D11" s="21" t="s">
        <v>87</v>
      </c>
      <c r="E11" s="22" t="s">
        <v>88</v>
      </c>
      <c r="F11" s="22" t="s">
        <v>31</v>
      </c>
      <c r="G11" s="21" t="s">
        <v>89</v>
      </c>
      <c r="H11" s="22" t="s">
        <v>90</v>
      </c>
      <c r="I11" s="20" t="s">
        <v>91</v>
      </c>
      <c r="J11" s="22" t="s">
        <v>46</v>
      </c>
      <c r="K11" s="20" t="n">
        <v>8992733080</v>
      </c>
      <c r="L11" s="22"/>
      <c r="M11" s="22"/>
      <c r="N11" s="22"/>
      <c r="O11" s="22"/>
    </row>
    <row r="12" s="25" customFormat="true" ht="15" hidden="false" customHeight="false" outlineLevel="0" collapsed="false">
      <c r="B12" s="19" t="n">
        <v>8</v>
      </c>
      <c r="C12" s="20" t="s">
        <v>11</v>
      </c>
      <c r="D12" s="21" t="s">
        <v>11</v>
      </c>
      <c r="E12" s="22" t="s">
        <v>92</v>
      </c>
      <c r="F12" s="22" t="s">
        <v>31</v>
      </c>
      <c r="G12" s="21" t="s">
        <v>93</v>
      </c>
      <c r="H12" s="22" t="s">
        <v>94</v>
      </c>
      <c r="I12" s="20" t="s">
        <v>95</v>
      </c>
      <c r="J12" s="22" t="s">
        <v>46</v>
      </c>
      <c r="K12" s="20" t="n">
        <v>6762016988</v>
      </c>
      <c r="L12" s="22"/>
      <c r="M12" s="22"/>
      <c r="N12" s="22"/>
      <c r="O12" s="22"/>
    </row>
    <row r="13" s="25" customFormat="true" ht="15" hidden="false" customHeight="false" outlineLevel="0" collapsed="false">
      <c r="B13" s="19" t="n">
        <v>9</v>
      </c>
      <c r="C13" s="20" t="s">
        <v>96</v>
      </c>
      <c r="D13" s="21" t="s">
        <v>9</v>
      </c>
      <c r="E13" s="22" t="s">
        <v>97</v>
      </c>
      <c r="F13" s="22" t="s">
        <v>31</v>
      </c>
      <c r="G13" s="21" t="s">
        <v>98</v>
      </c>
      <c r="H13" s="22" t="s">
        <v>99</v>
      </c>
      <c r="I13" s="20" t="s">
        <v>100</v>
      </c>
      <c r="J13" s="22" t="s">
        <v>46</v>
      </c>
      <c r="K13" s="20" t="n">
        <v>6472486421</v>
      </c>
      <c r="L13" s="22"/>
      <c r="M13" s="22"/>
      <c r="N13" s="22"/>
      <c r="O13" s="22"/>
    </row>
    <row r="14" s="25" customFormat="true" ht="15" hidden="false" customHeight="false" outlineLevel="0" collapsed="false">
      <c r="B14" s="19" t="n">
        <v>10</v>
      </c>
      <c r="C14" s="20" t="s">
        <v>10</v>
      </c>
      <c r="D14" s="21" t="s">
        <v>101</v>
      </c>
      <c r="E14" s="22" t="s">
        <v>102</v>
      </c>
      <c r="F14" s="22" t="s">
        <v>31</v>
      </c>
      <c r="G14" s="28" t="s">
        <v>103</v>
      </c>
      <c r="H14" s="29" t="s">
        <v>104</v>
      </c>
      <c r="I14" s="20" t="s">
        <v>105</v>
      </c>
      <c r="J14" s="22" t="s">
        <v>46</v>
      </c>
      <c r="K14" s="20" t="n">
        <v>7773261798</v>
      </c>
      <c r="L14" s="22" t="s">
        <v>106</v>
      </c>
      <c r="M14" s="30" t="s">
        <v>107</v>
      </c>
      <c r="N14" s="22" t="s">
        <v>79</v>
      </c>
      <c r="O14" s="22"/>
    </row>
    <row r="15" s="25" customFormat="true" ht="15" hidden="false" customHeight="false" outlineLevel="0" collapsed="false">
      <c r="B15" s="19" t="n">
        <v>11</v>
      </c>
      <c r="C15" s="20" t="s">
        <v>108</v>
      </c>
      <c r="D15" s="21" t="s">
        <v>4</v>
      </c>
      <c r="E15" s="22" t="s">
        <v>109</v>
      </c>
      <c r="F15" s="22" t="s">
        <v>31</v>
      </c>
      <c r="G15" s="21" t="s">
        <v>110</v>
      </c>
      <c r="H15" s="22" t="s">
        <v>111</v>
      </c>
      <c r="I15" s="20" t="s">
        <v>112</v>
      </c>
      <c r="J15" s="22" t="s">
        <v>46</v>
      </c>
      <c r="K15" s="20" t="n">
        <v>9581266890</v>
      </c>
      <c r="L15" s="22"/>
      <c r="M15" s="22"/>
      <c r="N15" s="22" t="s">
        <v>113</v>
      </c>
      <c r="O15" s="22"/>
    </row>
    <row r="16" s="25" customFormat="true" ht="15" hidden="false" customHeight="false" outlineLevel="0" collapsed="false">
      <c r="B16" s="19" t="n">
        <v>12</v>
      </c>
      <c r="C16" s="20" t="s">
        <v>114</v>
      </c>
      <c r="D16" s="21" t="s">
        <v>115</v>
      </c>
      <c r="E16" s="22" t="s">
        <v>116</v>
      </c>
      <c r="F16" s="22" t="s">
        <v>31</v>
      </c>
      <c r="G16" s="21" t="s">
        <v>117</v>
      </c>
      <c r="H16" s="22" t="s">
        <v>118</v>
      </c>
      <c r="I16" s="20" t="s">
        <v>119</v>
      </c>
      <c r="J16" s="22" t="s">
        <v>46</v>
      </c>
      <c r="K16" s="20" t="n">
        <v>6272773392</v>
      </c>
      <c r="L16" s="31" t="n">
        <v>48664995559</v>
      </c>
      <c r="M16" s="22" t="s">
        <v>120</v>
      </c>
      <c r="N16" s="22" t="s">
        <v>79</v>
      </c>
      <c r="O16" s="22"/>
    </row>
    <row r="17" customFormat="false" ht="15" hidden="false" customHeight="false" outlineLevel="0" collapsed="false">
      <c r="B17" s="19" t="n">
        <v>13</v>
      </c>
      <c r="C17" s="20" t="s">
        <v>121</v>
      </c>
      <c r="D17" s="21" t="s">
        <v>121</v>
      </c>
      <c r="E17" s="22" t="s">
        <v>122</v>
      </c>
      <c r="F17" s="22" t="s">
        <v>31</v>
      </c>
      <c r="G17" s="21" t="s">
        <v>123</v>
      </c>
      <c r="H17" s="22" t="s">
        <v>124</v>
      </c>
      <c r="I17" s="22" t="s">
        <v>125</v>
      </c>
      <c r="J17" s="22" t="s">
        <v>46</v>
      </c>
      <c r="K17" s="22" t="n">
        <v>1181624643</v>
      </c>
      <c r="L17" s="22"/>
      <c r="M17" s="22"/>
      <c r="N17" s="22" t="s">
        <v>79</v>
      </c>
      <c r="O17" s="22"/>
    </row>
    <row r="18" customFormat="false" ht="15" hidden="false" customHeight="false" outlineLevel="0" collapsed="false">
      <c r="B18" s="19" t="n">
        <v>14</v>
      </c>
      <c r="C18" s="20" t="s">
        <v>126</v>
      </c>
      <c r="D18" s="21" t="s">
        <v>126</v>
      </c>
      <c r="E18" s="22" t="s">
        <v>127</v>
      </c>
      <c r="F18" s="22" t="s">
        <v>31</v>
      </c>
      <c r="G18" s="21"/>
      <c r="H18" s="22"/>
      <c r="I18" s="22"/>
      <c r="J18" s="22"/>
      <c r="K18" s="22"/>
      <c r="L18" s="22"/>
      <c r="M18" s="22"/>
      <c r="N18" s="22"/>
      <c r="O18" s="22"/>
    </row>
    <row r="19" customFormat="false" ht="15" hidden="false" customHeight="false" outlineLevel="0" collapsed="false">
      <c r="B19" s="19" t="n">
        <v>15</v>
      </c>
      <c r="C19" s="26" t="s">
        <v>128</v>
      </c>
      <c r="D19" s="32" t="s">
        <v>128</v>
      </c>
      <c r="E19" s="22" t="s">
        <v>129</v>
      </c>
      <c r="F19" s="22" t="s">
        <v>31</v>
      </c>
      <c r="G19" s="21" t="s">
        <v>130</v>
      </c>
      <c r="H19" s="22" t="n">
        <v>96215</v>
      </c>
      <c r="I19" s="22" t="s">
        <v>131</v>
      </c>
      <c r="J19" s="22" t="s">
        <v>53</v>
      </c>
      <c r="K19" s="22"/>
      <c r="L19" s="22"/>
      <c r="M19" s="22"/>
      <c r="N19" s="22"/>
      <c r="O19" s="22"/>
    </row>
    <row r="20" customFormat="false" ht="15" hidden="false" customHeight="false" outlineLevel="0" collapsed="false">
      <c r="B20" s="19" t="n">
        <v>16</v>
      </c>
      <c r="C20" s="20" t="s">
        <v>132</v>
      </c>
      <c r="D20" s="21" t="s">
        <v>133</v>
      </c>
      <c r="E20" s="22" t="s">
        <v>134</v>
      </c>
      <c r="F20" s="22" t="s">
        <v>31</v>
      </c>
      <c r="G20" s="21"/>
      <c r="H20" s="22"/>
      <c r="I20" s="22"/>
      <c r="J20" s="22"/>
      <c r="K20" s="22"/>
      <c r="L20" s="22"/>
      <c r="M20" s="22"/>
      <c r="N20" s="22"/>
      <c r="O20" s="22"/>
    </row>
    <row r="21" customFormat="false" ht="15" hidden="false" customHeight="false" outlineLevel="0" collapsed="false">
      <c r="B21" s="19" t="n">
        <v>17</v>
      </c>
      <c r="C21" s="20" t="s">
        <v>135</v>
      </c>
      <c r="D21" s="21" t="s">
        <v>136</v>
      </c>
      <c r="E21" s="22" t="s">
        <v>137</v>
      </c>
      <c r="F21" s="22" t="s">
        <v>31</v>
      </c>
      <c r="G21" s="21"/>
      <c r="H21" s="22"/>
      <c r="I21" s="22"/>
      <c r="J21" s="22"/>
      <c r="K21" s="22"/>
      <c r="L21" s="22"/>
      <c r="M21" s="22"/>
      <c r="N21" s="22"/>
      <c r="O21" s="22"/>
    </row>
    <row r="22" customFormat="false" ht="15" hidden="false" customHeight="false" outlineLevel="0" collapsed="false">
      <c r="B22" s="19" t="n">
        <v>18</v>
      </c>
      <c r="C22" s="20" t="s">
        <v>138</v>
      </c>
      <c r="D22" s="21" t="s">
        <v>139</v>
      </c>
      <c r="E22" s="22" t="s">
        <v>140</v>
      </c>
      <c r="F22" s="22" t="s">
        <v>31</v>
      </c>
      <c r="G22" s="21" t="s">
        <v>141</v>
      </c>
      <c r="H22" s="22" t="s">
        <v>142</v>
      </c>
      <c r="I22" s="22" t="s">
        <v>143</v>
      </c>
      <c r="J22" s="22" t="s">
        <v>46</v>
      </c>
      <c r="K22" s="22" t="n">
        <v>9532678807</v>
      </c>
      <c r="L22" s="22"/>
      <c r="M22" s="22"/>
      <c r="N22" s="22"/>
      <c r="O22" s="22"/>
    </row>
    <row r="23" customFormat="false" ht="15" hidden="false" customHeight="false" outlineLevel="0" collapsed="false">
      <c r="B23" s="19" t="n">
        <v>19</v>
      </c>
      <c r="C23" s="20" t="s">
        <v>144</v>
      </c>
      <c r="D23" s="21" t="s">
        <v>145</v>
      </c>
      <c r="E23" s="22" t="s">
        <v>146</v>
      </c>
      <c r="F23" s="22" t="s">
        <v>31</v>
      </c>
      <c r="G23" s="21" t="s">
        <v>147</v>
      </c>
      <c r="H23" s="22" t="s">
        <v>148</v>
      </c>
      <c r="I23" s="22" t="s">
        <v>95</v>
      </c>
      <c r="J23" s="22" t="s">
        <v>46</v>
      </c>
      <c r="K23" s="22" t="n">
        <v>1080010158</v>
      </c>
      <c r="L23" s="22" t="n">
        <v>222959231</v>
      </c>
      <c r="M23" s="22"/>
      <c r="N23" s="22"/>
      <c r="O23" s="22"/>
    </row>
    <row r="24" customFormat="false" ht="15" hidden="false" customHeight="false" outlineLevel="0" collapsed="false">
      <c r="B24" s="19" t="n">
        <v>20</v>
      </c>
      <c r="C24" s="20" t="s">
        <v>149</v>
      </c>
      <c r="D24" s="21" t="s">
        <v>149</v>
      </c>
      <c r="E24" s="22" t="s">
        <v>150</v>
      </c>
      <c r="F24" s="22" t="s">
        <v>31</v>
      </c>
      <c r="G24" s="21" t="s">
        <v>151</v>
      </c>
      <c r="H24" s="22" t="s">
        <v>152</v>
      </c>
      <c r="I24" s="22" t="s">
        <v>95</v>
      </c>
      <c r="J24" s="22" t="s">
        <v>46</v>
      </c>
      <c r="K24" s="22"/>
      <c r="L24" s="22"/>
      <c r="M24" s="22"/>
      <c r="N24" s="22"/>
      <c r="O24" s="22"/>
    </row>
    <row r="25" customFormat="false" ht="15" hidden="false" customHeight="false" outlineLevel="0" collapsed="false">
      <c r="B25" s="19" t="n">
        <v>21</v>
      </c>
      <c r="C25" s="20" t="s">
        <v>153</v>
      </c>
      <c r="D25" s="20" t="s">
        <v>153</v>
      </c>
      <c r="E25" s="22" t="s">
        <v>154</v>
      </c>
      <c r="F25" s="22" t="s">
        <v>31</v>
      </c>
      <c r="G25" s="21"/>
      <c r="H25" s="22"/>
      <c r="I25" s="22"/>
      <c r="J25" s="22"/>
      <c r="K25" s="22"/>
      <c r="L25" s="22"/>
      <c r="M25" s="22"/>
      <c r="N25" s="22"/>
      <c r="O25" s="22"/>
    </row>
    <row r="26" customFormat="false" ht="15" hidden="false" customHeight="false" outlineLevel="0" collapsed="false">
      <c r="B26" s="19" t="n">
        <v>22</v>
      </c>
      <c r="C26" s="20" t="s">
        <v>155</v>
      </c>
      <c r="D26" s="20" t="s">
        <v>155</v>
      </c>
      <c r="E26" s="22" t="s">
        <v>156</v>
      </c>
      <c r="F26" s="22" t="s">
        <v>31</v>
      </c>
      <c r="G26" s="21"/>
      <c r="H26" s="22"/>
      <c r="I26" s="22"/>
      <c r="J26" s="22"/>
      <c r="K26" s="22"/>
      <c r="L26" s="22"/>
      <c r="M26" s="22"/>
      <c r="N26" s="22"/>
      <c r="O26" s="22"/>
    </row>
    <row r="27" customFormat="false" ht="15" hidden="false" customHeight="false" outlineLevel="0" collapsed="false">
      <c r="B27" s="19" t="n">
        <v>23</v>
      </c>
      <c r="C27" s="20" t="s">
        <v>157</v>
      </c>
      <c r="D27" s="20" t="s">
        <v>157</v>
      </c>
      <c r="E27" s="22" t="s">
        <v>158</v>
      </c>
      <c r="F27" s="22" t="s">
        <v>31</v>
      </c>
      <c r="G27" s="21"/>
      <c r="H27" s="22"/>
      <c r="I27" s="22"/>
      <c r="J27" s="22"/>
      <c r="K27" s="22"/>
      <c r="L27" s="22"/>
      <c r="M27" s="22"/>
      <c r="N27" s="22"/>
      <c r="O27" s="22"/>
    </row>
    <row r="28" customFormat="false" ht="15" hidden="false" customHeight="false" outlineLevel="0" collapsed="false">
      <c r="B28" s="19" t="n">
        <v>24</v>
      </c>
      <c r="C28" s="20" t="s">
        <v>159</v>
      </c>
      <c r="D28" s="20" t="s">
        <v>159</v>
      </c>
      <c r="E28" s="22" t="s">
        <v>160</v>
      </c>
      <c r="F28" s="22" t="s">
        <v>31</v>
      </c>
      <c r="G28" s="21" t="s">
        <v>151</v>
      </c>
      <c r="H28" s="22" t="s">
        <v>152</v>
      </c>
      <c r="I28" s="22" t="s">
        <v>95</v>
      </c>
      <c r="J28" s="22" t="s">
        <v>46</v>
      </c>
      <c r="K28" s="22"/>
      <c r="L28" s="22"/>
      <c r="M28" s="22"/>
      <c r="N28" s="22"/>
      <c r="O28" s="22"/>
    </row>
    <row r="29" customFormat="false" ht="14.9" hidden="false" customHeight="false" outlineLevel="0" collapsed="false">
      <c r="B29" s="33" t="n">
        <v>1</v>
      </c>
      <c r="C29" s="34" t="s">
        <v>161</v>
      </c>
      <c r="D29" s="35" t="s">
        <v>162</v>
      </c>
      <c r="E29" s="36" t="s">
        <v>163</v>
      </c>
      <c r="F29" s="36" t="s">
        <v>164</v>
      </c>
      <c r="G29" s="37" t="s">
        <v>165</v>
      </c>
      <c r="H29" s="36" t="s">
        <v>166</v>
      </c>
      <c r="I29" s="38" t="s">
        <v>167</v>
      </c>
      <c r="J29" s="36" t="s">
        <v>46</v>
      </c>
      <c r="K29" s="37" t="n">
        <v>9532191399</v>
      </c>
      <c r="L29" s="39" t="s">
        <v>168</v>
      </c>
      <c r="M29" s="40" t="s">
        <v>169</v>
      </c>
      <c r="N29" s="36" t="s">
        <v>79</v>
      </c>
      <c r="O29" s="36"/>
    </row>
    <row r="30" customFormat="false" ht="14.9" hidden="false" customHeight="false" outlineLevel="0" collapsed="false">
      <c r="B30" s="33" t="n">
        <v>2</v>
      </c>
      <c r="C30" s="34" t="s">
        <v>170</v>
      </c>
      <c r="D30" s="35" t="s">
        <v>171</v>
      </c>
      <c r="E30" s="36" t="s">
        <v>172</v>
      </c>
      <c r="F30" s="36" t="s">
        <v>164</v>
      </c>
      <c r="G30" s="37" t="s">
        <v>173</v>
      </c>
      <c r="H30" s="36" t="s">
        <v>174</v>
      </c>
      <c r="I30" s="38" t="s">
        <v>175</v>
      </c>
      <c r="J30" s="36" t="s">
        <v>46</v>
      </c>
      <c r="K30" s="37" t="n">
        <v>5342284782</v>
      </c>
      <c r="L30" s="36" t="s">
        <v>176</v>
      </c>
      <c r="M30" s="40" t="s">
        <v>177</v>
      </c>
      <c r="N30" s="36" t="s">
        <v>79</v>
      </c>
      <c r="O30" s="36"/>
    </row>
    <row r="31" customFormat="false" ht="14.9" hidden="false" customHeight="false" outlineLevel="0" collapsed="false">
      <c r="B31" s="33" t="n">
        <v>3</v>
      </c>
      <c r="C31" s="34" t="s">
        <v>178</v>
      </c>
      <c r="D31" s="35" t="s">
        <v>179</v>
      </c>
      <c r="E31" s="36" t="s">
        <v>180</v>
      </c>
      <c r="F31" s="36" t="s">
        <v>164</v>
      </c>
      <c r="G31" s="37" t="s">
        <v>181</v>
      </c>
      <c r="H31" s="36" t="s">
        <v>182</v>
      </c>
      <c r="I31" s="38" t="s">
        <v>167</v>
      </c>
      <c r="J31" s="36" t="s">
        <v>46</v>
      </c>
      <c r="K31" s="37" t="n">
        <v>9671196532</v>
      </c>
      <c r="L31" s="36" t="s">
        <v>183</v>
      </c>
      <c r="M31" s="40" t="s">
        <v>184</v>
      </c>
      <c r="N31" s="36" t="s">
        <v>79</v>
      </c>
      <c r="O31" s="36"/>
    </row>
    <row r="32" customFormat="false" ht="13.8" hidden="false" customHeight="false" outlineLevel="0" collapsed="false">
      <c r="B32" s="33" t="n">
        <v>4</v>
      </c>
      <c r="C32" s="34" t="s">
        <v>185</v>
      </c>
      <c r="D32" s="35" t="s">
        <v>186</v>
      </c>
      <c r="E32" s="36" t="s">
        <v>187</v>
      </c>
      <c r="F32" s="36" t="s">
        <v>164</v>
      </c>
      <c r="G32" s="37" t="s">
        <v>188</v>
      </c>
      <c r="H32" s="36" t="s">
        <v>189</v>
      </c>
      <c r="I32" s="38" t="s">
        <v>190</v>
      </c>
      <c r="J32" s="36" t="s">
        <v>46</v>
      </c>
      <c r="K32" s="37" t="n">
        <v>7772341472</v>
      </c>
      <c r="L32" s="36" t="s">
        <v>191</v>
      </c>
      <c r="M32" s="41"/>
      <c r="N32" s="36" t="s">
        <v>113</v>
      </c>
      <c r="O32" s="36"/>
    </row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C1"/>
  </mergeCells>
  <dataValidations count="1">
    <dataValidation allowBlank="true" errorStyle="stop" operator="between" showDropDown="false" showErrorMessage="true" showInputMessage="true" sqref="F5:F32" type="list">
      <formula1>"TWORZYWO,BARWNIK"</formula1>
      <formula2>0</formula2>
    </dataValidation>
  </dataValidations>
  <hyperlinks>
    <hyperlink ref="L5" r:id="rId2" display="tel:+48609613009"/>
    <hyperlink ref="M7" r:id="rId3" display="www.granpol.com.pl"/>
    <hyperlink ref="L8" r:id="rId4" display="61 895 65 80"/>
    <hyperlink ref="L9" r:id="rId5" display="17 773 53 00"/>
    <hyperlink ref="M14" r:id="rId6" display="www.petrecyclingteam.eu"/>
    <hyperlink ref="L16" r:id="rId7" display="tel:+48664995559"/>
    <hyperlink ref="L29" r:id="rId8" display="+48 52 323 81 60"/>
    <hyperlink ref="M29" r:id="rId9" display="www.lifocolor.de/pl"/>
    <hyperlink ref="M30" r:id="rId10" display="www.gabriel-chemie.com/"/>
    <hyperlink ref="M31" r:id="rId11" display="office@gmcolor.pl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12"/>
  <tableParts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B4C7E7"/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1" activeCellId="0" sqref="E3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.57"/>
    <col collapsed="false" customWidth="true" hidden="false" outlineLevel="0" max="2" min="2" style="0" width="7.43"/>
    <col collapsed="false" customWidth="true" hidden="false" outlineLevel="0" max="3" min="3" style="0" width="14.43"/>
    <col collapsed="false" customWidth="true" hidden="false" outlineLevel="0" max="4" min="4" style="7" width="15.71"/>
    <col collapsed="false" customWidth="true" hidden="false" outlineLevel="0" max="5" min="5" style="0" width="29.14"/>
    <col collapsed="false" customWidth="true" hidden="false" outlineLevel="0" max="6" min="6" style="0" width="22.28"/>
    <col collapsed="false" customWidth="true" hidden="false" outlineLevel="0" max="7" min="7" style="0" width="40.57"/>
    <col collapsed="false" customWidth="true" hidden="false" outlineLevel="0" max="8" min="8" style="0" width="17.43"/>
  </cols>
  <sheetData>
    <row r="1" customFormat="false" ht="59.25" hidden="false" customHeight="true" outlineLevel="0" collapsed="false">
      <c r="A1" s="9" t="e">
        <f aca="false">#VALUE!</f>
        <v>#VALUE!</v>
      </c>
      <c r="B1" s="9"/>
      <c r="C1" s="9"/>
    </row>
    <row r="2" customFormat="false" ht="30" hidden="false" customHeight="true" outlineLevel="0" collapsed="false">
      <c r="A2" s="7"/>
      <c r="B2" s="11" t="s">
        <v>192</v>
      </c>
    </row>
    <row r="3" customFormat="false" ht="15.75" hidden="false" customHeight="true" outlineLevel="0" collapsed="false">
      <c r="A3" s="7"/>
      <c r="B3" s="11"/>
    </row>
    <row r="4" customFormat="false" ht="51" hidden="false" customHeight="true" outlineLevel="0" collapsed="false">
      <c r="B4" s="42" t="s">
        <v>193</v>
      </c>
      <c r="C4" s="43" t="s">
        <v>29</v>
      </c>
      <c r="D4" s="43" t="s">
        <v>30</v>
      </c>
      <c r="E4" s="44" t="s">
        <v>194</v>
      </c>
      <c r="F4" s="44" t="s">
        <v>195</v>
      </c>
      <c r="G4" s="45" t="s">
        <v>196</v>
      </c>
      <c r="H4" s="46" t="s">
        <v>40</v>
      </c>
    </row>
    <row r="5" customFormat="false" ht="15" hidden="false" customHeight="false" outlineLevel="0" collapsed="false">
      <c r="B5" s="21" t="n">
        <v>1</v>
      </c>
      <c r="C5" s="47" t="s">
        <v>41</v>
      </c>
      <c r="D5" s="22" t="s">
        <v>42</v>
      </c>
      <c r="E5" s="48" t="s">
        <v>197</v>
      </c>
      <c r="F5" s="49" t="n">
        <v>696124499</v>
      </c>
      <c r="G5" s="50" t="s">
        <v>198</v>
      </c>
      <c r="H5" s="21"/>
    </row>
    <row r="6" customFormat="false" ht="15" hidden="false" customHeight="false" outlineLevel="0" collapsed="false">
      <c r="B6" s="21" t="n">
        <v>2</v>
      </c>
      <c r="C6" s="47" t="s">
        <v>49</v>
      </c>
      <c r="D6" s="22" t="s">
        <v>50</v>
      </c>
      <c r="E6" s="48" t="s">
        <v>199</v>
      </c>
      <c r="F6" s="49"/>
      <c r="G6" s="50" t="s">
        <v>200</v>
      </c>
      <c r="H6" s="21"/>
    </row>
    <row r="7" customFormat="false" ht="15" hidden="false" customHeight="false" outlineLevel="0" collapsed="false">
      <c r="B7" s="21" t="n">
        <v>3</v>
      </c>
      <c r="C7" s="47" t="s">
        <v>55</v>
      </c>
      <c r="D7" s="22" t="s">
        <v>56</v>
      </c>
      <c r="E7" s="48" t="s">
        <v>201</v>
      </c>
      <c r="F7" s="49" t="n">
        <v>605061220</v>
      </c>
      <c r="G7" s="50" t="s">
        <v>202</v>
      </c>
      <c r="H7" s="21"/>
    </row>
    <row r="8" customFormat="false" ht="15" hidden="false" customHeight="false" outlineLevel="0" collapsed="false">
      <c r="B8" s="21" t="n">
        <v>4</v>
      </c>
      <c r="C8" s="47" t="s">
        <v>64</v>
      </c>
      <c r="D8" s="22" t="s">
        <v>65</v>
      </c>
      <c r="E8" s="48" t="s">
        <v>203</v>
      </c>
      <c r="F8" s="49" t="n">
        <v>507084415</v>
      </c>
      <c r="G8" s="51" t="s">
        <v>204</v>
      </c>
      <c r="H8" s="21"/>
    </row>
    <row r="9" customFormat="false" ht="15" hidden="false" customHeight="false" outlineLevel="0" collapsed="false">
      <c r="B9" s="21" t="n">
        <v>5</v>
      </c>
      <c r="C9" s="47" t="s">
        <v>72</v>
      </c>
      <c r="D9" s="22" t="s">
        <v>73</v>
      </c>
      <c r="E9" s="48" t="s">
        <v>205</v>
      </c>
      <c r="F9" s="49" t="n">
        <v>453012379</v>
      </c>
      <c r="G9" s="52" t="s">
        <v>206</v>
      </c>
      <c r="H9" s="21"/>
    </row>
    <row r="10" customFormat="false" ht="15" hidden="false" customHeight="false" outlineLevel="0" collapsed="false">
      <c r="B10" s="21" t="n">
        <v>6</v>
      </c>
      <c r="C10" s="47" t="s">
        <v>80</v>
      </c>
      <c r="D10" s="22" t="s">
        <v>81</v>
      </c>
      <c r="E10" s="48" t="s">
        <v>207</v>
      </c>
      <c r="F10" s="53" t="n">
        <v>601997647</v>
      </c>
      <c r="G10" s="50" t="s">
        <v>208</v>
      </c>
      <c r="H10" s="21"/>
    </row>
    <row r="11" customFormat="false" ht="15" hidden="false" customHeight="false" outlineLevel="0" collapsed="false">
      <c r="B11" s="21" t="n">
        <v>7</v>
      </c>
      <c r="C11" s="47" t="s">
        <v>209</v>
      </c>
      <c r="D11" s="22" t="s">
        <v>88</v>
      </c>
      <c r="E11" s="48" t="s">
        <v>210</v>
      </c>
      <c r="F11" s="54" t="n">
        <v>790440125</v>
      </c>
      <c r="G11" s="51" t="s">
        <v>211</v>
      </c>
      <c r="H11" s="21"/>
    </row>
    <row r="12" customFormat="false" ht="15" hidden="false" customHeight="false" outlineLevel="0" collapsed="false">
      <c r="B12" s="21" t="n">
        <v>8</v>
      </c>
      <c r="C12" s="47" t="s">
        <v>11</v>
      </c>
      <c r="D12" s="22" t="s">
        <v>92</v>
      </c>
      <c r="E12" s="48" t="s">
        <v>212</v>
      </c>
      <c r="F12" s="53" t="n">
        <v>880766022</v>
      </c>
      <c r="G12" s="50" t="s">
        <v>213</v>
      </c>
      <c r="H12" s="21"/>
    </row>
    <row r="13" customFormat="false" ht="15" hidden="false" customHeight="false" outlineLevel="0" collapsed="false">
      <c r="B13" s="21" t="n">
        <v>9</v>
      </c>
      <c r="C13" s="47" t="s">
        <v>11</v>
      </c>
      <c r="D13" s="22" t="s">
        <v>92</v>
      </c>
      <c r="E13" s="48" t="s">
        <v>214</v>
      </c>
      <c r="F13" s="53" t="n">
        <v>880766022</v>
      </c>
      <c r="G13" s="50" t="s">
        <v>213</v>
      </c>
      <c r="H13" s="21"/>
    </row>
    <row r="14" customFormat="false" ht="15" hidden="false" customHeight="false" outlineLevel="0" collapsed="false">
      <c r="B14" s="21" t="n">
        <v>10</v>
      </c>
      <c r="C14" s="47" t="s">
        <v>9</v>
      </c>
      <c r="D14" s="22" t="s">
        <v>97</v>
      </c>
      <c r="E14" s="48" t="s">
        <v>215</v>
      </c>
      <c r="F14" s="53" t="n">
        <v>574760980</v>
      </c>
      <c r="G14" s="51" t="s">
        <v>216</v>
      </c>
      <c r="H14" s="21"/>
    </row>
    <row r="15" customFormat="false" ht="15" hidden="false" customHeight="false" outlineLevel="0" collapsed="false">
      <c r="B15" s="21" t="n">
        <v>11</v>
      </c>
      <c r="C15" s="47" t="s">
        <v>101</v>
      </c>
      <c r="D15" s="22" t="s">
        <v>102</v>
      </c>
      <c r="E15" s="55" t="s">
        <v>217</v>
      </c>
      <c r="F15" s="49" t="s">
        <v>218</v>
      </c>
      <c r="G15" s="51" t="s">
        <v>219</v>
      </c>
      <c r="H15" s="21"/>
    </row>
    <row r="16" customFormat="false" ht="15.75" hidden="false" customHeight="false" outlineLevel="0" collapsed="false">
      <c r="B16" s="21" t="n">
        <v>12</v>
      </c>
      <c r="C16" s="47" t="s">
        <v>4</v>
      </c>
      <c r="D16" s="22" t="s">
        <v>109</v>
      </c>
      <c r="E16" s="21" t="s">
        <v>220</v>
      </c>
      <c r="F16" s="56" t="n">
        <v>793533333</v>
      </c>
      <c r="G16" s="57" t="s">
        <v>221</v>
      </c>
      <c r="H16" s="21"/>
    </row>
    <row r="17" customFormat="false" ht="15" hidden="false" customHeight="false" outlineLevel="0" collapsed="false">
      <c r="B17" s="21" t="n">
        <v>13</v>
      </c>
      <c r="C17" s="47" t="s">
        <v>7</v>
      </c>
      <c r="D17" s="22" t="s">
        <v>116</v>
      </c>
      <c r="E17" s="21" t="s">
        <v>222</v>
      </c>
      <c r="F17" s="58" t="n">
        <v>664995559</v>
      </c>
      <c r="G17" s="59" t="s">
        <v>223</v>
      </c>
      <c r="H17" s="21"/>
    </row>
    <row r="18" customFormat="false" ht="15" hidden="false" customHeight="false" outlineLevel="0" collapsed="false">
      <c r="B18" s="21" t="n">
        <v>14</v>
      </c>
      <c r="C18" s="47" t="s">
        <v>121</v>
      </c>
      <c r="D18" s="22" t="s">
        <v>122</v>
      </c>
      <c r="E18" s="21"/>
      <c r="F18" s="20"/>
      <c r="G18" s="60"/>
      <c r="H18" s="21"/>
    </row>
    <row r="19" customFormat="false" ht="15" hidden="false" customHeight="false" outlineLevel="0" collapsed="false">
      <c r="B19" s="21" t="n">
        <v>15</v>
      </c>
      <c r="C19" s="47" t="s">
        <v>126</v>
      </c>
      <c r="D19" s="22" t="s">
        <v>127</v>
      </c>
      <c r="E19" s="21"/>
      <c r="F19" s="20"/>
      <c r="G19" s="60"/>
      <c r="H19" s="21"/>
    </row>
    <row r="20" customFormat="false" ht="15" hidden="false" customHeight="false" outlineLevel="0" collapsed="false">
      <c r="B20" s="21" t="n">
        <v>16</v>
      </c>
      <c r="C20" s="61" t="s">
        <v>128</v>
      </c>
      <c r="D20" s="22" t="s">
        <v>129</v>
      </c>
      <c r="E20" s="21"/>
      <c r="F20" s="20"/>
      <c r="G20" s="60"/>
      <c r="H20" s="21"/>
    </row>
    <row r="21" customFormat="false" ht="15" hidden="false" customHeight="false" outlineLevel="0" collapsed="false">
      <c r="B21" s="21" t="n">
        <v>17</v>
      </c>
      <c r="C21" s="47" t="s">
        <v>133</v>
      </c>
      <c r="D21" s="22" t="s">
        <v>134</v>
      </c>
      <c r="E21" s="21"/>
      <c r="F21" s="20"/>
      <c r="G21" s="60"/>
      <c r="H21" s="21"/>
    </row>
    <row r="22" customFormat="false" ht="15" hidden="false" customHeight="false" outlineLevel="0" collapsed="false">
      <c r="B22" s="21" t="n">
        <v>18</v>
      </c>
      <c r="C22" s="47" t="s">
        <v>136</v>
      </c>
      <c r="D22" s="22" t="s">
        <v>137</v>
      </c>
      <c r="E22" s="21"/>
      <c r="F22" s="20"/>
      <c r="G22" s="60"/>
      <c r="H22" s="21"/>
    </row>
    <row r="23" customFormat="false" ht="15" hidden="false" customHeight="false" outlineLevel="0" collapsed="false">
      <c r="B23" s="21" t="n">
        <v>19</v>
      </c>
      <c r="C23" s="47" t="s">
        <v>139</v>
      </c>
      <c r="D23" s="22" t="s">
        <v>140</v>
      </c>
      <c r="E23" s="21"/>
      <c r="F23" s="20"/>
      <c r="G23" s="59" t="s">
        <v>224</v>
      </c>
      <c r="H23" s="21"/>
    </row>
    <row r="24" customFormat="false" ht="15" hidden="false" customHeight="false" outlineLevel="0" collapsed="false">
      <c r="B24" s="21" t="n">
        <v>20</v>
      </c>
      <c r="C24" s="47" t="s">
        <v>145</v>
      </c>
      <c r="D24" s="22" t="s">
        <v>146</v>
      </c>
      <c r="E24" s="62" t="s">
        <v>225</v>
      </c>
      <c r="F24" s="20"/>
      <c r="G24" s="60" t="s">
        <v>226</v>
      </c>
      <c r="H24" s="21"/>
    </row>
    <row r="25" customFormat="false" ht="15" hidden="false" customHeight="false" outlineLevel="0" collapsed="false">
      <c r="B25" s="21" t="n">
        <v>21</v>
      </c>
      <c r="C25" s="63" t="s">
        <v>149</v>
      </c>
      <c r="D25" s="22" t="s">
        <v>150</v>
      </c>
      <c r="E25" s="21"/>
      <c r="F25" s="64"/>
      <c r="G25" s="59"/>
      <c r="H25" s="21"/>
    </row>
    <row r="26" customFormat="false" ht="15" hidden="false" customHeight="false" outlineLevel="0" collapsed="false">
      <c r="B26" s="21" t="n">
        <v>22</v>
      </c>
      <c r="C26" s="63" t="s">
        <v>153</v>
      </c>
      <c r="D26" s="22" t="s">
        <v>154</v>
      </c>
      <c r="E26" s="21"/>
      <c r="F26" s="20"/>
      <c r="G26" s="60"/>
      <c r="H26" s="21"/>
    </row>
    <row r="27" customFormat="false" ht="15" hidden="false" customHeight="false" outlineLevel="0" collapsed="false">
      <c r="B27" s="21" t="n">
        <v>23</v>
      </c>
      <c r="C27" s="63" t="s">
        <v>155</v>
      </c>
      <c r="D27" s="22" t="s">
        <v>156</v>
      </c>
      <c r="E27" s="21"/>
      <c r="F27" s="20"/>
      <c r="G27" s="60"/>
      <c r="H27" s="21"/>
    </row>
    <row r="28" customFormat="false" ht="15" hidden="false" customHeight="false" outlineLevel="0" collapsed="false">
      <c r="B28" s="21" t="n">
        <v>24</v>
      </c>
      <c r="C28" s="63" t="s">
        <v>157</v>
      </c>
      <c r="D28" s="22" t="s">
        <v>158</v>
      </c>
      <c r="E28" s="21"/>
      <c r="F28" s="20"/>
      <c r="G28" s="60"/>
      <c r="H28" s="21"/>
    </row>
    <row r="29" customFormat="false" ht="15" hidden="false" customHeight="false" outlineLevel="0" collapsed="false">
      <c r="B29" s="21" t="n">
        <v>25</v>
      </c>
      <c r="C29" s="65" t="s">
        <v>159</v>
      </c>
      <c r="D29" s="22" t="s">
        <v>160</v>
      </c>
      <c r="E29" s="21" t="s">
        <v>227</v>
      </c>
      <c r="F29" s="64" t="s">
        <v>228</v>
      </c>
      <c r="G29" s="59" t="s">
        <v>229</v>
      </c>
      <c r="H29" s="21"/>
    </row>
    <row r="30" customFormat="false" ht="15" hidden="false" customHeight="false" outlineLevel="0" collapsed="false">
      <c r="B30" s="21" t="n">
        <v>25</v>
      </c>
      <c r="C30" s="66" t="s">
        <v>230</v>
      </c>
      <c r="D30" s="22" t="s">
        <v>231</v>
      </c>
      <c r="E30" s="21" t="s">
        <v>232</v>
      </c>
      <c r="F30" s="54" t="n">
        <v>538517508</v>
      </c>
      <c r="G30" s="67" t="s">
        <v>233</v>
      </c>
      <c r="H30" s="21"/>
    </row>
  </sheetData>
  <mergeCells count="1">
    <mergeCell ref="A1:C1"/>
  </mergeCells>
  <hyperlinks>
    <hyperlink ref="G8" r:id="rId2" display="joanna.balcerzak@bcd-polymers.pl"/>
    <hyperlink ref="G9" r:id="rId3" display="Magdalena.Migut@terplastics.com"/>
    <hyperlink ref="G11" r:id="rId4" display="slawomir.puzio@ekobasket.pl"/>
    <hyperlink ref="G14" r:id="rId5" display="sylwia.miter@ppc.pl"/>
    <hyperlink ref="G15" r:id="rId6" display="Barbara.Ciesielska@petrecyclingteam.eu"/>
    <hyperlink ref="F17" r:id="rId7" display="tel:6640995559"/>
    <hyperlink ref="G17" r:id="rId8" display="bartosz@plastpro.pl"/>
    <hyperlink ref="G23" r:id="rId9" display="Ivan@plasticsolutions.pl"/>
    <hyperlink ref="F29" r:id="rId10" display="+48 664 596 988  "/>
    <hyperlink ref="G29" r:id="rId11" display="bartosz.rusicki@benvic.com "/>
    <hyperlink ref="G30" r:id="rId12" display="konrad.brywczynski@ultrapolymers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13"/>
  <tableParts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8497B0"/>
    <pageSetUpPr fitToPage="false"/>
  </sheetPr>
  <dimension ref="A1:O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B5" activeCellId="0" sqref="B5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.85"/>
    <col collapsed="false" customWidth="true" hidden="false" outlineLevel="0" max="2" min="2" style="7" width="7.43"/>
    <col collapsed="false" customWidth="true" hidden="false" outlineLevel="0" max="3" min="3" style="0" width="32.86"/>
    <col collapsed="false" customWidth="true" hidden="false" outlineLevel="0" max="4" min="4" style="7" width="15.71"/>
    <col collapsed="false" customWidth="true" hidden="false" outlineLevel="0" max="5" min="5" style="8" width="17"/>
    <col collapsed="false" customWidth="true" hidden="false" outlineLevel="0" max="6" min="6" style="0" width="18.57"/>
    <col collapsed="false" customWidth="true" hidden="false" outlineLevel="0" max="7" min="7" style="0" width="23.43"/>
    <col collapsed="false" customWidth="true" hidden="false" outlineLevel="0" max="8" min="8" style="7" width="13.85"/>
    <col collapsed="false" customWidth="true" hidden="false" outlineLevel="0" max="9" min="9" style="0" width="12.85"/>
    <col collapsed="false" customWidth="true" hidden="false" outlineLevel="0" max="10" min="10" style="0" width="8.71"/>
    <col collapsed="false" customWidth="true" hidden="false" outlineLevel="0" max="11" min="11" style="0" width="13.85"/>
    <col collapsed="false" customWidth="true" hidden="false" outlineLevel="0" max="12" min="12" style="8" width="17"/>
    <col collapsed="false" customWidth="true" hidden="false" outlineLevel="0" max="13" min="13" style="0" width="30.42"/>
    <col collapsed="false" customWidth="true" hidden="false" outlineLevel="0" max="14" min="14" style="0" width="16.14"/>
    <col collapsed="false" customWidth="true" hidden="false" outlineLevel="0" max="15" min="15" style="0" width="11.43"/>
  </cols>
  <sheetData>
    <row r="1" customFormat="false" ht="59.25" hidden="false" customHeight="true" outlineLevel="0" collapsed="false">
      <c r="A1" s="9" t="e">
        <f aca="false">#VALUE!</f>
        <v>#VALUE!</v>
      </c>
      <c r="B1" s="9"/>
      <c r="C1" s="9"/>
    </row>
    <row r="2" customFormat="false" ht="30" hidden="false" customHeight="true" outlineLevel="0" collapsed="false">
      <c r="A2" s="10"/>
      <c r="B2" s="11" t="s">
        <v>234</v>
      </c>
      <c r="C2" s="11"/>
      <c r="D2" s="12"/>
      <c r="E2" s="13"/>
      <c r="F2" s="14"/>
    </row>
    <row r="3" customFormat="false" ht="15.75" hidden="false" customHeight="true" outlineLevel="0" collapsed="false"/>
    <row r="4" s="15" customFormat="true" ht="64.5" hidden="false" customHeight="true" outlineLevel="0" collapsed="false">
      <c r="B4" s="68" t="s">
        <v>27</v>
      </c>
      <c r="C4" s="68" t="s">
        <v>28</v>
      </c>
      <c r="D4" s="69" t="s">
        <v>29</v>
      </c>
      <c r="E4" s="69" t="s">
        <v>30</v>
      </c>
      <c r="F4" s="69" t="s">
        <v>164</v>
      </c>
      <c r="G4" s="68" t="s">
        <v>32</v>
      </c>
      <c r="H4" s="69" t="s">
        <v>33</v>
      </c>
      <c r="I4" s="68" t="s">
        <v>34</v>
      </c>
      <c r="J4" s="68" t="s">
        <v>35</v>
      </c>
      <c r="K4" s="68" t="s">
        <v>36</v>
      </c>
      <c r="L4" s="69" t="s">
        <v>37</v>
      </c>
      <c r="M4" s="68" t="s">
        <v>38</v>
      </c>
      <c r="N4" s="69" t="s">
        <v>39</v>
      </c>
      <c r="O4" s="68" t="s">
        <v>40</v>
      </c>
    </row>
    <row r="5" s="25" customFormat="true" ht="15" hidden="false" customHeight="false" outlineLevel="0" collapsed="false">
      <c r="B5" s="70" t="n">
        <v>1</v>
      </c>
      <c r="C5" s="71" t="s">
        <v>161</v>
      </c>
      <c r="D5" s="72" t="s">
        <v>162</v>
      </c>
      <c r="E5" s="73" t="s">
        <v>163</v>
      </c>
      <c r="F5" s="73" t="s">
        <v>164</v>
      </c>
      <c r="G5" s="74" t="s">
        <v>165</v>
      </c>
      <c r="H5" s="73" t="s">
        <v>166</v>
      </c>
      <c r="I5" s="75" t="s">
        <v>167</v>
      </c>
      <c r="J5" s="73" t="s">
        <v>46</v>
      </c>
      <c r="K5" s="74" t="n">
        <v>9532191399</v>
      </c>
      <c r="L5" s="76" t="s">
        <v>168</v>
      </c>
      <c r="M5" s="77" t="s">
        <v>169</v>
      </c>
      <c r="N5" s="73" t="s">
        <v>79</v>
      </c>
      <c r="O5" s="73"/>
    </row>
    <row r="6" s="25" customFormat="true" ht="15" hidden="false" customHeight="false" outlineLevel="0" collapsed="false">
      <c r="B6" s="70" t="n">
        <v>2</v>
      </c>
      <c r="C6" s="71" t="s">
        <v>170</v>
      </c>
      <c r="D6" s="72" t="s">
        <v>171</v>
      </c>
      <c r="E6" s="73" t="s">
        <v>172</v>
      </c>
      <c r="F6" s="73" t="s">
        <v>164</v>
      </c>
      <c r="G6" s="74" t="s">
        <v>173</v>
      </c>
      <c r="H6" s="73" t="s">
        <v>174</v>
      </c>
      <c r="I6" s="75" t="s">
        <v>175</v>
      </c>
      <c r="J6" s="73" t="s">
        <v>46</v>
      </c>
      <c r="K6" s="74" t="n">
        <v>5342284782</v>
      </c>
      <c r="L6" s="73" t="s">
        <v>176</v>
      </c>
      <c r="M6" s="77" t="s">
        <v>177</v>
      </c>
      <c r="N6" s="73" t="s">
        <v>79</v>
      </c>
      <c r="O6" s="73"/>
    </row>
    <row r="7" s="25" customFormat="true" ht="15" hidden="false" customHeight="false" outlineLevel="0" collapsed="false">
      <c r="B7" s="70" t="n">
        <v>3</v>
      </c>
      <c r="C7" s="71" t="s">
        <v>178</v>
      </c>
      <c r="D7" s="72" t="s">
        <v>179</v>
      </c>
      <c r="E7" s="73" t="s">
        <v>180</v>
      </c>
      <c r="F7" s="73" t="s">
        <v>164</v>
      </c>
      <c r="G7" s="74" t="s">
        <v>181</v>
      </c>
      <c r="H7" s="73" t="s">
        <v>182</v>
      </c>
      <c r="I7" s="75" t="s">
        <v>167</v>
      </c>
      <c r="J7" s="73" t="s">
        <v>46</v>
      </c>
      <c r="K7" s="74" t="n">
        <v>9671196532</v>
      </c>
      <c r="L7" s="73" t="s">
        <v>183</v>
      </c>
      <c r="M7" s="77" t="s">
        <v>184</v>
      </c>
      <c r="N7" s="73" t="s">
        <v>79</v>
      </c>
      <c r="O7" s="73"/>
    </row>
    <row r="8" s="25" customFormat="true" ht="15" hidden="false" customHeight="false" outlineLevel="0" collapsed="false">
      <c r="B8" s="70" t="n">
        <v>4</v>
      </c>
      <c r="C8" s="71" t="s">
        <v>185</v>
      </c>
      <c r="D8" s="72" t="s">
        <v>186</v>
      </c>
      <c r="E8" s="73" t="s">
        <v>187</v>
      </c>
      <c r="F8" s="73" t="s">
        <v>164</v>
      </c>
      <c r="G8" s="74" t="s">
        <v>188</v>
      </c>
      <c r="H8" s="73" t="s">
        <v>189</v>
      </c>
      <c r="I8" s="75" t="s">
        <v>190</v>
      </c>
      <c r="J8" s="73" t="s">
        <v>46</v>
      </c>
      <c r="K8" s="74" t="n">
        <v>7772341472</v>
      </c>
      <c r="L8" s="73" t="s">
        <v>191</v>
      </c>
      <c r="M8" s="78"/>
      <c r="N8" s="73" t="s">
        <v>113</v>
      </c>
      <c r="O8" s="73"/>
    </row>
    <row r="9" customFormat="false" ht="15" hidden="false" customHeight="false" outlineLevel="0" collapsed="false">
      <c r="B9" s="7" t="n">
        <v>5</v>
      </c>
    </row>
  </sheetData>
  <mergeCells count="1">
    <mergeCell ref="A1:C1"/>
  </mergeCells>
  <dataValidations count="1">
    <dataValidation allowBlank="true" errorStyle="stop" operator="between" showDropDown="false" showErrorMessage="true" showInputMessage="true" sqref="F5:F8" type="list">
      <formula1>"TWORZYWO,BARWNIK"</formula1>
      <formula2>0</formula2>
    </dataValidation>
  </dataValidations>
  <hyperlinks>
    <hyperlink ref="L5" r:id="rId1" display="+48 52 323 81 60"/>
    <hyperlink ref="M5" r:id="rId2" display="www.lifocolor.de/pl"/>
    <hyperlink ref="M6" r:id="rId3" display="www.gabriel-chemie.com/"/>
    <hyperlink ref="M7" r:id="rId4" display="office@gmcolor.pl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ADB9CA"/>
    <pageSetUpPr fitToPage="false"/>
  </sheetPr>
  <dimension ref="A1:K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3" activeCellId="0" sqref="G13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.57"/>
    <col collapsed="false" customWidth="true" hidden="false" outlineLevel="0" max="2" min="2" style="0" width="7.43"/>
    <col collapsed="false" customWidth="true" hidden="false" outlineLevel="0" max="3" min="3" style="0" width="31.43"/>
    <col collapsed="false" customWidth="true" hidden="false" outlineLevel="0" max="4" min="4" style="0" width="14.43"/>
    <col collapsed="false" customWidth="true" hidden="false" outlineLevel="0" max="6" min="5" style="0" width="15.71"/>
    <col collapsed="false" customWidth="true" hidden="false" outlineLevel="0" max="7" min="7" style="0" width="29.14"/>
    <col collapsed="false" customWidth="true" hidden="false" outlineLevel="0" max="8" min="8" style="0" width="22.28"/>
    <col collapsed="false" customWidth="true" hidden="false" outlineLevel="0" max="9" min="9" style="0" width="40.57"/>
    <col collapsed="false" customWidth="true" hidden="false" outlineLevel="0" max="10" min="10" style="0" width="54.85"/>
    <col collapsed="false" customWidth="true" hidden="false" outlineLevel="0" max="11" min="11" style="0" width="17.43"/>
  </cols>
  <sheetData>
    <row r="1" customFormat="false" ht="59.25" hidden="false" customHeight="true" outlineLevel="0" collapsed="false">
      <c r="A1" s="9" t="e">
        <f aca="false">#VALUE!</f>
        <v>#VALUE!</v>
      </c>
      <c r="B1" s="9"/>
      <c r="C1" s="9"/>
    </row>
    <row r="2" customFormat="false" ht="30" hidden="false" customHeight="true" outlineLevel="0" collapsed="false">
      <c r="A2" s="7"/>
      <c r="B2" s="11" t="s">
        <v>235</v>
      </c>
      <c r="C2" s="11"/>
    </row>
    <row r="3" customFormat="false" ht="15.75" hidden="false" customHeight="true" outlineLevel="0" collapsed="false">
      <c r="A3" s="7"/>
      <c r="B3" s="11"/>
      <c r="C3" s="11"/>
    </row>
    <row r="4" customFormat="false" ht="60.75" hidden="false" customHeight="true" outlineLevel="0" collapsed="false">
      <c r="B4" s="79" t="s">
        <v>193</v>
      </c>
      <c r="C4" s="80" t="s">
        <v>28</v>
      </c>
      <c r="D4" s="81" t="s">
        <v>29</v>
      </c>
      <c r="E4" s="81" t="s">
        <v>30</v>
      </c>
      <c r="F4" s="81" t="s">
        <v>164</v>
      </c>
      <c r="G4" s="82" t="s">
        <v>194</v>
      </c>
      <c r="H4" s="82" t="s">
        <v>195</v>
      </c>
      <c r="I4" s="83" t="s">
        <v>196</v>
      </c>
      <c r="J4" s="83" t="s">
        <v>236</v>
      </c>
      <c r="K4" s="84" t="s">
        <v>40</v>
      </c>
    </row>
    <row r="5" customFormat="false" ht="15" hidden="false" customHeight="false" outlineLevel="0" collapsed="false">
      <c r="B5" s="85" t="n">
        <v>1</v>
      </c>
      <c r="C5" s="71" t="s">
        <v>161</v>
      </c>
      <c r="D5" s="72" t="s">
        <v>162</v>
      </c>
      <c r="E5" s="73" t="s">
        <v>163</v>
      </c>
      <c r="F5" s="73" t="s">
        <v>164</v>
      </c>
      <c r="G5" s="86" t="s">
        <v>237</v>
      </c>
      <c r="H5" s="87"/>
      <c r="I5" s="88" t="s">
        <v>238</v>
      </c>
      <c r="J5" s="89"/>
      <c r="K5" s="75"/>
    </row>
    <row r="6" customFormat="false" ht="15" hidden="false" customHeight="false" outlineLevel="0" collapsed="false">
      <c r="B6" s="85" t="n">
        <v>1</v>
      </c>
      <c r="C6" s="71" t="s">
        <v>161</v>
      </c>
      <c r="D6" s="72" t="s">
        <v>162</v>
      </c>
      <c r="E6" s="73" t="s">
        <v>163</v>
      </c>
      <c r="F6" s="73" t="s">
        <v>164</v>
      </c>
      <c r="G6" s="86" t="s">
        <v>239</v>
      </c>
      <c r="H6" s="75" t="s">
        <v>240</v>
      </c>
      <c r="I6" s="88" t="s">
        <v>241</v>
      </c>
      <c r="J6" s="90" t="s">
        <v>242</v>
      </c>
      <c r="K6" s="75"/>
    </row>
    <row r="7" customFormat="false" ht="15" hidden="false" customHeight="false" outlineLevel="0" collapsed="false">
      <c r="B7" s="85" t="n">
        <v>2</v>
      </c>
      <c r="C7" s="71" t="s">
        <v>170</v>
      </c>
      <c r="D7" s="72" t="s">
        <v>171</v>
      </c>
      <c r="E7" s="73" t="s">
        <v>172</v>
      </c>
      <c r="F7" s="73" t="s">
        <v>164</v>
      </c>
      <c r="G7" s="86" t="s">
        <v>243</v>
      </c>
      <c r="H7" s="87" t="s">
        <v>244</v>
      </c>
      <c r="I7" s="88" t="s">
        <v>245</v>
      </c>
      <c r="J7" s="89"/>
      <c r="K7" s="75"/>
    </row>
    <row r="8" customFormat="false" ht="15" hidden="false" customHeight="false" outlineLevel="0" collapsed="false">
      <c r="B8" s="85" t="n">
        <v>3</v>
      </c>
      <c r="C8" s="71" t="s">
        <v>178</v>
      </c>
      <c r="D8" s="72" t="s">
        <v>179</v>
      </c>
      <c r="E8" s="73" t="s">
        <v>180</v>
      </c>
      <c r="F8" s="73" t="s">
        <v>164</v>
      </c>
      <c r="G8" s="86" t="s">
        <v>246</v>
      </c>
      <c r="H8" s="87" t="s">
        <v>247</v>
      </c>
      <c r="I8" s="91" t="s">
        <v>248</v>
      </c>
      <c r="J8" s="75"/>
      <c r="K8" s="75"/>
    </row>
    <row r="9" customFormat="false" ht="15" hidden="false" customHeight="false" outlineLevel="0" collapsed="false">
      <c r="B9" s="85" t="n">
        <v>4</v>
      </c>
      <c r="C9" s="71" t="s">
        <v>185</v>
      </c>
      <c r="D9" s="72" t="s">
        <v>186</v>
      </c>
      <c r="E9" s="73" t="s">
        <v>187</v>
      </c>
      <c r="F9" s="73" t="s">
        <v>164</v>
      </c>
      <c r="G9" s="75" t="s">
        <v>249</v>
      </c>
      <c r="H9" s="87" t="n">
        <v>608442293</v>
      </c>
      <c r="I9" s="91"/>
      <c r="J9" s="92"/>
      <c r="K9" s="75"/>
    </row>
    <row r="10" customFormat="false" ht="15" hidden="false" customHeight="false" outlineLevel="0" collapsed="false">
      <c r="B10" s="85" t="n">
        <v>5</v>
      </c>
      <c r="C10" s="71" t="s">
        <v>185</v>
      </c>
      <c r="D10" s="72" t="s">
        <v>186</v>
      </c>
      <c r="E10" s="73" t="s">
        <v>187</v>
      </c>
      <c r="F10" s="73" t="s">
        <v>164</v>
      </c>
      <c r="G10" s="86" t="s">
        <v>250</v>
      </c>
      <c r="H10" s="93"/>
      <c r="I10" s="91"/>
      <c r="J10" s="75"/>
      <c r="K10" s="75"/>
    </row>
  </sheetData>
  <mergeCells count="1">
    <mergeCell ref="A1:C1"/>
  </mergeCells>
  <dataValidations count="1">
    <dataValidation allowBlank="true" errorStyle="stop" operator="between" showDropDown="false" showErrorMessage="true" showInputMessage="true" sqref="F5:F10" type="list">
      <formula1>"TWORZYWO,BARWNIK"</formula1>
      <formula2>0</formula2>
    </dataValidation>
  </dataValidations>
  <hyperlinks>
    <hyperlink ref="I5" r:id="rId2" display="a.domagalski@lifocolor.pl"/>
    <hyperlink ref="I7" r:id="rId3" display="j.kirewicz@pl.gabriel-chemie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4"/>
  <tableParts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8FAADC"/>
    <pageSetUpPr fitToPage="false"/>
  </sheetPr>
  <dimension ref="A1:Q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K5" activePane="bottomRight" state="frozen"/>
      <selection pane="topLeft" activeCell="A1" activeCellId="0" sqref="A1"/>
      <selection pane="topRight" activeCell="K1" activeCellId="0" sqref="K1"/>
      <selection pane="bottomLeft" activeCell="A5" activeCellId="0" sqref="A5"/>
      <selection pane="bottomRight" activeCell="P4" activeCellId="0" sqref="P4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.85"/>
    <col collapsed="false" customWidth="true" hidden="false" outlineLevel="0" max="2" min="2" style="0" width="5.57"/>
    <col collapsed="false" customWidth="true" hidden="false" outlineLevel="0" max="3" min="3" style="0" width="32.86"/>
    <col collapsed="false" customWidth="true" hidden="false" outlineLevel="0" max="5" min="4" style="0" width="14.85"/>
    <col collapsed="false" customWidth="true" hidden="false" outlineLevel="0" max="6" min="6" style="7" width="19.14"/>
    <col collapsed="false" customWidth="true" hidden="false" outlineLevel="0" max="7" min="7" style="7" width="18.85"/>
    <col collapsed="false" customWidth="true" hidden="false" outlineLevel="0" max="8" min="8" style="7" width="13.57"/>
    <col collapsed="false" customWidth="true" hidden="false" outlineLevel="0" max="9" min="9" style="0" width="28.86"/>
    <col collapsed="false" customWidth="true" hidden="false" outlineLevel="0" max="10" min="10" style="0" width="11.85"/>
    <col collapsed="false" customWidth="true" hidden="false" outlineLevel="0" max="11" min="11" style="0" width="56.85"/>
    <col collapsed="false" customWidth="true" hidden="false" outlineLevel="0" max="12" min="12" style="94" width="11.57"/>
    <col collapsed="false" customWidth="true" hidden="false" outlineLevel="0" max="13" min="13" style="95" width="9.28"/>
    <col collapsed="false" customWidth="true" hidden="false" outlineLevel="0" max="14" min="14" style="95" width="16.57"/>
    <col collapsed="false" customWidth="true" hidden="false" outlineLevel="0" max="15" min="15" style="96" width="8.14"/>
    <col collapsed="false" customWidth="true" hidden="false" outlineLevel="0" max="16" min="16" style="0" width="14.43"/>
    <col collapsed="false" customWidth="true" hidden="false" outlineLevel="0" max="17" min="17" style="0" width="32.43"/>
  </cols>
  <sheetData>
    <row r="1" customFormat="false" ht="59.25" hidden="false" customHeight="true" outlineLevel="0" collapsed="false">
      <c r="A1" s="9" t="e">
        <f aca="false">#VALUE!</f>
        <v>#VALUE!</v>
      </c>
      <c r="B1" s="9"/>
      <c r="C1" s="9"/>
      <c r="D1" s="7"/>
      <c r="E1" s="7"/>
      <c r="L1" s="94" t="s">
        <v>251</v>
      </c>
      <c r="M1" s="7" t="n">
        <v>4.35</v>
      </c>
    </row>
    <row r="2" customFormat="false" ht="30" hidden="false" customHeight="true" outlineLevel="0" collapsed="false">
      <c r="B2" s="97" t="s">
        <v>252</v>
      </c>
      <c r="C2" s="97"/>
      <c r="D2" s="97"/>
      <c r="E2" s="97"/>
      <c r="F2" s="98"/>
      <c r="G2" s="95"/>
      <c r="I2" s="0" t="str">
        <f aca="false">B5&amp;" "&amp;C5&amp;" "&amp;I5&amp;" "&amp;J5</f>
        <v>1 POLIMER PROJEKT Sp. z o.o. HDPE - HOSTALEN GC 7260 NATURALNY</v>
      </c>
    </row>
    <row r="3" customFormat="false" ht="15.75" hidden="false" customHeight="true" outlineLevel="0" collapsed="false"/>
    <row r="4" s="99" customFormat="true" ht="65.25" hidden="false" customHeight="true" outlineLevel="0" collapsed="false">
      <c r="B4" s="100" t="s">
        <v>27</v>
      </c>
      <c r="C4" s="100" t="s">
        <v>28</v>
      </c>
      <c r="D4" s="101" t="s">
        <v>253</v>
      </c>
      <c r="E4" s="101" t="s">
        <v>30</v>
      </c>
      <c r="F4" s="101" t="s">
        <v>254</v>
      </c>
      <c r="G4" s="100" t="s">
        <v>255</v>
      </c>
      <c r="H4" s="101" t="s">
        <v>256</v>
      </c>
      <c r="I4" s="100" t="s">
        <v>15</v>
      </c>
      <c r="J4" s="100" t="s">
        <v>257</v>
      </c>
      <c r="K4" s="101" t="s">
        <v>258</v>
      </c>
      <c r="L4" s="102" t="s">
        <v>259</v>
      </c>
      <c r="M4" s="102" t="s">
        <v>260</v>
      </c>
      <c r="N4" s="102" t="s">
        <v>261</v>
      </c>
      <c r="O4" s="103" t="s">
        <v>262</v>
      </c>
      <c r="P4" s="101" t="s">
        <v>263</v>
      </c>
      <c r="Q4" s="100" t="s">
        <v>264</v>
      </c>
    </row>
    <row r="5" customFormat="false" ht="15.75" hidden="false" customHeight="true" outlineLevel="0" collapsed="false">
      <c r="B5" s="104" t="n">
        <v>1</v>
      </c>
      <c r="C5" s="105" t="s">
        <v>8</v>
      </c>
      <c r="D5" s="106" t="s">
        <v>265</v>
      </c>
      <c r="E5" s="107" t="s">
        <v>42</v>
      </c>
      <c r="F5" s="108" t="s">
        <v>31</v>
      </c>
      <c r="G5" s="109" t="s">
        <v>266</v>
      </c>
      <c r="H5" s="110" t="n">
        <v>1</v>
      </c>
      <c r="I5" s="111" t="s">
        <v>267</v>
      </c>
      <c r="J5" s="109" t="s">
        <v>268</v>
      </c>
      <c r="K5" s="112" t="s">
        <v>269</v>
      </c>
      <c r="L5" s="113" t="n">
        <v>5.8</v>
      </c>
      <c r="M5" s="114" t="s">
        <v>270</v>
      </c>
      <c r="N5" s="115" t="n">
        <f aca="false">IF(Tabela5[[#This Row],[PLN/ EURO ]] = "PLN",Tabela5[[#This Row],[Cena Jednostkowa ]],IF(Tabela5[[#This Row],[PLN/ EURO ]] = "EUR",$M$1*Tabela5[[#This Row],[Cena Jednostkowa ]],""))</f>
        <v>5.8</v>
      </c>
      <c r="O5" s="116" t="s">
        <v>271</v>
      </c>
      <c r="P5" s="104" t="n">
        <v>3</v>
      </c>
      <c r="Q5" s="117" t="s">
        <v>272</v>
      </c>
    </row>
    <row r="6" customFormat="false" ht="15.75" hidden="false" customHeight="true" outlineLevel="0" collapsed="false">
      <c r="B6" s="104" t="n">
        <v>2</v>
      </c>
      <c r="C6" s="105" t="s">
        <v>8</v>
      </c>
      <c r="D6" s="106" t="s">
        <v>265</v>
      </c>
      <c r="E6" s="107" t="s">
        <v>42</v>
      </c>
      <c r="F6" s="108" t="s">
        <v>31</v>
      </c>
      <c r="G6" s="109" t="s">
        <v>273</v>
      </c>
      <c r="H6" s="110" t="n">
        <v>1</v>
      </c>
      <c r="I6" s="111" t="s">
        <v>20</v>
      </c>
      <c r="J6" s="109" t="s">
        <v>274</v>
      </c>
      <c r="K6" s="118" t="s">
        <v>275</v>
      </c>
      <c r="L6" s="113" t="n">
        <v>11.4</v>
      </c>
      <c r="M6" s="114" t="s">
        <v>270</v>
      </c>
      <c r="N6" s="115" t="n">
        <f aca="false">IF(Tabela5[[#This Row],[PLN/ EURO ]] = "PLN",Tabela5[[#This Row],[Cena Jednostkowa ]],IF(Tabela5[[#This Row],[PLN/ EURO ]] = "EUR",$M$1*Tabela5[[#This Row],[Cena Jednostkowa ]],""))</f>
        <v>11.4</v>
      </c>
      <c r="O6" s="116" t="s">
        <v>271</v>
      </c>
      <c r="P6" s="104"/>
      <c r="Q6" s="119"/>
    </row>
    <row r="7" customFormat="false" ht="15.75" hidden="false" customHeight="true" outlineLevel="0" collapsed="false">
      <c r="B7" s="104" t="n">
        <v>3</v>
      </c>
      <c r="C7" s="105" t="s">
        <v>8</v>
      </c>
      <c r="D7" s="106" t="s">
        <v>265</v>
      </c>
      <c r="E7" s="107" t="s">
        <v>42</v>
      </c>
      <c r="F7" s="108" t="s">
        <v>31</v>
      </c>
      <c r="G7" s="109" t="s">
        <v>276</v>
      </c>
      <c r="H7" s="110" t="n">
        <v>1</v>
      </c>
      <c r="I7" s="111" t="s">
        <v>19</v>
      </c>
      <c r="J7" s="109" t="s">
        <v>268</v>
      </c>
      <c r="K7" s="118" t="s">
        <v>277</v>
      </c>
      <c r="L7" s="113" t="n">
        <v>13</v>
      </c>
      <c r="M7" s="114" t="s">
        <v>270</v>
      </c>
      <c r="N7" s="115" t="n">
        <f aca="false">IF(Tabela5[[#This Row],[PLN/ EURO ]] = "PLN",Tabela5[[#This Row],[Cena Jednostkowa ]],IF(Tabela5[[#This Row],[PLN/ EURO ]] = "EUR",$M$1*Tabela5[[#This Row],[Cena Jednostkowa ]],""))</f>
        <v>13</v>
      </c>
      <c r="O7" s="116" t="s">
        <v>271</v>
      </c>
      <c r="P7" s="104"/>
      <c r="Q7" s="119"/>
    </row>
    <row r="8" customFormat="false" ht="15.75" hidden="false" customHeight="true" outlineLevel="0" collapsed="false">
      <c r="B8" s="104" t="n">
        <v>4</v>
      </c>
      <c r="C8" s="105" t="s">
        <v>8</v>
      </c>
      <c r="D8" s="106" t="s">
        <v>265</v>
      </c>
      <c r="E8" s="107" t="s">
        <v>42</v>
      </c>
      <c r="F8" s="108" t="s">
        <v>31</v>
      </c>
      <c r="G8" s="109" t="s">
        <v>278</v>
      </c>
      <c r="H8" s="110" t="n">
        <v>1</v>
      </c>
      <c r="I8" s="111" t="s">
        <v>279</v>
      </c>
      <c r="J8" s="109" t="s">
        <v>268</v>
      </c>
      <c r="K8" s="118" t="s">
        <v>280</v>
      </c>
      <c r="L8" s="113" t="n">
        <v>13</v>
      </c>
      <c r="M8" s="114" t="s">
        <v>270</v>
      </c>
      <c r="N8" s="115" t="n">
        <f aca="false">IF(Tabela5[[#This Row],[PLN/ EURO ]] = "PLN",Tabela5[[#This Row],[Cena Jednostkowa ]],IF(Tabela5[[#This Row],[PLN/ EURO ]] = "EUR",$M$1*Tabela5[[#This Row],[Cena Jednostkowa ]],""))</f>
        <v>13</v>
      </c>
      <c r="O8" s="116" t="s">
        <v>271</v>
      </c>
      <c r="P8" s="104"/>
      <c r="Q8" s="119"/>
    </row>
    <row r="9" customFormat="false" ht="15.75" hidden="false" customHeight="true" outlineLevel="0" collapsed="false">
      <c r="B9" s="104" t="n">
        <v>5</v>
      </c>
      <c r="C9" s="105" t="s">
        <v>8</v>
      </c>
      <c r="D9" s="106" t="s">
        <v>265</v>
      </c>
      <c r="E9" s="107" t="s">
        <v>42</v>
      </c>
      <c r="F9" s="108" t="s">
        <v>31</v>
      </c>
      <c r="G9" s="109" t="s">
        <v>17</v>
      </c>
      <c r="H9" s="110" t="n">
        <v>1</v>
      </c>
      <c r="I9" s="111" t="s">
        <v>281</v>
      </c>
      <c r="J9" s="109" t="s">
        <v>268</v>
      </c>
      <c r="K9" s="118" t="s">
        <v>282</v>
      </c>
      <c r="L9" s="113" t="n">
        <v>11.5</v>
      </c>
      <c r="M9" s="114" t="s">
        <v>270</v>
      </c>
      <c r="N9" s="115" t="n">
        <f aca="false">IF(Tabela5[[#This Row],[PLN/ EURO ]] = "PLN",Tabela5[[#This Row],[Cena Jednostkowa ]],IF(Tabela5[[#This Row],[PLN/ EURO ]] = "EUR",$M$1*Tabela5[[#This Row],[Cena Jednostkowa ]],""))</f>
        <v>11.5</v>
      </c>
      <c r="O9" s="116" t="s">
        <v>271</v>
      </c>
      <c r="P9" s="104"/>
      <c r="Q9" s="119"/>
    </row>
    <row r="10" customFormat="false" ht="15.75" hidden="false" customHeight="true" outlineLevel="0" collapsed="false">
      <c r="B10" s="104" t="n">
        <v>6</v>
      </c>
      <c r="C10" s="105" t="s">
        <v>8</v>
      </c>
      <c r="D10" s="106" t="s">
        <v>265</v>
      </c>
      <c r="E10" s="107" t="s">
        <v>42</v>
      </c>
      <c r="F10" s="108" t="s">
        <v>31</v>
      </c>
      <c r="G10" s="109" t="s">
        <v>283</v>
      </c>
      <c r="H10" s="110" t="n">
        <v>1</v>
      </c>
      <c r="I10" s="111" t="s">
        <v>284</v>
      </c>
      <c r="J10" s="109" t="s">
        <v>268</v>
      </c>
      <c r="K10" s="118" t="s">
        <v>285</v>
      </c>
      <c r="L10" s="113" t="n">
        <v>6.4</v>
      </c>
      <c r="M10" s="114" t="s">
        <v>270</v>
      </c>
      <c r="N10" s="115" t="n">
        <f aca="false">IF(Tabela5[[#This Row],[PLN/ EURO ]] = "PLN",Tabela5[[#This Row],[Cena Jednostkowa ]],IF(Tabela5[[#This Row],[PLN/ EURO ]] = "EUR",$M$1*Tabela5[[#This Row],[Cena Jednostkowa ]],""))</f>
        <v>6.4</v>
      </c>
      <c r="O10" s="116" t="s">
        <v>271</v>
      </c>
      <c r="P10" s="104"/>
      <c r="Q10" s="119"/>
    </row>
    <row r="11" customFormat="false" ht="15.75" hidden="false" customHeight="true" outlineLevel="0" collapsed="false">
      <c r="B11" s="104" t="n">
        <v>7</v>
      </c>
      <c r="C11" s="105" t="s">
        <v>8</v>
      </c>
      <c r="D11" s="106" t="s">
        <v>265</v>
      </c>
      <c r="E11" s="107" t="s">
        <v>42</v>
      </c>
      <c r="F11" s="108" t="s">
        <v>31</v>
      </c>
      <c r="G11" s="109" t="s">
        <v>283</v>
      </c>
      <c r="H11" s="110" t="n">
        <v>1</v>
      </c>
      <c r="I11" s="111" t="s">
        <v>286</v>
      </c>
      <c r="J11" s="109" t="s">
        <v>287</v>
      </c>
      <c r="K11" s="118" t="s">
        <v>288</v>
      </c>
      <c r="L11" s="113" t="n">
        <v>6.7</v>
      </c>
      <c r="M11" s="114" t="s">
        <v>270</v>
      </c>
      <c r="N11" s="115" t="n">
        <f aca="false">IF(Tabela5[[#This Row],[PLN/ EURO ]] = "PLN",Tabela5[[#This Row],[Cena Jednostkowa ]],IF(Tabela5[[#This Row],[PLN/ EURO ]] = "EUR",$M$1*Tabela5[[#This Row],[Cena Jednostkowa ]],""))</f>
        <v>6.7</v>
      </c>
      <c r="O11" s="116" t="s">
        <v>271</v>
      </c>
      <c r="P11" s="104"/>
      <c r="Q11" s="119"/>
    </row>
    <row r="12" customFormat="false" ht="15.75" hidden="false" customHeight="true" outlineLevel="0" collapsed="false">
      <c r="B12" s="104" t="n">
        <v>8</v>
      </c>
      <c r="C12" s="105" t="s">
        <v>8</v>
      </c>
      <c r="D12" s="106" t="s">
        <v>265</v>
      </c>
      <c r="E12" s="107" t="s">
        <v>42</v>
      </c>
      <c r="F12" s="108" t="s">
        <v>31</v>
      </c>
      <c r="G12" s="109" t="s">
        <v>289</v>
      </c>
      <c r="H12" s="110" t="n">
        <v>1</v>
      </c>
      <c r="I12" s="111" t="s">
        <v>290</v>
      </c>
      <c r="J12" s="109" t="s">
        <v>268</v>
      </c>
      <c r="K12" s="118" t="s">
        <v>291</v>
      </c>
      <c r="L12" s="113" t="n">
        <v>5.85</v>
      </c>
      <c r="M12" s="114" t="s">
        <v>270</v>
      </c>
      <c r="N12" s="115" t="n">
        <f aca="false">IF(Tabela5[[#This Row],[PLN/ EURO ]] = "PLN",Tabela5[[#This Row],[Cena Jednostkowa ]],IF(Tabela5[[#This Row],[PLN/ EURO ]] = "EUR",$M$1*Tabela5[[#This Row],[Cena Jednostkowa ]],""))</f>
        <v>5.85</v>
      </c>
      <c r="O12" s="116" t="s">
        <v>271</v>
      </c>
      <c r="P12" s="104"/>
      <c r="Q12" s="119"/>
    </row>
    <row r="13" customFormat="false" ht="15.75" hidden="false" customHeight="true" outlineLevel="0" collapsed="false">
      <c r="B13" s="104" t="n">
        <v>9</v>
      </c>
      <c r="C13" s="105" t="s">
        <v>8</v>
      </c>
      <c r="D13" s="106" t="s">
        <v>265</v>
      </c>
      <c r="E13" s="107" t="s">
        <v>42</v>
      </c>
      <c r="F13" s="108" t="s">
        <v>31</v>
      </c>
      <c r="G13" s="109" t="s">
        <v>292</v>
      </c>
      <c r="H13" s="110" t="n">
        <v>1</v>
      </c>
      <c r="I13" s="111" t="s">
        <v>293</v>
      </c>
      <c r="J13" s="109" t="s">
        <v>268</v>
      </c>
      <c r="K13" s="118" t="s">
        <v>294</v>
      </c>
      <c r="L13" s="113" t="n">
        <v>8.1</v>
      </c>
      <c r="M13" s="114" t="s">
        <v>270</v>
      </c>
      <c r="N13" s="115" t="n">
        <f aca="false">IF(Tabela5[[#This Row],[PLN/ EURO ]] = "PLN",Tabela5[[#This Row],[Cena Jednostkowa ]],IF(Tabela5[[#This Row],[PLN/ EURO ]] = "EUR",$M$1*Tabela5[[#This Row],[Cena Jednostkowa ]],""))</f>
        <v>8.1</v>
      </c>
      <c r="O13" s="116" t="s">
        <v>271</v>
      </c>
      <c r="P13" s="104"/>
      <c r="Q13" s="119"/>
    </row>
    <row r="14" customFormat="false" ht="15.75" hidden="false" customHeight="true" outlineLevel="0" collapsed="false">
      <c r="B14" s="104" t="n">
        <v>10</v>
      </c>
      <c r="C14" s="105" t="s">
        <v>8</v>
      </c>
      <c r="D14" s="106" t="s">
        <v>265</v>
      </c>
      <c r="E14" s="107" t="s">
        <v>42</v>
      </c>
      <c r="F14" s="108" t="s">
        <v>31</v>
      </c>
      <c r="G14" s="109" t="s">
        <v>292</v>
      </c>
      <c r="H14" s="110" t="n">
        <v>1</v>
      </c>
      <c r="I14" s="111" t="s">
        <v>295</v>
      </c>
      <c r="J14" s="109" t="s">
        <v>268</v>
      </c>
      <c r="K14" s="118" t="s">
        <v>296</v>
      </c>
      <c r="L14" s="113" t="n">
        <v>7.8</v>
      </c>
      <c r="M14" s="114" t="s">
        <v>270</v>
      </c>
      <c r="N14" s="115" t="n">
        <f aca="false">IF(Tabela5[[#This Row],[PLN/ EURO ]] = "PLN",Tabela5[[#This Row],[Cena Jednostkowa ]],IF(Tabela5[[#This Row],[PLN/ EURO ]] = "EUR",$M$1*Tabela5[[#This Row],[Cena Jednostkowa ]],""))</f>
        <v>7.8</v>
      </c>
      <c r="O14" s="116" t="s">
        <v>271</v>
      </c>
      <c r="P14" s="104"/>
      <c r="Q14" s="119"/>
    </row>
    <row r="15" customFormat="false" ht="15.75" hidden="false" customHeight="true" outlineLevel="0" collapsed="false">
      <c r="B15" s="104" t="n">
        <v>11</v>
      </c>
      <c r="C15" s="105" t="s">
        <v>8</v>
      </c>
      <c r="D15" s="106" t="s">
        <v>265</v>
      </c>
      <c r="E15" s="107" t="s">
        <v>42</v>
      </c>
      <c r="F15" s="108" t="s">
        <v>31</v>
      </c>
      <c r="G15" s="109" t="s">
        <v>297</v>
      </c>
      <c r="H15" s="110" t="n">
        <v>1</v>
      </c>
      <c r="I15" s="111" t="s">
        <v>298</v>
      </c>
      <c r="J15" s="109" t="s">
        <v>299</v>
      </c>
      <c r="K15" s="118" t="s">
        <v>300</v>
      </c>
      <c r="L15" s="120" t="n">
        <v>10.9</v>
      </c>
      <c r="M15" s="114" t="s">
        <v>270</v>
      </c>
      <c r="N15" s="115" t="n">
        <f aca="false">IF(Tabela5[[#This Row],[PLN/ EURO ]] = "PLN",Tabela5[[#This Row],[Cena Jednostkowa ]],IF(Tabela5[[#This Row],[PLN/ EURO ]] = "EUR",$M$1*Tabela5[[#This Row],[Cena Jednostkowa ]],""))</f>
        <v>10.9</v>
      </c>
      <c r="O15" s="116" t="s">
        <v>271</v>
      </c>
      <c r="P15" s="104"/>
      <c r="Q15" s="119"/>
    </row>
    <row r="16" customFormat="false" ht="15.75" hidden="false" customHeight="true" outlineLevel="0" collapsed="false">
      <c r="B16" s="104"/>
      <c r="C16" s="105" t="s">
        <v>8</v>
      </c>
      <c r="D16" s="106" t="s">
        <v>265</v>
      </c>
      <c r="E16" s="107" t="s">
        <v>42</v>
      </c>
      <c r="F16" s="108" t="s">
        <v>31</v>
      </c>
      <c r="G16" s="109" t="s">
        <v>17</v>
      </c>
      <c r="H16" s="121" t="n">
        <v>1</v>
      </c>
      <c r="I16" s="122" t="s">
        <v>301</v>
      </c>
      <c r="J16" s="123" t="s">
        <v>268</v>
      </c>
      <c r="K16" s="124" t="s">
        <v>302</v>
      </c>
      <c r="L16" s="125"/>
      <c r="M16" s="126"/>
      <c r="N16" s="115" t="str">
        <f aca="false">IF(Tabela5[[#This Row],[PLN/ EURO ]] = "PLN",Tabela5[[#This Row],[Cena Jednostkowa ]],IF(Tabela5[[#This Row],[PLN/ EURO ]] = "EUR",$M$1*Tabela5[[#This Row],[Cena Jednostkowa ]],""))</f>
        <v/>
      </c>
      <c r="O16" s="116"/>
      <c r="P16" s="104"/>
      <c r="Q16" s="119"/>
    </row>
    <row r="17" customFormat="false" ht="15.75" hidden="false" customHeight="true" outlineLevel="0" collapsed="false">
      <c r="B17" s="104" t="n">
        <v>12</v>
      </c>
      <c r="C17" s="105" t="s">
        <v>8</v>
      </c>
      <c r="D17" s="106" t="s">
        <v>265</v>
      </c>
      <c r="E17" s="107" t="s">
        <v>42</v>
      </c>
      <c r="F17" s="108" t="s">
        <v>31</v>
      </c>
      <c r="G17" s="109" t="s">
        <v>297</v>
      </c>
      <c r="H17" s="110" t="n">
        <v>1</v>
      </c>
      <c r="I17" s="111" t="s">
        <v>303</v>
      </c>
      <c r="J17" s="109" t="s">
        <v>299</v>
      </c>
      <c r="K17" s="118" t="s">
        <v>304</v>
      </c>
      <c r="L17" s="120" t="n">
        <v>11.5</v>
      </c>
      <c r="M17" s="114" t="s">
        <v>270</v>
      </c>
      <c r="N17" s="115" t="n">
        <f aca="false">IF(Tabela5[[#This Row],[PLN/ EURO ]] = "PLN",Tabela5[[#This Row],[Cena Jednostkowa ]],IF(Tabela5[[#This Row],[PLN/ EURO ]] = "EUR",$M$1*Tabela5[[#This Row],[Cena Jednostkowa ]],""))</f>
        <v>11.5</v>
      </c>
      <c r="O17" s="116" t="s">
        <v>271</v>
      </c>
      <c r="P17" s="104" t="n">
        <v>3</v>
      </c>
      <c r="Q17" s="117" t="s">
        <v>272</v>
      </c>
    </row>
    <row r="18" customFormat="false" ht="15" hidden="false" customHeight="false" outlineLevel="0" collapsed="false">
      <c r="B18" s="127" t="n">
        <v>13</v>
      </c>
      <c r="C18" s="128" t="s">
        <v>6</v>
      </c>
      <c r="D18" s="129" t="s">
        <v>49</v>
      </c>
      <c r="E18" s="107" t="s">
        <v>50</v>
      </c>
      <c r="F18" s="130" t="s">
        <v>31</v>
      </c>
      <c r="G18" s="131" t="s">
        <v>305</v>
      </c>
      <c r="H18" s="110" t="n">
        <v>1</v>
      </c>
      <c r="I18" s="111" t="s">
        <v>306</v>
      </c>
      <c r="J18" s="109" t="s">
        <v>268</v>
      </c>
      <c r="K18" s="132" t="s">
        <v>307</v>
      </c>
      <c r="L18" s="133" t="n">
        <v>7.95</v>
      </c>
      <c r="M18" s="114" t="s">
        <v>308</v>
      </c>
      <c r="N18" s="115" t="n">
        <f aca="false">IF(Tabela5[[#This Row],[PLN/ EURO ]] = "PLN",Tabela5[[#This Row],[Cena Jednostkowa ]],IF(Tabela5[[#This Row],[PLN/ EURO ]] = "EUR",$M$1*Tabela5[[#This Row],[Cena Jednostkowa ]],""))</f>
        <v>34.5825</v>
      </c>
      <c r="O18" s="116" t="s">
        <v>271</v>
      </c>
      <c r="P18" s="104" t="n">
        <v>60</v>
      </c>
      <c r="Q18" s="117"/>
    </row>
    <row r="19" customFormat="false" ht="15" hidden="false" customHeight="false" outlineLevel="0" collapsed="false">
      <c r="B19" s="104" t="n">
        <v>14</v>
      </c>
      <c r="C19" s="105" t="s">
        <v>6</v>
      </c>
      <c r="D19" s="134" t="s">
        <v>49</v>
      </c>
      <c r="E19" s="107" t="s">
        <v>50</v>
      </c>
      <c r="F19" s="108" t="s">
        <v>31</v>
      </c>
      <c r="G19" s="131" t="s">
        <v>305</v>
      </c>
      <c r="H19" s="110" t="n">
        <v>1</v>
      </c>
      <c r="I19" s="111" t="s">
        <v>309</v>
      </c>
      <c r="J19" s="109" t="s">
        <v>268</v>
      </c>
      <c r="K19" s="132" t="s">
        <v>310</v>
      </c>
      <c r="L19" s="133" t="n">
        <v>3.68</v>
      </c>
      <c r="M19" s="114" t="s">
        <v>308</v>
      </c>
      <c r="N19" s="115" t="n">
        <f aca="false">IF(Tabela5[[#This Row],[PLN/ EURO ]] = "PLN",Tabela5[[#This Row],[Cena Jednostkowa ]],IF(Tabela5[[#This Row],[PLN/ EURO ]] = "EUR",$M$1*Tabela5[[#This Row],[Cena Jednostkowa ]],""))</f>
        <v>16.008</v>
      </c>
      <c r="O19" s="116" t="s">
        <v>271</v>
      </c>
      <c r="P19" s="104"/>
    </row>
    <row r="20" customFormat="false" ht="15" hidden="false" customHeight="false" outlineLevel="0" collapsed="false">
      <c r="B20" s="104" t="n">
        <v>15</v>
      </c>
      <c r="C20" s="105" t="s">
        <v>6</v>
      </c>
      <c r="D20" s="134" t="s">
        <v>49</v>
      </c>
      <c r="E20" s="107" t="s">
        <v>50</v>
      </c>
      <c r="F20" s="108" t="s">
        <v>31</v>
      </c>
      <c r="G20" s="116" t="s">
        <v>305</v>
      </c>
      <c r="H20" s="110" t="n">
        <v>1</v>
      </c>
      <c r="I20" s="135" t="s">
        <v>311</v>
      </c>
      <c r="J20" s="109" t="s">
        <v>268</v>
      </c>
      <c r="K20" s="132" t="s">
        <v>312</v>
      </c>
      <c r="L20" s="133" t="n">
        <v>3.76</v>
      </c>
      <c r="M20" s="114" t="s">
        <v>308</v>
      </c>
      <c r="N20" s="115" t="n">
        <f aca="false">IF(Tabela5[[#This Row],[PLN/ EURO ]] = "PLN",Tabela5[[#This Row],[Cena Jednostkowa ]],IF(Tabela5[[#This Row],[PLN/ EURO ]] = "EUR",$M$1*Tabela5[[#This Row],[Cena Jednostkowa ]],""))</f>
        <v>16.356</v>
      </c>
      <c r="O20" s="116" t="s">
        <v>271</v>
      </c>
      <c r="P20" s="104" t="n">
        <v>50</v>
      </c>
      <c r="Q20" s="117"/>
    </row>
    <row r="21" customFormat="false" ht="16.5" hidden="false" customHeight="true" outlineLevel="0" collapsed="false">
      <c r="B21" s="104" t="n">
        <v>16</v>
      </c>
      <c r="C21" s="105" t="s">
        <v>54</v>
      </c>
      <c r="D21" s="134" t="s">
        <v>55</v>
      </c>
      <c r="E21" s="107" t="s">
        <v>56</v>
      </c>
      <c r="F21" s="108" t="s">
        <v>31</v>
      </c>
      <c r="G21" s="131" t="s">
        <v>305</v>
      </c>
      <c r="H21" s="110" t="n">
        <v>1</v>
      </c>
      <c r="I21" s="136" t="s">
        <v>313</v>
      </c>
      <c r="J21" s="109" t="s">
        <v>268</v>
      </c>
      <c r="K21" s="132" t="s">
        <v>314</v>
      </c>
      <c r="L21" s="137" t="n">
        <v>12.35</v>
      </c>
      <c r="M21" s="114" t="s">
        <v>308</v>
      </c>
      <c r="N21" s="115" t="n">
        <f aca="false">IF(Tabela5[[#This Row],[PLN/ EURO ]] = "PLN",Tabela5[[#This Row],[Cena Jednostkowa ]],IF(Tabela5[[#This Row],[PLN/ EURO ]] = "EUR",$M$1*Tabela5[[#This Row],[Cena Jednostkowa ]],""))</f>
        <v>53.7225</v>
      </c>
      <c r="O21" s="116" t="s">
        <v>271</v>
      </c>
      <c r="P21" s="104"/>
      <c r="Q21" s="138"/>
    </row>
    <row r="22" customFormat="false" ht="14.25" hidden="false" customHeight="true" outlineLevel="0" collapsed="false">
      <c r="B22" s="104" t="n">
        <v>17</v>
      </c>
      <c r="C22" s="105" t="s">
        <v>54</v>
      </c>
      <c r="D22" s="134" t="s">
        <v>55</v>
      </c>
      <c r="E22" s="107" t="s">
        <v>56</v>
      </c>
      <c r="F22" s="108" t="s">
        <v>31</v>
      </c>
      <c r="G22" s="131" t="s">
        <v>305</v>
      </c>
      <c r="H22" s="110" t="n">
        <v>1</v>
      </c>
      <c r="I22" s="136" t="s">
        <v>315</v>
      </c>
      <c r="J22" s="109" t="s">
        <v>268</v>
      </c>
      <c r="K22" s="132" t="s">
        <v>316</v>
      </c>
      <c r="L22" s="137" t="n">
        <v>13.09</v>
      </c>
      <c r="M22" s="114" t="s">
        <v>308</v>
      </c>
      <c r="N22" s="115" t="n">
        <f aca="false">IF(Tabela5[[#This Row],[PLN/ EURO ]] = "PLN",Tabela5[[#This Row],[Cena Jednostkowa ]],IF(Tabela5[[#This Row],[PLN/ EURO ]] = "EUR",$M$1*Tabela5[[#This Row],[Cena Jednostkowa ]],""))</f>
        <v>56.9415</v>
      </c>
      <c r="O22" s="116" t="s">
        <v>271</v>
      </c>
      <c r="P22" s="104"/>
      <c r="Q22" s="138"/>
    </row>
    <row r="23" customFormat="false" ht="16.5" hidden="false" customHeight="true" outlineLevel="0" collapsed="false">
      <c r="B23" s="104" t="n">
        <v>18</v>
      </c>
      <c r="C23" s="105" t="s">
        <v>54</v>
      </c>
      <c r="D23" s="134" t="s">
        <v>55</v>
      </c>
      <c r="E23" s="107" t="s">
        <v>56</v>
      </c>
      <c r="F23" s="108" t="s">
        <v>31</v>
      </c>
      <c r="G23" s="131" t="s">
        <v>305</v>
      </c>
      <c r="H23" s="110" t="n">
        <v>1</v>
      </c>
      <c r="I23" s="136" t="s">
        <v>317</v>
      </c>
      <c r="J23" s="109" t="s">
        <v>268</v>
      </c>
      <c r="K23" s="132" t="s">
        <v>318</v>
      </c>
      <c r="L23" s="137" t="n">
        <v>14.38</v>
      </c>
      <c r="M23" s="114" t="s">
        <v>308</v>
      </c>
      <c r="N23" s="115" t="n">
        <f aca="false">IF(Tabela5[[#This Row],[PLN/ EURO ]] = "PLN",Tabela5[[#This Row],[Cena Jednostkowa ]],IF(Tabela5[[#This Row],[PLN/ EURO ]] = "EUR",$M$1*Tabela5[[#This Row],[Cena Jednostkowa ]],""))</f>
        <v>62.553</v>
      </c>
      <c r="O23" s="116" t="s">
        <v>271</v>
      </c>
      <c r="P23" s="104"/>
      <c r="Q23" s="138"/>
    </row>
    <row r="24" customFormat="false" ht="15" hidden="false" customHeight="false" outlineLevel="0" collapsed="false">
      <c r="B24" s="104" t="n">
        <v>19</v>
      </c>
      <c r="C24" s="105" t="s">
        <v>63</v>
      </c>
      <c r="D24" s="134" t="s">
        <v>64</v>
      </c>
      <c r="E24" s="107" t="s">
        <v>65</v>
      </c>
      <c r="F24" s="108" t="s">
        <v>31</v>
      </c>
      <c r="G24" s="108" t="s">
        <v>266</v>
      </c>
      <c r="H24" s="110" t="n">
        <v>1</v>
      </c>
      <c r="I24" s="111" t="s">
        <v>319</v>
      </c>
      <c r="J24" s="109" t="s">
        <v>268</v>
      </c>
      <c r="K24" s="132" t="s">
        <v>320</v>
      </c>
      <c r="L24" s="137" t="n">
        <v>8</v>
      </c>
      <c r="M24" s="114" t="s">
        <v>270</v>
      </c>
      <c r="N24" s="115" t="n">
        <f aca="false">IF(Tabela5[[#This Row],[PLN/ EURO ]] = "PLN",Tabela5[[#This Row],[Cena Jednostkowa ]],IF(Tabela5[[#This Row],[PLN/ EURO ]] = "EUR",$M$1*Tabela5[[#This Row],[Cena Jednostkowa ]],""))</f>
        <v>8</v>
      </c>
      <c r="O24" s="116" t="s">
        <v>271</v>
      </c>
      <c r="P24" s="104"/>
      <c r="Q24" s="138"/>
    </row>
    <row r="25" customFormat="false" ht="15" hidden="false" customHeight="false" outlineLevel="0" collapsed="false">
      <c r="B25" s="104" t="n">
        <v>20</v>
      </c>
      <c r="C25" s="105" t="s">
        <v>63</v>
      </c>
      <c r="D25" s="134" t="s">
        <v>64</v>
      </c>
      <c r="E25" s="107" t="s">
        <v>65</v>
      </c>
      <c r="F25" s="108" t="s">
        <v>31</v>
      </c>
      <c r="G25" s="108" t="s">
        <v>283</v>
      </c>
      <c r="H25" s="110" t="n">
        <v>1</v>
      </c>
      <c r="I25" s="111" t="s">
        <v>321</v>
      </c>
      <c r="J25" s="109" t="s">
        <v>268</v>
      </c>
      <c r="K25" s="132" t="s">
        <v>322</v>
      </c>
      <c r="L25" s="133" t="n">
        <v>5.98</v>
      </c>
      <c r="M25" s="114" t="s">
        <v>270</v>
      </c>
      <c r="N25" s="115" t="n">
        <f aca="false">IF(Tabela5[[#This Row],[PLN/ EURO ]] = "PLN",Tabela5[[#This Row],[Cena Jednostkowa ]],IF(Tabela5[[#This Row],[PLN/ EURO ]] = "EUR",$M$1*Tabela5[[#This Row],[Cena Jednostkowa ]],""))</f>
        <v>5.98</v>
      </c>
      <c r="O25" s="116" t="s">
        <v>271</v>
      </c>
      <c r="P25" s="104"/>
      <c r="Q25" s="138"/>
    </row>
    <row r="26" customFormat="false" ht="15" hidden="false" customHeight="false" outlineLevel="0" collapsed="false">
      <c r="B26" s="104" t="n">
        <v>21</v>
      </c>
      <c r="C26" s="105" t="s">
        <v>63</v>
      </c>
      <c r="D26" s="134" t="s">
        <v>64</v>
      </c>
      <c r="E26" s="107" t="s">
        <v>65</v>
      </c>
      <c r="F26" s="108" t="s">
        <v>31</v>
      </c>
      <c r="G26" s="131" t="s">
        <v>283</v>
      </c>
      <c r="H26" s="110" t="n">
        <v>1</v>
      </c>
      <c r="I26" s="111" t="s">
        <v>323</v>
      </c>
      <c r="J26" s="109" t="s">
        <v>268</v>
      </c>
      <c r="K26" s="132" t="s">
        <v>324</v>
      </c>
      <c r="L26" s="137" t="n">
        <v>5.5</v>
      </c>
      <c r="M26" s="114" t="s">
        <v>270</v>
      </c>
      <c r="N26" s="115" t="n">
        <f aca="false">IF(Tabela5[[#This Row],[PLN/ EURO ]] = "PLN",Tabela5[[#This Row],[Cena Jednostkowa ]],IF(Tabela5[[#This Row],[PLN/ EURO ]] = "EUR",$M$1*Tabela5[[#This Row],[Cena Jednostkowa ]],""))</f>
        <v>5.5</v>
      </c>
      <c r="O26" s="116" t="s">
        <v>271</v>
      </c>
      <c r="P26" s="104"/>
      <c r="Q26" s="138"/>
    </row>
    <row r="27" customFormat="false" ht="15" hidden="false" customHeight="false" outlineLevel="0" collapsed="false">
      <c r="B27" s="104" t="n">
        <v>22</v>
      </c>
      <c r="C27" s="139" t="s">
        <v>71</v>
      </c>
      <c r="D27" s="134" t="s">
        <v>72</v>
      </c>
      <c r="E27" s="107" t="s">
        <v>73</v>
      </c>
      <c r="F27" s="108" t="s">
        <v>31</v>
      </c>
      <c r="G27" s="140" t="s">
        <v>17</v>
      </c>
      <c r="H27" s="110" t="n">
        <v>1</v>
      </c>
      <c r="I27" s="122" t="s">
        <v>325</v>
      </c>
      <c r="J27" s="141" t="s">
        <v>268</v>
      </c>
      <c r="K27" s="132" t="s">
        <v>326</v>
      </c>
      <c r="L27" s="133" t="n">
        <v>2.75</v>
      </c>
      <c r="M27" s="114" t="s">
        <v>308</v>
      </c>
      <c r="N27" s="115" t="n">
        <f aca="false">IF(Tabela5[[#This Row],[PLN/ EURO ]] = "PLN",Tabela5[[#This Row],[Cena Jednostkowa ]],IF(Tabela5[[#This Row],[PLN/ EURO ]] = "EUR",$M$1*Tabela5[[#This Row],[Cena Jednostkowa ]],""))</f>
        <v>11.9625</v>
      </c>
      <c r="O27" s="116" t="s">
        <v>271</v>
      </c>
      <c r="P27" s="104"/>
      <c r="Q27" s="138"/>
    </row>
    <row r="28" customFormat="false" ht="15" hidden="false" customHeight="false" outlineLevel="0" collapsed="false">
      <c r="B28" s="104" t="n">
        <v>23</v>
      </c>
      <c r="C28" s="139" t="s">
        <v>5</v>
      </c>
      <c r="D28" s="134" t="s">
        <v>80</v>
      </c>
      <c r="E28" s="107" t="s">
        <v>81</v>
      </c>
      <c r="F28" s="108" t="s">
        <v>31</v>
      </c>
      <c r="G28" s="140" t="s">
        <v>24</v>
      </c>
      <c r="H28" s="140" t="n">
        <v>2</v>
      </c>
      <c r="I28" s="122" t="s">
        <v>297</v>
      </c>
      <c r="J28" s="141" t="s">
        <v>287</v>
      </c>
      <c r="K28" s="132" t="s">
        <v>327</v>
      </c>
      <c r="L28" s="133" t="n">
        <v>6</v>
      </c>
      <c r="M28" s="114" t="s">
        <v>270</v>
      </c>
      <c r="N28" s="115" t="n">
        <f aca="false">IF(Tabela5[[#This Row],[PLN/ EURO ]] = "PLN",Tabela5[[#This Row],[Cena Jednostkowa ]],IF(Tabela5[[#This Row],[PLN/ EURO ]] = "EUR",$M$1*Tabela5[[#This Row],[Cena Jednostkowa ]],""))</f>
        <v>6</v>
      </c>
      <c r="O28" s="116" t="s">
        <v>271</v>
      </c>
      <c r="P28" s="104"/>
      <c r="Q28" s="119"/>
    </row>
    <row r="29" customFormat="false" ht="15" hidden="false" customHeight="false" outlineLevel="0" collapsed="false">
      <c r="B29" s="104" t="n">
        <v>25</v>
      </c>
      <c r="C29" s="139" t="s">
        <v>209</v>
      </c>
      <c r="D29" s="142" t="s">
        <v>209</v>
      </c>
      <c r="E29" s="107" t="s">
        <v>88</v>
      </c>
      <c r="F29" s="108" t="s">
        <v>31</v>
      </c>
      <c r="G29" s="141" t="s">
        <v>328</v>
      </c>
      <c r="H29" s="110" t="n">
        <v>2</v>
      </c>
      <c r="I29" s="111" t="s">
        <v>329</v>
      </c>
      <c r="J29" s="109" t="s">
        <v>287</v>
      </c>
      <c r="K29" s="132" t="s">
        <v>330</v>
      </c>
      <c r="L29" s="133"/>
      <c r="M29" s="114" t="s">
        <v>270</v>
      </c>
      <c r="N29" s="115" t="n">
        <f aca="false">IF(Tabela5[[#This Row],[PLN/ EURO ]] = "PLN",Tabela5[[#This Row],[Cena Jednostkowa ]],IF(Tabela5[[#This Row],[PLN/ EURO ]] = "EUR",$M$1*Tabela5[[#This Row],[Cena Jednostkowa ]],""))</f>
        <v>0</v>
      </c>
      <c r="O29" s="116" t="s">
        <v>271</v>
      </c>
      <c r="P29" s="104"/>
      <c r="Q29" s="138"/>
    </row>
    <row r="30" customFormat="false" ht="15" hidden="false" customHeight="false" outlineLevel="0" collapsed="false">
      <c r="B30" s="104" t="n">
        <v>26</v>
      </c>
      <c r="C30" s="139" t="s">
        <v>209</v>
      </c>
      <c r="D30" s="142" t="s">
        <v>209</v>
      </c>
      <c r="E30" s="107" t="s">
        <v>88</v>
      </c>
      <c r="F30" s="108" t="s">
        <v>31</v>
      </c>
      <c r="G30" s="141" t="s">
        <v>328</v>
      </c>
      <c r="H30" s="110" t="n">
        <v>2</v>
      </c>
      <c r="I30" s="111" t="s">
        <v>329</v>
      </c>
      <c r="J30" s="109" t="s">
        <v>268</v>
      </c>
      <c r="K30" s="132" t="s">
        <v>331</v>
      </c>
      <c r="L30" s="133"/>
      <c r="M30" s="114" t="s">
        <v>270</v>
      </c>
      <c r="N30" s="115" t="n">
        <f aca="false">IF(Tabela5[[#This Row],[PLN/ EURO ]] = "PLN",Tabela5[[#This Row],[Cena Jednostkowa ]],IF(Tabela5[[#This Row],[PLN/ EURO ]] = "EUR",$M$1*Tabela5[[#This Row],[Cena Jednostkowa ]],""))</f>
        <v>0</v>
      </c>
      <c r="O30" s="116" t="s">
        <v>271</v>
      </c>
      <c r="P30" s="104"/>
      <c r="Q30" s="138"/>
    </row>
    <row r="31" customFormat="false" ht="15" hidden="false" customHeight="false" outlineLevel="0" collapsed="false">
      <c r="B31" s="104" t="n">
        <v>27</v>
      </c>
      <c r="C31" s="139" t="s">
        <v>209</v>
      </c>
      <c r="D31" s="142" t="s">
        <v>209</v>
      </c>
      <c r="E31" s="107" t="s">
        <v>88</v>
      </c>
      <c r="F31" s="108" t="s">
        <v>31</v>
      </c>
      <c r="G31" s="141" t="s">
        <v>332</v>
      </c>
      <c r="H31" s="110" t="n">
        <v>2</v>
      </c>
      <c r="I31" s="111" t="s">
        <v>333</v>
      </c>
      <c r="J31" s="109" t="s">
        <v>274</v>
      </c>
      <c r="K31" s="132" t="s">
        <v>334</v>
      </c>
      <c r="L31" s="133"/>
      <c r="M31" s="114" t="s">
        <v>270</v>
      </c>
      <c r="N31" s="115" t="n">
        <f aca="false">IF(Tabela5[[#This Row],[PLN/ EURO ]] = "PLN",Tabela5[[#This Row],[Cena Jednostkowa ]],IF(Tabela5[[#This Row],[PLN/ EURO ]] = "EUR",$M$1*Tabela5[[#This Row],[Cena Jednostkowa ]],""))</f>
        <v>0</v>
      </c>
      <c r="O31" s="116" t="s">
        <v>271</v>
      </c>
      <c r="P31" s="104"/>
      <c r="Q31" s="138"/>
    </row>
    <row r="32" customFormat="false" ht="15" hidden="false" customHeight="false" outlineLevel="0" collapsed="false">
      <c r="B32" s="104" t="n">
        <v>28</v>
      </c>
      <c r="C32" s="139" t="s">
        <v>209</v>
      </c>
      <c r="D32" s="142" t="s">
        <v>209</v>
      </c>
      <c r="E32" s="107" t="s">
        <v>88</v>
      </c>
      <c r="F32" s="108" t="s">
        <v>31</v>
      </c>
      <c r="G32" s="141" t="s">
        <v>297</v>
      </c>
      <c r="H32" s="110" t="n">
        <v>2</v>
      </c>
      <c r="I32" s="111" t="s">
        <v>24</v>
      </c>
      <c r="J32" s="109" t="s">
        <v>287</v>
      </c>
      <c r="K32" s="132" t="s">
        <v>335</v>
      </c>
      <c r="L32" s="133"/>
      <c r="M32" s="114" t="s">
        <v>270</v>
      </c>
      <c r="N32" s="115" t="n">
        <f aca="false">IF(Tabela5[[#This Row],[PLN/ EURO ]] = "PLN",Tabela5[[#This Row],[Cena Jednostkowa ]],IF(Tabela5[[#This Row],[PLN/ EURO ]] = "EUR",$M$1*Tabela5[[#This Row],[Cena Jednostkowa ]],""))</f>
        <v>0</v>
      </c>
      <c r="O32" s="116" t="s">
        <v>271</v>
      </c>
      <c r="P32" s="104"/>
      <c r="Q32" s="138"/>
    </row>
    <row r="33" customFormat="false" ht="15" hidden="false" customHeight="false" outlineLevel="0" collapsed="false">
      <c r="B33" s="104" t="n">
        <v>29</v>
      </c>
      <c r="C33" s="105" t="s">
        <v>11</v>
      </c>
      <c r="D33" s="134" t="s">
        <v>11</v>
      </c>
      <c r="E33" s="107" t="s">
        <v>92</v>
      </c>
      <c r="F33" s="108" t="s">
        <v>31</v>
      </c>
      <c r="G33" s="141" t="s">
        <v>328</v>
      </c>
      <c r="H33" s="121" t="n">
        <v>1</v>
      </c>
      <c r="I33" s="122" t="s">
        <v>336</v>
      </c>
      <c r="J33" s="141" t="s">
        <v>268</v>
      </c>
      <c r="K33" s="143" t="s">
        <v>337</v>
      </c>
      <c r="L33" s="133" t="n">
        <v>4.2</v>
      </c>
      <c r="M33" s="114" t="s">
        <v>270</v>
      </c>
      <c r="N33" s="115" t="n">
        <f aca="false">IF(Tabela5[[#This Row],[PLN/ EURO ]] = "PLN",Tabela5[[#This Row],[Cena Jednostkowa ]],IF(Tabela5[[#This Row],[PLN/ EURO ]] = "EUR",$M$1*Tabela5[[#This Row],[Cena Jednostkowa ]],""))</f>
        <v>4.2</v>
      </c>
      <c r="O33" s="116" t="s">
        <v>271</v>
      </c>
      <c r="P33" s="104"/>
      <c r="Q33" s="138"/>
    </row>
    <row r="34" customFormat="false" ht="15" hidden="false" customHeight="false" outlineLevel="0" collapsed="false">
      <c r="B34" s="104" t="n">
        <v>30</v>
      </c>
      <c r="C34" s="105" t="s">
        <v>11</v>
      </c>
      <c r="D34" s="134" t="s">
        <v>11</v>
      </c>
      <c r="E34" s="107" t="s">
        <v>92</v>
      </c>
      <c r="F34" s="108" t="s">
        <v>31</v>
      </c>
      <c r="G34" s="141" t="s">
        <v>328</v>
      </c>
      <c r="H34" s="121" t="n">
        <v>1</v>
      </c>
      <c r="I34" s="122" t="s">
        <v>338</v>
      </c>
      <c r="J34" s="141" t="s">
        <v>287</v>
      </c>
      <c r="K34" s="143" t="s">
        <v>339</v>
      </c>
      <c r="L34" s="133"/>
      <c r="M34" s="114"/>
      <c r="N34" s="115" t="str">
        <f aca="false">IF(Tabela5[[#This Row],[PLN/ EURO ]] = "PLN",Tabela5[[#This Row],[Cena Jednostkowa ]],IF(Tabela5[[#This Row],[PLN/ EURO ]] = "EUR",$M$1*Tabela5[[#This Row],[Cena Jednostkowa ]],""))</f>
        <v/>
      </c>
      <c r="O34" s="116" t="s">
        <v>271</v>
      </c>
      <c r="P34" s="104"/>
      <c r="Q34" s="138"/>
    </row>
    <row r="35" customFormat="false" ht="15" hidden="false" customHeight="false" outlineLevel="0" collapsed="false">
      <c r="B35" s="104" t="n">
        <v>31</v>
      </c>
      <c r="C35" s="105" t="s">
        <v>11</v>
      </c>
      <c r="D35" s="134" t="s">
        <v>11</v>
      </c>
      <c r="E35" s="107" t="s">
        <v>92</v>
      </c>
      <c r="F35" s="108" t="s">
        <v>31</v>
      </c>
      <c r="G35" s="141" t="s">
        <v>340</v>
      </c>
      <c r="H35" s="121" t="n">
        <v>1</v>
      </c>
      <c r="I35" s="122" t="s">
        <v>341</v>
      </c>
      <c r="J35" s="141" t="s">
        <v>268</v>
      </c>
      <c r="K35" s="143" t="s">
        <v>342</v>
      </c>
      <c r="L35" s="133"/>
      <c r="M35" s="114"/>
      <c r="N35" s="115" t="str">
        <f aca="false">IF(Tabela5[[#This Row],[PLN/ EURO ]] = "PLN",Tabela5[[#This Row],[Cena Jednostkowa ]],IF(Tabela5[[#This Row],[PLN/ EURO ]] = "EUR",$M$1*Tabela5[[#This Row],[Cena Jednostkowa ]],""))</f>
        <v/>
      </c>
      <c r="O35" s="116" t="s">
        <v>271</v>
      </c>
      <c r="P35" s="104"/>
      <c r="Q35" s="138"/>
    </row>
    <row r="36" customFormat="false" ht="15" hidden="false" customHeight="false" outlineLevel="0" collapsed="false">
      <c r="B36" s="104" t="n">
        <v>32</v>
      </c>
      <c r="C36" s="105" t="s">
        <v>11</v>
      </c>
      <c r="D36" s="134" t="s">
        <v>11</v>
      </c>
      <c r="E36" s="107" t="s">
        <v>92</v>
      </c>
      <c r="F36" s="108" t="s">
        <v>31</v>
      </c>
      <c r="G36" s="141" t="s">
        <v>343</v>
      </c>
      <c r="H36" s="121" t="n">
        <v>1</v>
      </c>
      <c r="I36" s="122" t="s">
        <v>344</v>
      </c>
      <c r="J36" s="141" t="s">
        <v>268</v>
      </c>
      <c r="K36" s="143" t="s">
        <v>345</v>
      </c>
      <c r="L36" s="133"/>
      <c r="M36" s="114"/>
      <c r="N36" s="115" t="str">
        <f aca="false">IF(Tabela5[[#This Row],[PLN/ EURO ]] = "PLN",Tabela5[[#This Row],[Cena Jednostkowa ]],IF(Tabela5[[#This Row],[PLN/ EURO ]] = "EUR",$M$1*Tabela5[[#This Row],[Cena Jednostkowa ]],""))</f>
        <v/>
      </c>
      <c r="O36" s="116" t="s">
        <v>271</v>
      </c>
      <c r="P36" s="104"/>
      <c r="Q36" s="138"/>
    </row>
    <row r="37" customFormat="false" ht="15" hidden="false" customHeight="false" outlineLevel="0" collapsed="false">
      <c r="B37" s="104" t="n">
        <v>33</v>
      </c>
      <c r="C37" s="105" t="s">
        <v>11</v>
      </c>
      <c r="D37" s="134" t="s">
        <v>11</v>
      </c>
      <c r="E37" s="107" t="s">
        <v>92</v>
      </c>
      <c r="F37" s="108" t="s">
        <v>31</v>
      </c>
      <c r="G37" s="141" t="s">
        <v>346</v>
      </c>
      <c r="H37" s="121" t="n">
        <v>1</v>
      </c>
      <c r="I37" s="122" t="s">
        <v>347</v>
      </c>
      <c r="J37" s="141" t="s">
        <v>268</v>
      </c>
      <c r="K37" s="143" t="s">
        <v>348</v>
      </c>
      <c r="L37" s="133"/>
      <c r="M37" s="114"/>
      <c r="N37" s="115" t="str">
        <f aca="false">IF(Tabela5[[#This Row],[PLN/ EURO ]] = "PLN",Tabela5[[#This Row],[Cena Jednostkowa ]],IF(Tabela5[[#This Row],[PLN/ EURO ]] = "EUR",$M$1*Tabela5[[#This Row],[Cena Jednostkowa ]],""))</f>
        <v/>
      </c>
      <c r="O37" s="116" t="s">
        <v>271</v>
      </c>
      <c r="P37" s="104"/>
      <c r="Q37" s="138"/>
    </row>
    <row r="38" customFormat="false" ht="15" hidden="false" customHeight="false" outlineLevel="0" collapsed="false">
      <c r="B38" s="104" t="n">
        <v>34</v>
      </c>
      <c r="C38" s="105" t="s">
        <v>11</v>
      </c>
      <c r="D38" s="134" t="s">
        <v>11</v>
      </c>
      <c r="E38" s="107" t="s">
        <v>92</v>
      </c>
      <c r="F38" s="108" t="s">
        <v>31</v>
      </c>
      <c r="G38" s="141" t="s">
        <v>283</v>
      </c>
      <c r="H38" s="121" t="n">
        <v>1</v>
      </c>
      <c r="I38" s="122" t="s">
        <v>349</v>
      </c>
      <c r="J38" s="141" t="s">
        <v>268</v>
      </c>
      <c r="K38" s="143" t="s">
        <v>350</v>
      </c>
      <c r="L38" s="144"/>
      <c r="M38" s="114"/>
      <c r="N38" s="115" t="str">
        <f aca="false">IF(Tabela5[[#This Row],[PLN/ EURO ]] = "PLN",Tabela5[[#This Row],[Cena Jednostkowa ]],IF(Tabela5[[#This Row],[PLN/ EURO ]] = "EUR",$M$1*Tabela5[[#This Row],[Cena Jednostkowa ]],""))</f>
        <v/>
      </c>
      <c r="O38" s="116" t="s">
        <v>271</v>
      </c>
      <c r="P38" s="127"/>
      <c r="Q38" s="145"/>
    </row>
    <row r="39" customFormat="false" ht="15" hidden="false" customHeight="false" outlineLevel="0" collapsed="false">
      <c r="B39" s="104" t="n">
        <v>35</v>
      </c>
      <c r="C39" s="105" t="s">
        <v>11</v>
      </c>
      <c r="D39" s="134" t="s">
        <v>11</v>
      </c>
      <c r="E39" s="107" t="s">
        <v>92</v>
      </c>
      <c r="F39" s="108" t="s">
        <v>31</v>
      </c>
      <c r="G39" s="141" t="s">
        <v>283</v>
      </c>
      <c r="H39" s="121" t="n">
        <v>1</v>
      </c>
      <c r="I39" s="122" t="s">
        <v>351</v>
      </c>
      <c r="J39" s="141" t="s">
        <v>268</v>
      </c>
      <c r="K39" s="143" t="s">
        <v>352</v>
      </c>
      <c r="L39" s="133"/>
      <c r="M39" s="114"/>
      <c r="N39" s="115" t="str">
        <f aca="false">IF(Tabela5[[#This Row],[PLN/ EURO ]] = "PLN",Tabela5[[#This Row],[Cena Jednostkowa ]],IF(Tabela5[[#This Row],[PLN/ EURO ]] = "EUR",$M$1*Tabela5[[#This Row],[Cena Jednostkowa ]],""))</f>
        <v/>
      </c>
      <c r="O39" s="116" t="s">
        <v>271</v>
      </c>
      <c r="P39" s="104"/>
      <c r="Q39" s="119"/>
    </row>
    <row r="40" customFormat="false" ht="15" hidden="false" customHeight="false" outlineLevel="0" collapsed="false">
      <c r="B40" s="104" t="n">
        <v>36</v>
      </c>
      <c r="C40" s="105" t="s">
        <v>11</v>
      </c>
      <c r="D40" s="134" t="s">
        <v>11</v>
      </c>
      <c r="E40" s="107" t="s">
        <v>92</v>
      </c>
      <c r="F40" s="108" t="s">
        <v>31</v>
      </c>
      <c r="G40" s="141" t="s">
        <v>353</v>
      </c>
      <c r="H40" s="121" t="n">
        <v>1</v>
      </c>
      <c r="I40" s="122" t="s">
        <v>354</v>
      </c>
      <c r="J40" s="141" t="s">
        <v>268</v>
      </c>
      <c r="K40" s="143" t="s">
        <v>355</v>
      </c>
      <c r="L40" s="144"/>
      <c r="M40" s="114"/>
      <c r="N40" s="115" t="str">
        <f aca="false">IF(Tabela5[[#This Row],[PLN/ EURO ]] = "PLN",Tabela5[[#This Row],[Cena Jednostkowa ]],IF(Tabela5[[#This Row],[PLN/ EURO ]] = "EUR",$M$1*Tabela5[[#This Row],[Cena Jednostkowa ]],""))</f>
        <v/>
      </c>
      <c r="O40" s="116" t="s">
        <v>271</v>
      </c>
      <c r="P40" s="127"/>
      <c r="Q40" s="145"/>
    </row>
    <row r="41" customFormat="false" ht="15" hidden="false" customHeight="false" outlineLevel="0" collapsed="false">
      <c r="B41" s="104" t="n">
        <v>37</v>
      </c>
      <c r="C41" s="105" t="s">
        <v>11</v>
      </c>
      <c r="D41" s="134" t="s">
        <v>11</v>
      </c>
      <c r="E41" s="107" t="s">
        <v>92</v>
      </c>
      <c r="F41" s="108" t="s">
        <v>31</v>
      </c>
      <c r="G41" s="141" t="s">
        <v>353</v>
      </c>
      <c r="H41" s="121" t="n">
        <v>1</v>
      </c>
      <c r="I41" s="122" t="s">
        <v>356</v>
      </c>
      <c r="J41" s="141" t="s">
        <v>268</v>
      </c>
      <c r="K41" s="143" t="s">
        <v>357</v>
      </c>
      <c r="L41" s="133" t="n">
        <v>1.35</v>
      </c>
      <c r="M41" s="114" t="s">
        <v>308</v>
      </c>
      <c r="N41" s="115" t="n">
        <f aca="false">IF(Tabela5[[#This Row],[PLN/ EURO ]] = "PLN",Tabela5[[#This Row],[Cena Jednostkowa ]],IF(Tabela5[[#This Row],[PLN/ EURO ]] = "EUR",$M$1*Tabela5[[#This Row],[Cena Jednostkowa ]],""))</f>
        <v>5.8725</v>
      </c>
      <c r="O41" s="116" t="s">
        <v>271</v>
      </c>
      <c r="P41" s="104"/>
      <c r="Q41" s="119"/>
    </row>
    <row r="42" customFormat="false" ht="15" hidden="false" customHeight="false" outlineLevel="0" collapsed="false">
      <c r="B42" s="104" t="n">
        <v>38</v>
      </c>
      <c r="C42" s="105" t="s">
        <v>11</v>
      </c>
      <c r="D42" s="134" t="s">
        <v>11</v>
      </c>
      <c r="E42" s="107" t="s">
        <v>92</v>
      </c>
      <c r="F42" s="108" t="s">
        <v>31</v>
      </c>
      <c r="G42" s="141" t="s">
        <v>358</v>
      </c>
      <c r="H42" s="121" t="n">
        <v>1</v>
      </c>
      <c r="I42" s="122" t="s">
        <v>359</v>
      </c>
      <c r="J42" s="141" t="s">
        <v>268</v>
      </c>
      <c r="K42" s="143" t="s">
        <v>360</v>
      </c>
      <c r="L42" s="133"/>
      <c r="M42" s="114"/>
      <c r="N42" s="115" t="str">
        <f aca="false">IF(Tabela5[[#This Row],[PLN/ EURO ]] = "PLN",Tabela5[[#This Row],[Cena Jednostkowa ]],IF(Tabela5[[#This Row],[PLN/ EURO ]] = "EUR",$M$1*Tabela5[[#This Row],[Cena Jednostkowa ]],""))</f>
        <v/>
      </c>
      <c r="O42" s="116" t="s">
        <v>271</v>
      </c>
      <c r="P42" s="104"/>
      <c r="Q42" s="119"/>
    </row>
    <row r="43" customFormat="false" ht="15" hidden="false" customHeight="false" outlineLevel="0" collapsed="false">
      <c r="B43" s="104" t="n">
        <v>38</v>
      </c>
      <c r="C43" s="105" t="s">
        <v>11</v>
      </c>
      <c r="D43" s="134" t="s">
        <v>11</v>
      </c>
      <c r="E43" s="107" t="s">
        <v>92</v>
      </c>
      <c r="F43" s="108" t="s">
        <v>31</v>
      </c>
      <c r="G43" s="141" t="s">
        <v>361</v>
      </c>
      <c r="H43" s="121" t="n">
        <v>1</v>
      </c>
      <c r="I43" s="122" t="s">
        <v>362</v>
      </c>
      <c r="J43" s="141" t="s">
        <v>268</v>
      </c>
      <c r="K43" s="143" t="s">
        <v>363</v>
      </c>
      <c r="L43" s="133" t="n">
        <v>3.9</v>
      </c>
      <c r="M43" s="114" t="s">
        <v>308</v>
      </c>
      <c r="N43" s="115" t="n">
        <f aca="false">IF(Tabela5[[#This Row],[PLN/ EURO ]] = "PLN",Tabela5[[#This Row],[Cena Jednostkowa ]],IF(Tabela5[[#This Row],[PLN/ EURO ]] = "EUR",$M$1*Tabela5[[#This Row],[Cena Jednostkowa ]],""))</f>
        <v>16.965</v>
      </c>
      <c r="O43" s="116" t="s">
        <v>271</v>
      </c>
      <c r="P43" s="104"/>
      <c r="Q43" s="119"/>
    </row>
    <row r="44" customFormat="false" ht="15" hidden="false" customHeight="false" outlineLevel="0" collapsed="false">
      <c r="B44" s="104" t="n">
        <v>39</v>
      </c>
      <c r="C44" s="146" t="s">
        <v>96</v>
      </c>
      <c r="D44" s="134" t="s">
        <v>9</v>
      </c>
      <c r="E44" s="107" t="s">
        <v>97</v>
      </c>
      <c r="F44" s="108" t="s">
        <v>31</v>
      </c>
      <c r="G44" s="109" t="s">
        <v>328</v>
      </c>
      <c r="H44" s="110" t="n">
        <v>2</v>
      </c>
      <c r="I44" s="111" t="s">
        <v>329</v>
      </c>
      <c r="J44" s="109" t="s">
        <v>274</v>
      </c>
      <c r="K44" s="132" t="s">
        <v>364</v>
      </c>
      <c r="L44" s="133"/>
      <c r="M44" s="114"/>
      <c r="N44" s="115" t="str">
        <f aca="false">IF(Tabela5[[#This Row],[PLN/ EURO ]] = "PLN",Tabela5[[#This Row],[Cena Jednostkowa ]],IF(Tabela5[[#This Row],[PLN/ EURO ]] = "EUR",$M$1*Tabela5[[#This Row],[Cena Jednostkowa ]],""))</f>
        <v/>
      </c>
      <c r="O44" s="116" t="s">
        <v>271</v>
      </c>
      <c r="P44" s="104"/>
      <c r="Q44" s="119"/>
    </row>
    <row r="45" customFormat="false" ht="15" hidden="false" customHeight="false" outlineLevel="0" collapsed="false">
      <c r="B45" s="104" t="n">
        <v>40</v>
      </c>
      <c r="C45" s="146" t="s">
        <v>96</v>
      </c>
      <c r="D45" s="134" t="s">
        <v>9</v>
      </c>
      <c r="E45" s="107" t="s">
        <v>97</v>
      </c>
      <c r="F45" s="108" t="s">
        <v>31</v>
      </c>
      <c r="G45" s="109" t="s">
        <v>365</v>
      </c>
      <c r="H45" s="110" t="n">
        <v>2</v>
      </c>
      <c r="I45" s="111" t="s">
        <v>366</v>
      </c>
      <c r="J45" s="109" t="s">
        <v>274</v>
      </c>
      <c r="K45" s="132" t="s">
        <v>367</v>
      </c>
      <c r="L45" s="144"/>
      <c r="M45" s="114"/>
      <c r="N45" s="115" t="str">
        <f aca="false">IF(Tabela5[[#This Row],[PLN/ EURO ]] = "PLN",Tabela5[[#This Row],[Cena Jednostkowa ]],IF(Tabela5[[#This Row],[PLN/ EURO ]] = "EUR",$M$1*Tabela5[[#This Row],[Cena Jednostkowa ]],""))</f>
        <v/>
      </c>
      <c r="O45" s="116" t="s">
        <v>271</v>
      </c>
      <c r="P45" s="127"/>
      <c r="Q45" s="145"/>
    </row>
    <row r="46" customFormat="false" ht="15" hidden="false" customHeight="false" outlineLevel="0" collapsed="false">
      <c r="B46" s="104" t="n">
        <v>41</v>
      </c>
      <c r="C46" s="146" t="s">
        <v>96</v>
      </c>
      <c r="D46" s="134" t="s">
        <v>9</v>
      </c>
      <c r="E46" s="107" t="s">
        <v>97</v>
      </c>
      <c r="F46" s="108" t="s">
        <v>31</v>
      </c>
      <c r="G46" s="109" t="s">
        <v>283</v>
      </c>
      <c r="H46" s="110" t="n">
        <v>2</v>
      </c>
      <c r="I46" s="111" t="s">
        <v>368</v>
      </c>
      <c r="J46" s="109" t="s">
        <v>287</v>
      </c>
      <c r="K46" s="132" t="s">
        <v>369</v>
      </c>
      <c r="L46" s="144"/>
      <c r="M46" s="114"/>
      <c r="N46" s="115" t="str">
        <f aca="false">IF(Tabela5[[#This Row],[PLN/ EURO ]] = "PLN",Tabela5[[#This Row],[Cena Jednostkowa ]],IF(Tabela5[[#This Row],[PLN/ EURO ]] = "EUR",$M$1*Tabela5[[#This Row],[Cena Jednostkowa ]],""))</f>
        <v/>
      </c>
      <c r="O46" s="116" t="s">
        <v>271</v>
      </c>
      <c r="P46" s="127"/>
      <c r="Q46" s="145"/>
    </row>
    <row r="47" customFormat="false" ht="15" hidden="false" customHeight="false" outlineLevel="0" collapsed="false">
      <c r="B47" s="104" t="n">
        <v>42</v>
      </c>
      <c r="C47" s="146" t="s">
        <v>10</v>
      </c>
      <c r="D47" s="147" t="s">
        <v>101</v>
      </c>
      <c r="E47" s="148" t="s">
        <v>102</v>
      </c>
      <c r="F47" s="108" t="s">
        <v>31</v>
      </c>
      <c r="G47" s="109" t="s">
        <v>370</v>
      </c>
      <c r="H47" s="149" t="n">
        <v>2</v>
      </c>
      <c r="I47" s="111" t="s">
        <v>371</v>
      </c>
      <c r="J47" s="109" t="s">
        <v>268</v>
      </c>
      <c r="K47" s="132" t="s">
        <v>372</v>
      </c>
      <c r="L47" s="150"/>
      <c r="M47" s="114"/>
      <c r="N47" s="115" t="str">
        <f aca="false">IF(Tabela5[[#This Row],[PLN/ EURO ]] = "PLN",Tabela5[[#This Row],[Cena Jednostkowa ]],IF(Tabela5[[#This Row],[PLN/ EURO ]] = "EUR",$M$1*Tabela5[[#This Row],[Cena Jednostkowa ]],""))</f>
        <v/>
      </c>
      <c r="O47" s="116" t="s">
        <v>271</v>
      </c>
      <c r="P47" s="127"/>
      <c r="Q47" s="145"/>
    </row>
    <row r="48" customFormat="false" ht="15" hidden="false" customHeight="false" outlineLevel="0" collapsed="false">
      <c r="B48" s="104" t="n">
        <v>43</v>
      </c>
      <c r="C48" s="146" t="s">
        <v>108</v>
      </c>
      <c r="D48" s="134" t="s">
        <v>4</v>
      </c>
      <c r="E48" s="107" t="s">
        <v>109</v>
      </c>
      <c r="F48" s="108" t="s">
        <v>31</v>
      </c>
      <c r="G48" s="151" t="s">
        <v>328</v>
      </c>
      <c r="H48" s="152" t="n">
        <v>1</v>
      </c>
      <c r="I48" s="153" t="s">
        <v>329</v>
      </c>
      <c r="J48" s="151" t="s">
        <v>373</v>
      </c>
      <c r="K48" s="132" t="s">
        <v>374</v>
      </c>
      <c r="L48" s="150"/>
      <c r="M48" s="114"/>
      <c r="N48" s="115" t="str">
        <f aca="false">IF(Tabela5[[#This Row],[PLN/ EURO ]] = "PLN",Tabela5[[#This Row],[Cena Jednostkowa ]],IF(Tabela5[[#This Row],[PLN/ EURO ]] = "EUR",$M$1*Tabela5[[#This Row],[Cena Jednostkowa ]],""))</f>
        <v/>
      </c>
      <c r="O48" s="116" t="s">
        <v>271</v>
      </c>
      <c r="P48" s="104"/>
      <c r="Q48" s="119"/>
    </row>
    <row r="49" customFormat="false" ht="15" hidden="false" customHeight="false" outlineLevel="0" collapsed="false">
      <c r="B49" s="104" t="n">
        <v>44</v>
      </c>
      <c r="C49" s="146" t="s">
        <v>108</v>
      </c>
      <c r="D49" s="134" t="s">
        <v>4</v>
      </c>
      <c r="E49" s="107" t="s">
        <v>109</v>
      </c>
      <c r="F49" s="108" t="s">
        <v>31</v>
      </c>
      <c r="G49" s="109" t="s">
        <v>328</v>
      </c>
      <c r="H49" s="110" t="n">
        <v>1</v>
      </c>
      <c r="I49" s="111" t="s">
        <v>329</v>
      </c>
      <c r="J49" s="109" t="s">
        <v>375</v>
      </c>
      <c r="K49" s="132" t="s">
        <v>376</v>
      </c>
      <c r="L49" s="150"/>
      <c r="M49" s="114"/>
      <c r="N49" s="115" t="str">
        <f aca="false">IF(Tabela5[[#This Row],[PLN/ EURO ]] = "PLN",Tabela5[[#This Row],[Cena Jednostkowa ]],IF(Tabela5[[#This Row],[PLN/ EURO ]] = "EUR",$M$1*Tabela5[[#This Row],[Cena Jednostkowa ]],""))</f>
        <v/>
      </c>
      <c r="O49" s="116" t="s">
        <v>271</v>
      </c>
      <c r="P49" s="104"/>
      <c r="Q49" s="119"/>
    </row>
    <row r="50" customFormat="false" ht="15" hidden="false" customHeight="false" outlineLevel="0" collapsed="false">
      <c r="B50" s="104" t="n">
        <v>45</v>
      </c>
      <c r="C50" s="146" t="s">
        <v>108</v>
      </c>
      <c r="D50" s="134" t="s">
        <v>4</v>
      </c>
      <c r="E50" s="107" t="s">
        <v>109</v>
      </c>
      <c r="F50" s="108" t="s">
        <v>31</v>
      </c>
      <c r="G50" s="109" t="s">
        <v>328</v>
      </c>
      <c r="H50" s="110" t="n">
        <v>1</v>
      </c>
      <c r="I50" s="111" t="s">
        <v>329</v>
      </c>
      <c r="J50" s="109" t="s">
        <v>377</v>
      </c>
      <c r="K50" s="132" t="s">
        <v>378</v>
      </c>
      <c r="L50" s="150"/>
      <c r="M50" s="114"/>
      <c r="N50" s="115" t="str">
        <f aca="false">IF(Tabela5[[#This Row],[PLN/ EURO ]] = "PLN",Tabela5[[#This Row],[Cena Jednostkowa ]],IF(Tabela5[[#This Row],[PLN/ EURO ]] = "EUR",$M$1*Tabela5[[#This Row],[Cena Jednostkowa ]],""))</f>
        <v/>
      </c>
      <c r="O50" s="116" t="s">
        <v>271</v>
      </c>
      <c r="P50" s="104"/>
      <c r="Q50" s="119"/>
    </row>
    <row r="51" customFormat="false" ht="15" hidden="false" customHeight="false" outlineLevel="0" collapsed="false">
      <c r="B51" s="104" t="n">
        <v>46</v>
      </c>
      <c r="C51" s="146" t="s">
        <v>108</v>
      </c>
      <c r="D51" s="134" t="s">
        <v>4</v>
      </c>
      <c r="E51" s="107" t="s">
        <v>109</v>
      </c>
      <c r="F51" s="108" t="s">
        <v>31</v>
      </c>
      <c r="G51" s="109" t="s">
        <v>328</v>
      </c>
      <c r="H51" s="110" t="n">
        <v>1</v>
      </c>
      <c r="I51" s="111" t="s">
        <v>329</v>
      </c>
      <c r="J51" s="109" t="s">
        <v>379</v>
      </c>
      <c r="K51" s="132" t="s">
        <v>380</v>
      </c>
      <c r="L51" s="150"/>
      <c r="M51" s="114"/>
      <c r="N51" s="115" t="str">
        <f aca="false">IF(Tabela5[[#This Row],[PLN/ EURO ]] = "PLN",Tabela5[[#This Row],[Cena Jednostkowa ]],IF(Tabela5[[#This Row],[PLN/ EURO ]] = "EUR",$M$1*Tabela5[[#This Row],[Cena Jednostkowa ]],""))</f>
        <v/>
      </c>
      <c r="O51" s="116" t="s">
        <v>271</v>
      </c>
      <c r="P51" s="104"/>
      <c r="Q51" s="119"/>
    </row>
    <row r="52" customFormat="false" ht="15" hidden="false" customHeight="false" outlineLevel="0" collapsed="false">
      <c r="B52" s="104" t="n">
        <v>47</v>
      </c>
      <c r="C52" s="146" t="s">
        <v>108</v>
      </c>
      <c r="D52" s="134" t="s">
        <v>4</v>
      </c>
      <c r="E52" s="107" t="s">
        <v>109</v>
      </c>
      <c r="F52" s="108" t="s">
        <v>31</v>
      </c>
      <c r="G52" s="109" t="s">
        <v>328</v>
      </c>
      <c r="H52" s="110" t="n">
        <v>1</v>
      </c>
      <c r="I52" s="111" t="s">
        <v>329</v>
      </c>
      <c r="J52" s="109" t="s">
        <v>381</v>
      </c>
      <c r="K52" s="132" t="s">
        <v>382</v>
      </c>
      <c r="L52" s="150"/>
      <c r="M52" s="114"/>
      <c r="N52" s="115" t="str">
        <f aca="false">IF(Tabela5[[#This Row],[PLN/ EURO ]] = "PLN",Tabela5[[#This Row],[Cena Jednostkowa ]],IF(Tabela5[[#This Row],[PLN/ EURO ]] = "EUR",$M$1*Tabela5[[#This Row],[Cena Jednostkowa ]],""))</f>
        <v/>
      </c>
      <c r="O52" s="116" t="s">
        <v>271</v>
      </c>
      <c r="P52" s="104"/>
      <c r="Q52" s="119"/>
    </row>
    <row r="53" customFormat="false" ht="15" hidden="false" customHeight="false" outlineLevel="0" collapsed="false">
      <c r="B53" s="104" t="n">
        <v>48</v>
      </c>
      <c r="C53" s="146" t="s">
        <v>108</v>
      </c>
      <c r="D53" s="134" t="s">
        <v>4</v>
      </c>
      <c r="E53" s="107" t="s">
        <v>109</v>
      </c>
      <c r="F53" s="108" t="s">
        <v>31</v>
      </c>
      <c r="G53" s="109" t="s">
        <v>328</v>
      </c>
      <c r="H53" s="110" t="n">
        <v>1</v>
      </c>
      <c r="I53" s="111" t="s">
        <v>329</v>
      </c>
      <c r="J53" s="109" t="s">
        <v>383</v>
      </c>
      <c r="K53" s="132" t="s">
        <v>384</v>
      </c>
      <c r="L53" s="150"/>
      <c r="M53" s="114"/>
      <c r="N53" s="115" t="str">
        <f aca="false">IF(Tabela5[[#This Row],[PLN/ EURO ]] = "PLN",Tabela5[[#This Row],[Cena Jednostkowa ]],IF(Tabela5[[#This Row],[PLN/ EURO ]] = "EUR",$M$1*Tabela5[[#This Row],[Cena Jednostkowa ]],""))</f>
        <v/>
      </c>
      <c r="O53" s="116" t="s">
        <v>271</v>
      </c>
      <c r="P53" s="104"/>
      <c r="Q53" s="119"/>
    </row>
    <row r="54" customFormat="false" ht="15" hidden="false" customHeight="false" outlineLevel="0" collapsed="false">
      <c r="B54" s="104" t="n">
        <v>49</v>
      </c>
      <c r="C54" s="146" t="s">
        <v>108</v>
      </c>
      <c r="D54" s="134" t="s">
        <v>4</v>
      </c>
      <c r="E54" s="107" t="s">
        <v>109</v>
      </c>
      <c r="F54" s="108" t="s">
        <v>31</v>
      </c>
      <c r="G54" s="109" t="s">
        <v>297</v>
      </c>
      <c r="H54" s="110" t="n">
        <v>2</v>
      </c>
      <c r="I54" s="111" t="s">
        <v>385</v>
      </c>
      <c r="J54" s="109" t="s">
        <v>274</v>
      </c>
      <c r="K54" s="132" t="s">
        <v>386</v>
      </c>
      <c r="L54" s="150"/>
      <c r="M54" s="114"/>
      <c r="N54" s="115" t="str">
        <f aca="false">IF(Tabela5[[#This Row],[PLN/ EURO ]] = "PLN",Tabela5[[#This Row],[Cena Jednostkowa ]],IF(Tabela5[[#This Row],[PLN/ EURO ]] = "EUR",$M$1*Tabela5[[#This Row],[Cena Jednostkowa ]],""))</f>
        <v/>
      </c>
      <c r="O54" s="116" t="s">
        <v>271</v>
      </c>
      <c r="P54" s="104"/>
      <c r="Q54" s="119"/>
    </row>
    <row r="55" customFormat="false" ht="15" hidden="false" customHeight="false" outlineLevel="0" collapsed="false">
      <c r="B55" s="104" t="n">
        <v>50</v>
      </c>
      <c r="C55" s="146" t="s">
        <v>108</v>
      </c>
      <c r="D55" s="154" t="s">
        <v>4</v>
      </c>
      <c r="E55" s="107" t="s">
        <v>109</v>
      </c>
      <c r="F55" s="108" t="s">
        <v>31</v>
      </c>
      <c r="G55" s="155" t="s">
        <v>297</v>
      </c>
      <c r="H55" s="110" t="n">
        <v>2</v>
      </c>
      <c r="I55" s="111" t="s">
        <v>385</v>
      </c>
      <c r="J55" s="109" t="s">
        <v>287</v>
      </c>
      <c r="K55" s="132" t="s">
        <v>387</v>
      </c>
      <c r="L55" s="150"/>
      <c r="M55" s="114"/>
      <c r="N55" s="115" t="str">
        <f aca="false">IF(Tabela5[[#This Row],[PLN/ EURO ]] = "PLN",Tabela5[[#This Row],[Cena Jednostkowa ]],IF(Tabela5[[#This Row],[PLN/ EURO ]] = "EUR",$M$1*Tabela5[[#This Row],[Cena Jednostkowa ]],""))</f>
        <v/>
      </c>
      <c r="O55" s="116" t="s">
        <v>271</v>
      </c>
      <c r="P55" s="127"/>
      <c r="Q55" s="145"/>
    </row>
    <row r="56" customFormat="false" ht="15" hidden="false" customHeight="false" outlineLevel="0" collapsed="false">
      <c r="B56" s="104" t="n">
        <v>51</v>
      </c>
      <c r="C56" s="146" t="s">
        <v>7</v>
      </c>
      <c r="D56" s="154" t="s">
        <v>7</v>
      </c>
      <c r="E56" s="107" t="s">
        <v>116</v>
      </c>
      <c r="F56" s="108" t="s">
        <v>31</v>
      </c>
      <c r="G56" s="109" t="s">
        <v>24</v>
      </c>
      <c r="H56" s="108" t="n">
        <v>2</v>
      </c>
      <c r="I56" s="104" t="s">
        <v>24</v>
      </c>
      <c r="J56" s="109" t="s">
        <v>287</v>
      </c>
      <c r="K56" s="132" t="s">
        <v>388</v>
      </c>
      <c r="L56" s="150"/>
      <c r="M56" s="114"/>
      <c r="N56" s="115" t="str">
        <f aca="false">IF(Tabela5[[#This Row],[PLN/ EURO ]] = "PLN",Tabela5[[#This Row],[Cena Jednostkowa ]],IF(Tabela5[[#This Row],[PLN/ EURO ]] = "EUR",$M$1*Tabela5[[#This Row],[Cena Jednostkowa ]],""))</f>
        <v/>
      </c>
      <c r="O56" s="116" t="s">
        <v>271</v>
      </c>
      <c r="P56" s="104"/>
      <c r="Q56" s="119"/>
    </row>
    <row r="57" customFormat="false" ht="15" hidden="false" customHeight="false" outlineLevel="0" collapsed="false">
      <c r="B57" s="104" t="n">
        <v>52</v>
      </c>
      <c r="C57" s="146" t="s">
        <v>7</v>
      </c>
      <c r="D57" s="154" t="s">
        <v>7</v>
      </c>
      <c r="E57" s="107" t="s">
        <v>116</v>
      </c>
      <c r="F57" s="108" t="s">
        <v>31</v>
      </c>
      <c r="G57" s="109" t="s">
        <v>24</v>
      </c>
      <c r="H57" s="108" t="n">
        <v>1</v>
      </c>
      <c r="I57" s="104" t="s">
        <v>24</v>
      </c>
      <c r="J57" s="109" t="s">
        <v>287</v>
      </c>
      <c r="K57" s="132" t="s">
        <v>389</v>
      </c>
      <c r="L57" s="150"/>
      <c r="M57" s="114"/>
      <c r="N57" s="115" t="n">
        <v>6.3</v>
      </c>
      <c r="O57" s="116" t="s">
        <v>271</v>
      </c>
      <c r="P57" s="104"/>
      <c r="Q57" s="119"/>
    </row>
    <row r="58" customFormat="false" ht="15" hidden="false" customHeight="false" outlineLevel="0" collapsed="false">
      <c r="B58" s="104" t="n">
        <v>53</v>
      </c>
      <c r="C58" s="128" t="s">
        <v>390</v>
      </c>
      <c r="D58" s="156" t="s">
        <v>121</v>
      </c>
      <c r="E58" s="148" t="s">
        <v>122</v>
      </c>
      <c r="F58" s="130" t="s">
        <v>31</v>
      </c>
      <c r="G58" s="109" t="s">
        <v>340</v>
      </c>
      <c r="H58" s="108" t="n">
        <v>1</v>
      </c>
      <c r="I58" s="111" t="s">
        <v>391</v>
      </c>
      <c r="J58" s="109" t="s">
        <v>268</v>
      </c>
      <c r="K58" s="132" t="s">
        <v>392</v>
      </c>
      <c r="L58" s="150"/>
      <c r="M58" s="114"/>
      <c r="N58" s="115" t="str">
        <f aca="false">IF(Tabela5[[#This Row],[PLN/ EURO ]] = "PLN",Tabela5[[#This Row],[Cena Jednostkowa ]],IF(Tabela5[[#This Row],[PLN/ EURO ]] = "EUR",$M$1*Tabela5[[#This Row],[Cena Jednostkowa ]],""))</f>
        <v/>
      </c>
      <c r="O58" s="116" t="s">
        <v>271</v>
      </c>
      <c r="P58" s="127"/>
      <c r="Q58" s="145"/>
    </row>
    <row r="59" customFormat="false" ht="15" hidden="false" customHeight="false" outlineLevel="0" collapsed="false">
      <c r="B59" s="104" t="n">
        <v>54</v>
      </c>
      <c r="C59" s="105" t="s">
        <v>390</v>
      </c>
      <c r="D59" s="154" t="s">
        <v>121</v>
      </c>
      <c r="E59" s="107" t="s">
        <v>122</v>
      </c>
      <c r="F59" s="108" t="s">
        <v>31</v>
      </c>
      <c r="G59" s="141" t="s">
        <v>340</v>
      </c>
      <c r="H59" s="108" t="n">
        <v>1</v>
      </c>
      <c r="I59" s="122" t="s">
        <v>393</v>
      </c>
      <c r="J59" s="157" t="s">
        <v>287</v>
      </c>
      <c r="K59" s="143" t="s">
        <v>394</v>
      </c>
      <c r="L59" s="113"/>
      <c r="M59" s="114"/>
      <c r="N59" s="115" t="str">
        <f aca="false">IF(Tabela5[[#This Row],[PLN/ EURO ]] = "PLN",Tabela5[[#This Row],[Cena Jednostkowa ]],IF(Tabela5[[#This Row],[PLN/ EURO ]] = "EUR",$M$1*Tabela5[[#This Row],[Cena Jednostkowa ]],""))</f>
        <v/>
      </c>
      <c r="O59" s="116" t="s">
        <v>271</v>
      </c>
      <c r="P59" s="104"/>
      <c r="Q59" s="104"/>
    </row>
    <row r="60" customFormat="false" ht="15" hidden="false" customHeight="false" outlineLevel="0" collapsed="false">
      <c r="B60" s="104" t="n">
        <v>55</v>
      </c>
      <c r="C60" s="158" t="s">
        <v>126</v>
      </c>
      <c r="D60" s="154" t="s">
        <v>126</v>
      </c>
      <c r="E60" s="107" t="s">
        <v>127</v>
      </c>
      <c r="F60" s="159" t="s">
        <v>31</v>
      </c>
      <c r="G60" s="141" t="s">
        <v>358</v>
      </c>
      <c r="H60" s="121" t="n">
        <v>2</v>
      </c>
      <c r="I60" s="122" t="s">
        <v>395</v>
      </c>
      <c r="J60" s="141" t="s">
        <v>268</v>
      </c>
      <c r="K60" s="143" t="s">
        <v>396</v>
      </c>
      <c r="L60" s="113"/>
      <c r="M60" s="114"/>
      <c r="N60" s="115" t="str">
        <f aca="false">IF(Tabela5[[#This Row],[PLN/ EURO ]] = "PLN",Tabela5[[#This Row],[Cena Jednostkowa ]],IF(Tabela5[[#This Row],[PLN/ EURO ]] = "EUR",$M$1*Tabela5[[#This Row],[Cena Jednostkowa ]],""))</f>
        <v/>
      </c>
      <c r="O60" s="116" t="s">
        <v>271</v>
      </c>
      <c r="P60" s="104"/>
      <c r="Q60" s="104"/>
    </row>
    <row r="61" customFormat="false" ht="15" hidden="false" customHeight="false" outlineLevel="0" collapsed="false">
      <c r="B61" s="104" t="n">
        <v>56</v>
      </c>
      <c r="C61" s="128" t="s">
        <v>128</v>
      </c>
      <c r="D61" s="154" t="s">
        <v>128</v>
      </c>
      <c r="E61" s="107" t="s">
        <v>129</v>
      </c>
      <c r="F61" s="108" t="s">
        <v>31</v>
      </c>
      <c r="G61" s="141" t="s">
        <v>358</v>
      </c>
      <c r="H61" s="121" t="n">
        <v>1</v>
      </c>
      <c r="I61" s="122" t="s">
        <v>395</v>
      </c>
      <c r="J61" s="141" t="s">
        <v>299</v>
      </c>
      <c r="K61" s="143" t="s">
        <v>397</v>
      </c>
      <c r="L61" s="113" t="n">
        <v>2</v>
      </c>
      <c r="M61" s="114" t="s">
        <v>308</v>
      </c>
      <c r="N61" s="115" t="n">
        <f aca="false">IF(Tabela5[[#This Row],[PLN/ EURO ]] = "PLN",Tabela5[[#This Row],[Cena Jednostkowa ]],IF(Tabela5[[#This Row],[PLN/ EURO ]] = "EUR",$M$1*Tabela5[[#This Row],[Cena Jednostkowa ]],""))</f>
        <v>8.7</v>
      </c>
      <c r="O61" s="116" t="s">
        <v>271</v>
      </c>
      <c r="P61" s="104"/>
      <c r="Q61" s="104"/>
    </row>
    <row r="62" customFormat="false" ht="15" hidden="false" customHeight="false" outlineLevel="0" collapsed="false">
      <c r="B62" s="104" t="n">
        <v>57</v>
      </c>
      <c r="C62" s="160" t="s">
        <v>128</v>
      </c>
      <c r="D62" s="154" t="s">
        <v>128</v>
      </c>
      <c r="E62" s="107" t="s">
        <v>129</v>
      </c>
      <c r="F62" s="108" t="s">
        <v>31</v>
      </c>
      <c r="G62" s="108"/>
      <c r="H62" s="108" t="n">
        <v>1</v>
      </c>
      <c r="I62" s="161" t="s">
        <v>398</v>
      </c>
      <c r="J62" s="162" t="s">
        <v>299</v>
      </c>
      <c r="K62" s="143" t="s">
        <v>399</v>
      </c>
      <c r="L62" s="150"/>
      <c r="M62" s="126"/>
      <c r="N62" s="115" t="str">
        <f aca="false">IF(Tabela5[[#This Row],[PLN/ EURO ]] = "PLN",Tabela5[[#This Row],[Cena Jednostkowa ]],IF(Tabela5[[#This Row],[PLN/ EURO ]] = "EUR",$M$1*Tabela5[[#This Row],[Cena Jednostkowa ]],""))</f>
        <v/>
      </c>
      <c r="O62" s="116"/>
      <c r="P62" s="104"/>
      <c r="Q62" s="119"/>
    </row>
    <row r="63" customFormat="false" ht="15" hidden="false" customHeight="false" outlineLevel="0" collapsed="false">
      <c r="B63" s="104" t="n">
        <v>58</v>
      </c>
      <c r="C63" s="128" t="s">
        <v>132</v>
      </c>
      <c r="D63" s="154" t="s">
        <v>133</v>
      </c>
      <c r="E63" s="148" t="s">
        <v>134</v>
      </c>
      <c r="F63" s="130" t="s">
        <v>31</v>
      </c>
      <c r="G63" s="149"/>
      <c r="H63" s="110" t="n">
        <v>1</v>
      </c>
      <c r="I63" s="111" t="s">
        <v>400</v>
      </c>
      <c r="J63" s="109" t="s">
        <v>268</v>
      </c>
      <c r="K63" s="132" t="s">
        <v>401</v>
      </c>
      <c r="L63" s="150"/>
      <c r="M63" s="114"/>
      <c r="N63" s="115" t="str">
        <f aca="false">IF(Tabela5[[#This Row],[PLN/ EURO ]] = "PLN",Tabela5[[#This Row],[Cena Jednostkowa ]],IF(Tabela5[[#This Row],[PLN/ EURO ]] = "EUR",$M$1*Tabela5[[#This Row],[Cena Jednostkowa ]],""))</f>
        <v/>
      </c>
      <c r="O63" s="116" t="s">
        <v>271</v>
      </c>
      <c r="P63" s="127"/>
      <c r="Q63" s="145"/>
    </row>
    <row r="64" customFormat="false" ht="15" hidden="false" customHeight="false" outlineLevel="0" collapsed="false">
      <c r="B64" s="104" t="n">
        <v>59</v>
      </c>
      <c r="C64" s="163" t="s">
        <v>135</v>
      </c>
      <c r="D64" s="156" t="s">
        <v>136</v>
      </c>
      <c r="E64" s="148" t="s">
        <v>137</v>
      </c>
      <c r="F64" s="130" t="s">
        <v>31</v>
      </c>
      <c r="G64" s="149" t="s">
        <v>17</v>
      </c>
      <c r="H64" s="149" t="n">
        <v>1</v>
      </c>
      <c r="I64" s="111" t="s">
        <v>402</v>
      </c>
      <c r="J64" s="109" t="s">
        <v>268</v>
      </c>
      <c r="K64" s="132" t="s">
        <v>403</v>
      </c>
      <c r="L64" s="150"/>
      <c r="M64" s="114"/>
      <c r="N64" s="115" t="str">
        <f aca="false">IF(Tabela5[[#This Row],[PLN/ EURO ]] = "PLN",Tabela5[[#This Row],[Cena Jednostkowa ]],IF(Tabela5[[#This Row],[PLN/ EURO ]] = "EUR",$M$1*Tabela5[[#This Row],[Cena Jednostkowa ]],""))</f>
        <v/>
      </c>
      <c r="O64" s="116" t="s">
        <v>271</v>
      </c>
      <c r="P64" s="127"/>
      <c r="Q64" s="145"/>
    </row>
    <row r="65" customFormat="false" ht="15" hidden="false" customHeight="false" outlineLevel="0" collapsed="false">
      <c r="B65" s="104" t="n">
        <v>60</v>
      </c>
      <c r="C65" s="163" t="s">
        <v>135</v>
      </c>
      <c r="D65" s="156" t="s">
        <v>136</v>
      </c>
      <c r="E65" s="148" t="s">
        <v>137</v>
      </c>
      <c r="F65" s="130" t="s">
        <v>31</v>
      </c>
      <c r="G65" s="149" t="s">
        <v>276</v>
      </c>
      <c r="H65" s="149" t="n">
        <v>1</v>
      </c>
      <c r="I65" s="111" t="s">
        <v>404</v>
      </c>
      <c r="J65" s="109" t="s">
        <v>268</v>
      </c>
      <c r="K65" s="164" t="s">
        <v>405</v>
      </c>
      <c r="L65" s="150"/>
      <c r="M65" s="114"/>
      <c r="N65" s="115" t="str">
        <f aca="false">IF(Tabela5[[#This Row],[PLN/ EURO ]] = "PLN",Tabela5[[#This Row],[Cena Jednostkowa ]],IF(Tabela5[[#This Row],[PLN/ EURO ]] = "EUR",$M$1*Tabela5[[#This Row],[Cena Jednostkowa ]],""))</f>
        <v/>
      </c>
      <c r="O65" s="116" t="s">
        <v>271</v>
      </c>
      <c r="P65" s="127"/>
      <c r="Q65" s="145"/>
    </row>
    <row r="66" customFormat="false" ht="15" hidden="false" customHeight="false" outlineLevel="0" collapsed="false">
      <c r="B66" s="104" t="n">
        <v>61</v>
      </c>
      <c r="C66" s="165" t="s">
        <v>406</v>
      </c>
      <c r="D66" s="166" t="s">
        <v>407</v>
      </c>
      <c r="E66" s="167" t="s">
        <v>140</v>
      </c>
      <c r="F66" s="130" t="s">
        <v>31</v>
      </c>
      <c r="G66" s="109" t="s">
        <v>292</v>
      </c>
      <c r="H66" s="108" t="n">
        <v>2</v>
      </c>
      <c r="I66" s="168" t="s">
        <v>292</v>
      </c>
      <c r="J66" s="162" t="s">
        <v>274</v>
      </c>
      <c r="K66" s="132" t="s">
        <v>408</v>
      </c>
      <c r="L66" s="150"/>
      <c r="M66" s="114"/>
      <c r="N66" s="115"/>
      <c r="O66" s="116" t="s">
        <v>271</v>
      </c>
      <c r="P66" s="104"/>
      <c r="Q66" s="119"/>
    </row>
    <row r="67" customFormat="false" ht="15" hidden="false" customHeight="false" outlineLevel="0" collapsed="false">
      <c r="B67" s="104" t="n">
        <v>62</v>
      </c>
      <c r="C67" s="165" t="s">
        <v>409</v>
      </c>
      <c r="D67" s="166" t="s">
        <v>410</v>
      </c>
      <c r="E67" s="167" t="s">
        <v>146</v>
      </c>
      <c r="F67" s="108" t="s">
        <v>31</v>
      </c>
      <c r="G67" s="109" t="s">
        <v>283</v>
      </c>
      <c r="H67" s="108" t="n">
        <v>2</v>
      </c>
      <c r="I67" s="168" t="s">
        <v>283</v>
      </c>
      <c r="J67" s="162" t="s">
        <v>287</v>
      </c>
      <c r="K67" s="132" t="s">
        <v>411</v>
      </c>
      <c r="L67" s="150"/>
      <c r="M67" s="114"/>
      <c r="N67" s="115"/>
      <c r="O67" s="116" t="s">
        <v>271</v>
      </c>
      <c r="P67" s="104"/>
      <c r="Q67" s="119"/>
    </row>
    <row r="68" customFormat="false" ht="15" hidden="false" customHeight="false" outlineLevel="0" collapsed="false">
      <c r="B68" s="104" t="n">
        <v>63</v>
      </c>
      <c r="C68" s="165" t="s">
        <v>149</v>
      </c>
      <c r="D68" s="169" t="s">
        <v>149</v>
      </c>
      <c r="E68" s="107" t="s">
        <v>150</v>
      </c>
      <c r="F68" s="108" t="s">
        <v>31</v>
      </c>
      <c r="G68" s="109" t="s">
        <v>17</v>
      </c>
      <c r="H68" s="108" t="n">
        <v>1</v>
      </c>
      <c r="I68" s="168" t="s">
        <v>412</v>
      </c>
      <c r="J68" s="162" t="s">
        <v>268</v>
      </c>
      <c r="K68" s="132" t="s">
        <v>413</v>
      </c>
      <c r="L68" s="150"/>
      <c r="M68" s="114"/>
      <c r="N68" s="115" t="str">
        <f aca="false">IF(Tabela5[[#This Row],[PLN/ EURO ]] = "PLN",Tabela5[[#This Row],[Cena Jednostkowa ]],IF(Tabela5[[#This Row],[PLN/ EURO ]] = "EUR",$M$1*Tabela5[[#This Row],[Cena Jednostkowa ]],""))</f>
        <v/>
      </c>
      <c r="O68" s="116" t="s">
        <v>271</v>
      </c>
      <c r="P68" s="104"/>
      <c r="Q68" s="119"/>
    </row>
    <row r="69" customFormat="false" ht="15" hidden="false" customHeight="false" outlineLevel="0" collapsed="false">
      <c r="B69" s="104" t="n">
        <v>64</v>
      </c>
      <c r="C69" s="165" t="s">
        <v>149</v>
      </c>
      <c r="D69" s="169" t="s">
        <v>149</v>
      </c>
      <c r="E69" s="107" t="s">
        <v>150</v>
      </c>
      <c r="F69" s="108" t="s">
        <v>31</v>
      </c>
      <c r="G69" s="109" t="s">
        <v>414</v>
      </c>
      <c r="H69" s="108" t="n">
        <v>2</v>
      </c>
      <c r="I69" s="168" t="s">
        <v>415</v>
      </c>
      <c r="J69" s="162" t="s">
        <v>268</v>
      </c>
      <c r="K69" s="132" t="s">
        <v>416</v>
      </c>
      <c r="L69" s="150"/>
      <c r="M69" s="114"/>
      <c r="N69" s="115" t="str">
        <f aca="false">IF(Tabela5[[#This Row],[PLN/ EURO ]] = "PLN",Tabela5[[#This Row],[Cena Jednostkowa ]],IF(Tabela5[[#This Row],[PLN/ EURO ]] = "EUR",$M$1*Tabela5[[#This Row],[Cena Jednostkowa ]],""))</f>
        <v/>
      </c>
      <c r="O69" s="116" t="s">
        <v>271</v>
      </c>
      <c r="P69" s="104"/>
      <c r="Q69" s="119"/>
    </row>
    <row r="70" customFormat="false" ht="15" hidden="false" customHeight="false" outlineLevel="0" collapsed="false">
      <c r="B70" s="104" t="n">
        <v>65</v>
      </c>
      <c r="C70" s="165" t="s">
        <v>153</v>
      </c>
      <c r="D70" s="166" t="s">
        <v>153</v>
      </c>
      <c r="E70" s="107" t="s">
        <v>154</v>
      </c>
      <c r="F70" s="108" t="s">
        <v>31</v>
      </c>
      <c r="G70" s="108" t="s">
        <v>292</v>
      </c>
      <c r="H70" s="108" t="n">
        <v>2</v>
      </c>
      <c r="I70" s="168" t="s">
        <v>417</v>
      </c>
      <c r="J70" s="162" t="s">
        <v>287</v>
      </c>
      <c r="K70" s="132" t="s">
        <v>418</v>
      </c>
      <c r="L70" s="150"/>
      <c r="M70" s="114"/>
      <c r="N70" s="115" t="str">
        <f aca="false">IF(Tabela5[[#This Row],[PLN/ EURO ]] = "PLN",Tabela5[[#This Row],[Cena Jednostkowa ]],IF(Tabela5[[#This Row],[PLN/ EURO ]] = "EUR",$M$1*Tabela5[[#This Row],[Cena Jednostkowa ]],""))</f>
        <v/>
      </c>
      <c r="O70" s="116" t="s">
        <v>271</v>
      </c>
      <c r="P70" s="104"/>
      <c r="Q70" s="119"/>
    </row>
    <row r="71" customFormat="false" ht="15" hidden="false" customHeight="false" outlineLevel="0" collapsed="false">
      <c r="B71" s="104" t="n">
        <v>66</v>
      </c>
      <c r="C71" s="165" t="s">
        <v>155</v>
      </c>
      <c r="D71" s="166" t="s">
        <v>155</v>
      </c>
      <c r="E71" s="107" t="s">
        <v>156</v>
      </c>
      <c r="F71" s="108" t="s">
        <v>31</v>
      </c>
      <c r="G71" s="108" t="s">
        <v>292</v>
      </c>
      <c r="H71" s="108" t="n">
        <v>2</v>
      </c>
      <c r="I71" s="161" t="s">
        <v>417</v>
      </c>
      <c r="J71" s="162" t="s">
        <v>274</v>
      </c>
      <c r="K71" s="132" t="s">
        <v>419</v>
      </c>
      <c r="L71" s="150"/>
      <c r="M71" s="114"/>
      <c r="N71" s="115" t="str">
        <f aca="false">IF(Tabela5[[#This Row],[PLN/ EURO ]] = "PLN",Tabela5[[#This Row],[Cena Jednostkowa ]],IF(Tabela5[[#This Row],[PLN/ EURO ]] = "EUR",$M$1*Tabela5[[#This Row],[Cena Jednostkowa ]],""))</f>
        <v/>
      </c>
      <c r="O71" s="116" t="s">
        <v>271</v>
      </c>
      <c r="P71" s="104"/>
      <c r="Q71" s="119"/>
    </row>
    <row r="72" customFormat="false" ht="15" hidden="false" customHeight="false" outlineLevel="0" collapsed="false">
      <c r="B72" s="104" t="n">
        <v>67</v>
      </c>
      <c r="C72" s="170" t="s">
        <v>157</v>
      </c>
      <c r="D72" s="136" t="s">
        <v>157</v>
      </c>
      <c r="E72" s="107" t="s">
        <v>158</v>
      </c>
      <c r="F72" s="108" t="s">
        <v>31</v>
      </c>
      <c r="G72" s="108" t="s">
        <v>361</v>
      </c>
      <c r="H72" s="108" t="n">
        <v>2</v>
      </c>
      <c r="I72" s="171" t="s">
        <v>420</v>
      </c>
      <c r="J72" s="162" t="s">
        <v>268</v>
      </c>
      <c r="K72" s="132" t="s">
        <v>421</v>
      </c>
      <c r="L72" s="150"/>
      <c r="M72" s="114"/>
      <c r="N72" s="115" t="str">
        <f aca="false">IF(Tabela5[[#This Row],[PLN/ EURO ]] = "PLN",Tabela5[[#This Row],[Cena Jednostkowa ]],IF(Tabela5[[#This Row],[PLN/ EURO ]] = "EUR",$M$1*Tabela5[[#This Row],[Cena Jednostkowa ]],""))</f>
        <v/>
      </c>
      <c r="O72" s="116" t="s">
        <v>271</v>
      </c>
      <c r="P72" s="104"/>
      <c r="Q72" s="119"/>
    </row>
    <row r="73" customFormat="false" ht="15" hidden="false" customHeight="false" outlineLevel="0" collapsed="false">
      <c r="B73" s="104" t="n">
        <v>68</v>
      </c>
      <c r="C73" s="172" t="s">
        <v>159</v>
      </c>
      <c r="D73" s="122" t="s">
        <v>159</v>
      </c>
      <c r="E73" s="107" t="s">
        <v>160</v>
      </c>
      <c r="F73" s="108" t="s">
        <v>31</v>
      </c>
      <c r="G73" s="108" t="s">
        <v>422</v>
      </c>
      <c r="H73" s="108" t="n">
        <v>1</v>
      </c>
      <c r="I73" s="171" t="s">
        <v>423</v>
      </c>
      <c r="J73" s="162" t="s">
        <v>274</v>
      </c>
      <c r="K73" s="173" t="s">
        <v>424</v>
      </c>
      <c r="L73" s="150" t="n">
        <v>7.9</v>
      </c>
      <c r="M73" s="114" t="s">
        <v>270</v>
      </c>
      <c r="N73" s="115" t="n">
        <f aca="false">IF(Tabela5[[#This Row],[PLN/ EURO ]] = "PLN",Tabela5[[#This Row],[Cena Jednostkowa ]],IF(Tabela5[[#This Row],[PLN/ EURO ]] = "EUR",$M$1*Tabela5[[#This Row],[Cena Jednostkowa ]],""))</f>
        <v>7.9</v>
      </c>
      <c r="O73" s="116" t="s">
        <v>271</v>
      </c>
      <c r="P73" s="104"/>
      <c r="Q73" s="119"/>
    </row>
    <row r="74" customFormat="false" ht="15" hidden="false" customHeight="false" outlineLevel="0" collapsed="false">
      <c r="B74" s="104" t="n">
        <v>69</v>
      </c>
      <c r="C74" s="174" t="s">
        <v>425</v>
      </c>
      <c r="D74" s="154" t="s">
        <v>426</v>
      </c>
      <c r="E74" s="107" t="s">
        <v>231</v>
      </c>
      <c r="F74" s="108" t="s">
        <v>31</v>
      </c>
      <c r="G74" s="108" t="s">
        <v>414</v>
      </c>
      <c r="H74" s="108" t="n">
        <v>2</v>
      </c>
      <c r="I74" s="161" t="s">
        <v>427</v>
      </c>
      <c r="J74" s="162" t="s">
        <v>268</v>
      </c>
      <c r="K74" s="132" t="s">
        <v>428</v>
      </c>
      <c r="L74" s="150"/>
      <c r="M74" s="114"/>
      <c r="N74" s="115" t="str">
        <f aca="false">IF(Tabela5[[#This Row],[PLN/ EURO ]] = "PLN",Tabela5[[#This Row],[Cena Jednostkowa ]],IF(Tabela5[[#This Row],[PLN/ EURO ]] = "EUR",$M$1*Tabela5[[#This Row],[Cena Jednostkowa ]],""))</f>
        <v/>
      </c>
      <c r="O74" s="116" t="s">
        <v>271</v>
      </c>
      <c r="P74" s="104"/>
      <c r="Q74" s="119"/>
    </row>
    <row r="75" customFormat="false" ht="15" hidden="false" customHeight="false" outlineLevel="0" collapsed="false">
      <c r="B75" s="104" t="n">
        <v>70</v>
      </c>
      <c r="C75" s="146" t="s">
        <v>96</v>
      </c>
      <c r="D75" s="175" t="s">
        <v>429</v>
      </c>
      <c r="E75" s="107" t="s">
        <v>97</v>
      </c>
      <c r="F75" s="108" t="s">
        <v>31</v>
      </c>
      <c r="G75" s="108" t="s">
        <v>328</v>
      </c>
      <c r="H75" s="108" t="n">
        <v>2</v>
      </c>
      <c r="I75" s="161" t="s">
        <v>328</v>
      </c>
      <c r="J75" s="162" t="s">
        <v>287</v>
      </c>
      <c r="K75" s="143" t="s">
        <v>430</v>
      </c>
      <c r="L75" s="150" t="n">
        <v>5.2</v>
      </c>
      <c r="M75" s="114" t="s">
        <v>270</v>
      </c>
      <c r="N75" s="115" t="n">
        <f aca="false">IF(Tabela5[[#This Row],[PLN/ EURO ]] = "PLN",Tabela5[[#This Row],[Cena Jednostkowa ]],IF(Tabela5[[#This Row],[PLN/ EURO ]] = "EUR",$M$1*Tabela5[[#This Row],[Cena Jednostkowa ]],""))</f>
        <v>5.2</v>
      </c>
      <c r="O75" s="116" t="s">
        <v>271</v>
      </c>
      <c r="P75" s="104"/>
      <c r="Q75" s="119"/>
    </row>
    <row r="76" customFormat="false" ht="15" hidden="false" customHeight="false" outlineLevel="0" collapsed="false">
      <c r="B76" s="104" t="n">
        <v>71</v>
      </c>
      <c r="C76" s="160" t="s">
        <v>63</v>
      </c>
      <c r="D76" s="154" t="s">
        <v>64</v>
      </c>
      <c r="E76" s="107" t="s">
        <v>65</v>
      </c>
      <c r="F76" s="108" t="s">
        <v>31</v>
      </c>
      <c r="G76" s="108" t="s">
        <v>283</v>
      </c>
      <c r="H76" s="108" t="n">
        <v>1</v>
      </c>
      <c r="I76" s="161" t="s">
        <v>290</v>
      </c>
      <c r="J76" s="162" t="s">
        <v>268</v>
      </c>
      <c r="K76" s="143" t="s">
        <v>431</v>
      </c>
      <c r="L76" s="150" t="n">
        <v>6</v>
      </c>
      <c r="M76" s="114" t="s">
        <v>270</v>
      </c>
      <c r="N76" s="115" t="n">
        <f aca="false">IF(Tabela5[[#This Row],[PLN/ EURO ]] = "PLN",Tabela5[[#This Row],[Cena Jednostkowa ]],IF(Tabela5[[#This Row],[PLN/ EURO ]] = "EUR",$M$1*Tabela5[[#This Row],[Cena Jednostkowa ]],""))</f>
        <v>6</v>
      </c>
      <c r="O76" s="116" t="s">
        <v>271</v>
      </c>
      <c r="P76" s="104"/>
      <c r="Q76" s="119"/>
    </row>
    <row r="77" customFormat="false" ht="15" hidden="false" customHeight="false" outlineLevel="0" collapsed="false">
      <c r="B77" s="104" t="n">
        <v>72</v>
      </c>
      <c r="C77" s="160" t="s">
        <v>63</v>
      </c>
      <c r="D77" s="134" t="s">
        <v>64</v>
      </c>
      <c r="E77" s="107" t="s">
        <v>65</v>
      </c>
      <c r="F77" s="108" t="s">
        <v>31</v>
      </c>
      <c r="G77" s="108" t="s">
        <v>266</v>
      </c>
      <c r="H77" s="108" t="n">
        <v>1</v>
      </c>
      <c r="I77" s="161"/>
      <c r="J77" s="162" t="s">
        <v>268</v>
      </c>
      <c r="K77" s="176" t="s">
        <v>432</v>
      </c>
      <c r="L77" s="150" t="n">
        <v>5.5</v>
      </c>
      <c r="M77" s="114" t="s">
        <v>270</v>
      </c>
      <c r="N77" s="115" t="n">
        <f aca="false">IF(Tabela5[[#This Row],[PLN/ EURO ]] = "PLN",Tabela5[[#This Row],[Cena Jednostkowa ]],IF(Tabela5[[#This Row],[PLN/ EURO ]] = "EUR",$M$1*Tabela5[[#This Row],[Cena Jednostkowa ]],""))</f>
        <v>5.5</v>
      </c>
      <c r="O77" s="116"/>
      <c r="P77" s="104"/>
      <c r="Q77" s="119"/>
    </row>
    <row r="78" customFormat="false" ht="15" hidden="false" customHeight="false" outlineLevel="0" collapsed="false">
      <c r="B78" s="104"/>
      <c r="C78" s="160"/>
      <c r="D78" s="134"/>
      <c r="E78" s="107"/>
      <c r="F78" s="108"/>
      <c r="G78" s="108"/>
      <c r="H78" s="108"/>
      <c r="I78" s="161"/>
      <c r="J78" s="162"/>
      <c r="K78" s="132"/>
      <c r="L78" s="150"/>
      <c r="M78" s="114"/>
      <c r="N78" s="115" t="str">
        <f aca="false">IF(Tabela5[[#This Row],[PLN/ EURO ]] = "PLN",Tabela5[[#This Row],[Cena Jednostkowa ]],IF(Tabela5[[#This Row],[PLN/ EURO ]] = "EUR",$M$1*Tabela5[[#This Row],[Cena Jednostkowa ]],""))</f>
        <v/>
      </c>
      <c r="O78" s="116"/>
      <c r="P78" s="104"/>
      <c r="Q78" s="119"/>
    </row>
    <row r="79" customFormat="false" ht="15" hidden="false" customHeight="false" outlineLevel="0" collapsed="false">
      <c r="B79" s="104"/>
      <c r="C79" s="160"/>
      <c r="D79" s="134"/>
      <c r="E79" s="104"/>
      <c r="F79" s="108"/>
      <c r="G79" s="108"/>
      <c r="H79" s="108"/>
      <c r="I79" s="104"/>
      <c r="J79" s="162"/>
      <c r="K79" s="104"/>
      <c r="L79" s="150"/>
      <c r="M79" s="114"/>
      <c r="N79" s="115" t="str">
        <f aca="false">IF(Tabela5[[#This Row],[PLN/ EURO ]] = "PLN",Tabela5[[#This Row],[Cena Jednostkowa ]],IF(Tabela5[[#This Row],[PLN/ EURO ]] = "EUR",$M$1*Tabela5[[#This Row],[Cena Jednostkowa ]],""))</f>
        <v/>
      </c>
      <c r="O79" s="116"/>
      <c r="P79" s="104"/>
      <c r="Q79" s="119"/>
    </row>
    <row r="80" customFormat="false" ht="15" hidden="false" customHeight="false" outlineLevel="0" collapsed="false">
      <c r="B80" s="104"/>
      <c r="C80" s="160"/>
      <c r="D80" s="134"/>
      <c r="E80" s="104"/>
      <c r="F80" s="108"/>
      <c r="G80" s="108"/>
      <c r="H80" s="108"/>
      <c r="I80" s="104"/>
      <c r="J80" s="162"/>
      <c r="K80" s="104"/>
      <c r="L80" s="150"/>
      <c r="M80" s="114"/>
      <c r="N80" s="115" t="str">
        <f aca="false">IF(Tabela5[[#This Row],[PLN/ EURO ]] = "PLN",Tabela5[[#This Row],[Cena Jednostkowa ]],IF(Tabela5[[#This Row],[PLN/ EURO ]] = "EUR",$M$1*Tabela5[[#This Row],[Cena Jednostkowa ]],""))</f>
        <v/>
      </c>
      <c r="O80" s="116"/>
      <c r="P80" s="104"/>
      <c r="Q80" s="119"/>
    </row>
    <row r="81" customFormat="false" ht="15" hidden="false" customHeight="false" outlineLevel="0" collapsed="false">
      <c r="B81" s="104"/>
      <c r="C81" s="160"/>
      <c r="D81" s="134"/>
      <c r="E81" s="104"/>
      <c r="F81" s="108"/>
      <c r="G81" s="108"/>
      <c r="H81" s="108"/>
      <c r="I81" s="104"/>
      <c r="J81" s="123"/>
      <c r="K81" s="104"/>
      <c r="L81" s="150"/>
      <c r="M81" s="114"/>
      <c r="N81" s="115" t="str">
        <f aca="false">IF(Tabela5[[#This Row],[PLN/ EURO ]] = "PLN",Tabela5[[#This Row],[Cena Jednostkowa ]],IF(Tabela5[[#This Row],[PLN/ EURO ]] = "EUR",$M$1*Tabela5[[#This Row],[Cena Jednostkowa ]],""))</f>
        <v/>
      </c>
      <c r="O81" s="116"/>
      <c r="P81" s="104"/>
      <c r="Q81" s="119"/>
    </row>
    <row r="82" customFormat="false" ht="15" hidden="false" customHeight="false" outlineLevel="0" collapsed="false">
      <c r="B82" s="104"/>
      <c r="C82" s="160"/>
      <c r="D82" s="134"/>
      <c r="E82" s="104"/>
      <c r="F82" s="108"/>
      <c r="G82" s="108"/>
      <c r="H82" s="108"/>
      <c r="I82" s="104"/>
      <c r="J82" s="162"/>
      <c r="K82" s="104"/>
      <c r="L82" s="150"/>
      <c r="M82" s="114"/>
      <c r="N82" s="115" t="str">
        <f aca="false">IF(Tabela5[[#This Row],[PLN/ EURO ]] = "PLN",Tabela5[[#This Row],[Cena Jednostkowa ]],IF(Tabela5[[#This Row],[PLN/ EURO ]] = "EUR",$M$1*Tabela5[[#This Row],[Cena Jednostkowa ]],""))</f>
        <v/>
      </c>
      <c r="O82" s="116"/>
      <c r="P82" s="104"/>
      <c r="Q82" s="119"/>
    </row>
    <row r="83" customFormat="false" ht="15" hidden="false" customHeight="false" outlineLevel="0" collapsed="false">
      <c r="B83" s="104"/>
      <c r="C83" s="160"/>
      <c r="D83" s="134"/>
      <c r="E83" s="104"/>
      <c r="F83" s="108"/>
      <c r="G83" s="108"/>
      <c r="H83" s="108"/>
      <c r="I83" s="104"/>
      <c r="J83" s="162"/>
      <c r="K83" s="104"/>
      <c r="L83" s="150"/>
      <c r="M83" s="114"/>
      <c r="N83" s="115" t="str">
        <f aca="false">IF(Tabela5[[#This Row],[PLN/ EURO ]] = "PLN",Tabela5[[#This Row],[Cena Jednostkowa ]],IF(Tabela5[[#This Row],[PLN/ EURO ]] = "EUR",$M$1*Tabela5[[#This Row],[Cena Jednostkowa ]],""))</f>
        <v/>
      </c>
      <c r="O83" s="116"/>
      <c r="P83" s="104"/>
      <c r="Q83" s="119"/>
    </row>
    <row r="84" customFormat="false" ht="15" hidden="false" customHeight="false" outlineLevel="0" collapsed="false">
      <c r="B84" s="104"/>
      <c r="C84" s="160"/>
      <c r="D84" s="134"/>
      <c r="E84" s="104"/>
      <c r="F84" s="108"/>
      <c r="G84" s="108"/>
      <c r="H84" s="108"/>
      <c r="I84" s="104"/>
      <c r="J84" s="162"/>
      <c r="K84" s="104"/>
      <c r="L84" s="150"/>
      <c r="M84" s="114"/>
      <c r="N84" s="115" t="str">
        <f aca="false">IF(Tabela5[[#This Row],[PLN/ EURO ]] = "PLN",Tabela5[[#This Row],[Cena Jednostkowa ]],IF(Tabela5[[#This Row],[PLN/ EURO ]] = "EUR",$M$1*Tabela5[[#This Row],[Cena Jednostkowa ]],""))</f>
        <v/>
      </c>
      <c r="O84" s="116"/>
      <c r="P84" s="104"/>
      <c r="Q84" s="119"/>
    </row>
    <row r="85" customFormat="false" ht="15" hidden="false" customHeight="false" outlineLevel="0" collapsed="false">
      <c r="B85" s="104"/>
      <c r="C85" s="160"/>
      <c r="D85" s="134"/>
      <c r="E85" s="117"/>
      <c r="F85" s="108"/>
      <c r="G85" s="108"/>
      <c r="H85" s="108"/>
      <c r="I85" s="104"/>
      <c r="J85" s="162"/>
      <c r="K85" s="104"/>
      <c r="L85" s="150"/>
      <c r="M85" s="114"/>
      <c r="N85" s="115" t="str">
        <f aca="false">IF(Tabela5[[#This Row],[PLN/ EURO ]] = "PLN",Tabela5[[#This Row],[Cena Jednostkowa ]],IF(Tabela5[[#This Row],[PLN/ EURO ]] = "EUR",$M$1*Tabela5[[#This Row],[Cena Jednostkowa ]],""))</f>
        <v/>
      </c>
      <c r="O85" s="116"/>
      <c r="P85" s="104"/>
      <c r="Q85" s="119"/>
    </row>
    <row r="86" customFormat="false" ht="15" hidden="false" customHeight="false" outlineLevel="0" collapsed="false">
      <c r="B86" s="104"/>
      <c r="C86" s="160"/>
      <c r="D86" s="134"/>
      <c r="E86" s="117"/>
      <c r="F86" s="108"/>
      <c r="G86" s="108"/>
      <c r="H86" s="108"/>
      <c r="I86" s="104"/>
      <c r="J86" s="162"/>
      <c r="K86" s="104"/>
      <c r="L86" s="150"/>
      <c r="M86" s="114"/>
      <c r="N86" s="115" t="str">
        <f aca="false">IF(Tabela5[[#This Row],[PLN/ EURO ]] = "PLN",Tabela5[[#This Row],[Cena Jednostkowa ]],IF(Tabela5[[#This Row],[PLN/ EURO ]] = "EUR",$M$1*Tabela5[[#This Row],[Cena Jednostkowa ]],""))</f>
        <v/>
      </c>
      <c r="O86" s="116"/>
      <c r="P86" s="104"/>
      <c r="Q86" s="119"/>
    </row>
    <row r="87" customFormat="false" ht="15" hidden="false" customHeight="false" outlineLevel="0" collapsed="false">
      <c r="B87" s="104"/>
      <c r="C87" s="160"/>
      <c r="D87" s="134"/>
      <c r="E87" s="117"/>
      <c r="F87" s="108"/>
      <c r="G87" s="108"/>
      <c r="H87" s="108"/>
      <c r="I87" s="104"/>
      <c r="J87" s="162"/>
      <c r="K87" s="104"/>
      <c r="L87" s="150"/>
      <c r="M87" s="114"/>
      <c r="N87" s="115" t="str">
        <f aca="false">IF(Tabela5[[#This Row],[PLN/ EURO ]] = "PLN",Tabela5[[#This Row],[Cena Jednostkowa ]],IF(Tabela5[[#This Row],[PLN/ EURO ]] = "EUR",$M$1*Tabela5[[#This Row],[Cena Jednostkowa ]],""))</f>
        <v/>
      </c>
      <c r="O87" s="116"/>
      <c r="P87" s="104"/>
      <c r="Q87" s="119"/>
    </row>
    <row r="88" customFormat="false" ht="15" hidden="false" customHeight="false" outlineLevel="0" collapsed="false">
      <c r="B88" s="104"/>
      <c r="C88" s="160"/>
      <c r="D88" s="134"/>
      <c r="E88" s="117"/>
      <c r="F88" s="108"/>
      <c r="G88" s="108"/>
      <c r="H88" s="108"/>
      <c r="I88" s="104"/>
      <c r="J88" s="162"/>
      <c r="K88" s="104"/>
      <c r="L88" s="150"/>
      <c r="M88" s="114"/>
      <c r="N88" s="115" t="str">
        <f aca="false">IF(Tabela5[[#This Row],[PLN/ EURO ]] = "PLN",Tabela5[[#This Row],[Cena Jednostkowa ]],IF(Tabela5[[#This Row],[PLN/ EURO ]] = "EUR",$M$1*Tabela5[[#This Row],[Cena Jednostkowa ]],""))</f>
        <v/>
      </c>
      <c r="O88" s="116"/>
      <c r="P88" s="104"/>
      <c r="Q88" s="119"/>
    </row>
    <row r="89" customFormat="false" ht="15" hidden="false" customHeight="false" outlineLevel="0" collapsed="false">
      <c r="B89" s="104"/>
      <c r="C89" s="160"/>
      <c r="D89" s="134"/>
      <c r="E89" s="117"/>
      <c r="F89" s="108"/>
      <c r="G89" s="108"/>
      <c r="H89" s="108"/>
      <c r="I89" s="104"/>
      <c r="J89" s="162"/>
      <c r="K89" s="104"/>
      <c r="L89" s="150"/>
      <c r="M89" s="114"/>
      <c r="N89" s="115" t="str">
        <f aca="false">IF(Tabela5[[#This Row],[PLN/ EURO ]] = "PLN",Tabela5[[#This Row],[Cena Jednostkowa ]],IF(Tabela5[[#This Row],[PLN/ EURO ]] = "EUR",$M$1*Tabela5[[#This Row],[Cena Jednostkowa ]],""))</f>
        <v/>
      </c>
      <c r="O89" s="116"/>
      <c r="P89" s="104"/>
      <c r="Q89" s="119"/>
    </row>
    <row r="90" customFormat="false" ht="15" hidden="false" customHeight="false" outlineLevel="0" collapsed="false">
      <c r="B90" s="104"/>
      <c r="C90" s="160"/>
      <c r="D90" s="134"/>
      <c r="E90" s="117"/>
      <c r="F90" s="108"/>
      <c r="G90" s="108"/>
      <c r="H90" s="108"/>
      <c r="I90" s="104"/>
      <c r="J90" s="162"/>
      <c r="K90" s="104"/>
      <c r="L90" s="150"/>
      <c r="M90" s="114"/>
      <c r="N90" s="115" t="str">
        <f aca="false">IF(Tabela5[[#This Row],[PLN/ EURO ]] = "PLN",Tabela5[[#This Row],[Cena Jednostkowa ]],IF(Tabela5[[#This Row],[PLN/ EURO ]] = "EUR",$M$1*Tabela5[[#This Row],[Cena Jednostkowa ]],""))</f>
        <v/>
      </c>
      <c r="O90" s="116"/>
      <c r="P90" s="104"/>
      <c r="Q90" s="119"/>
    </row>
    <row r="91" customFormat="false" ht="15" hidden="false" customHeight="false" outlineLevel="0" collapsed="false">
      <c r="B91" s="104"/>
      <c r="C91" s="160"/>
      <c r="D91" s="134"/>
      <c r="E91" s="117"/>
      <c r="F91" s="108"/>
      <c r="G91" s="108"/>
      <c r="H91" s="108"/>
      <c r="I91" s="104"/>
      <c r="J91" s="162"/>
      <c r="K91" s="104"/>
      <c r="L91" s="150"/>
      <c r="M91" s="114"/>
      <c r="N91" s="115" t="str">
        <f aca="false">IF(Tabela5[[#This Row],[PLN/ EURO ]] = "PLN",Tabela5[[#This Row],[Cena Jednostkowa ]],IF(Tabela5[[#This Row],[PLN/ EURO ]] = "EUR",$M$1*Tabela5[[#This Row],[Cena Jednostkowa ]],""))</f>
        <v/>
      </c>
      <c r="O91" s="116"/>
      <c r="P91" s="104"/>
      <c r="Q91" s="119"/>
    </row>
    <row r="92" customFormat="false" ht="15" hidden="false" customHeight="false" outlineLevel="0" collapsed="false">
      <c r="B92" s="104"/>
      <c r="C92" s="160"/>
      <c r="D92" s="134"/>
      <c r="E92" s="117"/>
      <c r="F92" s="108"/>
      <c r="G92" s="108"/>
      <c r="H92" s="108"/>
      <c r="I92" s="104"/>
      <c r="J92" s="162"/>
      <c r="K92" s="104"/>
      <c r="L92" s="150"/>
      <c r="M92" s="114"/>
      <c r="N92" s="115" t="str">
        <f aca="false">IF(Tabela5[[#This Row],[PLN/ EURO ]] = "PLN",Tabela5[[#This Row],[Cena Jednostkowa ]],IF(Tabela5[[#This Row],[PLN/ EURO ]] = "EUR",$M$1*Tabela5[[#This Row],[Cena Jednostkowa ]],""))</f>
        <v/>
      </c>
      <c r="O92" s="116"/>
      <c r="P92" s="104"/>
      <c r="Q92" s="119"/>
    </row>
    <row r="93" customFormat="false" ht="15" hidden="false" customHeight="false" outlineLevel="0" collapsed="false">
      <c r="B93" s="104"/>
      <c r="C93" s="160"/>
      <c r="D93" s="134"/>
      <c r="E93" s="117"/>
      <c r="F93" s="108"/>
      <c r="G93" s="108"/>
      <c r="H93" s="108"/>
      <c r="I93" s="104"/>
      <c r="J93" s="162"/>
      <c r="K93" s="104"/>
      <c r="L93" s="150"/>
      <c r="M93" s="114"/>
      <c r="N93" s="115" t="str">
        <f aca="false">IF(Tabela5[[#This Row],[PLN/ EURO ]] = "PLN",Tabela5[[#This Row],[Cena Jednostkowa ]],IF(Tabela5[[#This Row],[PLN/ EURO ]] = "EUR",$M$1*Tabela5[[#This Row],[Cena Jednostkowa ]],""))</f>
        <v/>
      </c>
      <c r="O93" s="116"/>
      <c r="P93" s="104"/>
      <c r="Q93" s="119"/>
    </row>
    <row r="94" customFormat="false" ht="15" hidden="false" customHeight="false" outlineLevel="0" collapsed="false">
      <c r="B94" s="104"/>
      <c r="C94" s="160"/>
      <c r="D94" s="134"/>
      <c r="E94" s="117"/>
      <c r="F94" s="108"/>
      <c r="G94" s="108"/>
      <c r="H94" s="108"/>
      <c r="I94" s="104"/>
      <c r="J94" s="162"/>
      <c r="K94" s="104"/>
      <c r="L94" s="150"/>
      <c r="M94" s="114"/>
      <c r="N94" s="115" t="str">
        <f aca="false">IF(Tabela5[[#This Row],[PLN/ EURO ]] = "PLN",Tabela5[[#This Row],[Cena Jednostkowa ]],IF(Tabela5[[#This Row],[PLN/ EURO ]] = "EUR",$M$1*Tabela5[[#This Row],[Cena Jednostkowa ]],""))</f>
        <v/>
      </c>
      <c r="O94" s="116"/>
      <c r="P94" s="104"/>
      <c r="Q94" s="119"/>
    </row>
    <row r="95" customFormat="false" ht="15" hidden="false" customHeight="false" outlineLevel="0" collapsed="false">
      <c r="B95" s="104"/>
      <c r="C95" s="160"/>
      <c r="D95" s="134"/>
      <c r="E95" s="117"/>
      <c r="F95" s="108"/>
      <c r="G95" s="108"/>
      <c r="H95" s="108"/>
      <c r="I95" s="104"/>
      <c r="J95" s="162"/>
      <c r="K95" s="104"/>
      <c r="L95" s="150"/>
      <c r="M95" s="114"/>
      <c r="N95" s="115" t="str">
        <f aca="false">IF(Tabela5[[#This Row],[PLN/ EURO ]] = "PLN",Tabela5[[#This Row],[Cena Jednostkowa ]],IF(Tabela5[[#This Row],[PLN/ EURO ]] = "EUR",$M$1*Tabela5[[#This Row],[Cena Jednostkowa ]],""))</f>
        <v/>
      </c>
      <c r="O95" s="116"/>
      <c r="P95" s="104"/>
      <c r="Q95" s="119"/>
    </row>
    <row r="96" customFormat="false" ht="15" hidden="false" customHeight="false" outlineLevel="0" collapsed="false">
      <c r="B96" s="104"/>
      <c r="C96" s="160"/>
      <c r="D96" s="134"/>
      <c r="E96" s="117"/>
      <c r="F96" s="108"/>
      <c r="G96" s="108"/>
      <c r="H96" s="108"/>
      <c r="I96" s="104"/>
      <c r="J96" s="123"/>
      <c r="K96" s="104"/>
      <c r="L96" s="150"/>
      <c r="M96" s="114"/>
      <c r="N96" s="115" t="str">
        <f aca="false">IF(Tabela5[[#This Row],[PLN/ EURO ]] = "PLN",Tabela5[[#This Row],[Cena Jednostkowa ]],IF(Tabela5[[#This Row],[PLN/ EURO ]] = "EUR",$M$1*Tabela5[[#This Row],[Cena Jednostkowa ]],""))</f>
        <v/>
      </c>
      <c r="O96" s="116"/>
      <c r="P96" s="104"/>
      <c r="Q96" s="119"/>
    </row>
  </sheetData>
  <mergeCells count="1">
    <mergeCell ref="A1:C1"/>
  </mergeCells>
  <dataValidations count="2">
    <dataValidation allowBlank="true" errorStyle="stop" operator="between" showDropDown="false" showErrorMessage="true" showInputMessage="true" sqref="F5:F96" type="list">
      <formula1>"TWORZYWO,BARWNIK"</formula1>
      <formula2>0</formula2>
    </dataValidation>
    <dataValidation allowBlank="true" errorStyle="stop" operator="between" showDropDown="false" showErrorMessage="true" showInputMessage="true" sqref="M5:M96" type="list">
      <formula1>"PLN,EUR"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BE5D6"/>
    <pageSetUpPr fitToPage="false"/>
  </sheetPr>
  <dimension ref="B1:AA3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0" topLeftCell="Z1" activePane="topRight" state="frozen"/>
      <selection pane="topLeft" activeCell="A1" activeCellId="0" sqref="A1"/>
      <selection pane="topRight" activeCell="AA21" activeCellId="0" sqref="AA21"/>
    </sheetView>
  </sheetViews>
  <sheetFormatPr defaultColWidth="8.5390625" defaultRowHeight="15" zeroHeight="false" outlineLevelRow="0" outlineLevelCol="0"/>
  <cols>
    <col collapsed="false" customWidth="true" hidden="false" outlineLevel="0" max="3" min="3" style="0" width="31.71"/>
    <col collapsed="false" customWidth="true" hidden="false" outlineLevel="0" max="4" min="4" style="0" width="9.14"/>
    <col collapsed="false" customWidth="true" hidden="false" outlineLevel="0" max="5" min="5" style="0" width="23.72"/>
    <col collapsed="false" customWidth="true" hidden="false" outlineLevel="0" max="6" min="6" style="0" width="14.57"/>
    <col collapsed="false" customWidth="true" hidden="false" outlineLevel="0" max="7" min="7" style="0" width="14.28"/>
    <col collapsed="false" customWidth="true" hidden="false" outlineLevel="0" max="8" min="8" style="0" width="13"/>
    <col collapsed="false" customWidth="true" hidden="false" outlineLevel="0" max="10" min="10" style="0" width="25.85"/>
    <col collapsed="false" customWidth="true" hidden="false" outlineLevel="0" max="11" min="11" style="0" width="21.15"/>
    <col collapsed="false" customWidth="true" hidden="false" outlineLevel="0" max="12" min="12" style="0" width="38.57"/>
    <col collapsed="false" customWidth="true" hidden="false" outlineLevel="0" max="19" min="19" style="0" width="11.43"/>
    <col collapsed="false" customWidth="true" hidden="false" outlineLevel="0" max="20" min="20" style="0" width="12.28"/>
    <col collapsed="false" customWidth="true" hidden="false" outlineLevel="0" max="21" min="21" style="0" width="17.71"/>
    <col collapsed="false" customWidth="true" hidden="false" outlineLevel="0" max="22" min="22" style="0" width="15.43"/>
    <col collapsed="false" customWidth="true" hidden="false" outlineLevel="0" max="23" min="23" style="0" width="16"/>
    <col collapsed="false" customWidth="true" hidden="false" outlineLevel="0" max="25" min="25" style="0" width="13.43"/>
    <col collapsed="false" customWidth="true" hidden="false" outlineLevel="0" max="26" min="26" style="0" width="94.57"/>
    <col collapsed="false" customWidth="true" hidden="false" outlineLevel="0" max="27" min="27" style="0" width="26.85"/>
  </cols>
  <sheetData>
    <row r="1" customFormat="false" ht="49.5" hidden="false" customHeight="true" outlineLevel="0" collapsed="false">
      <c r="B1" s="177" t="e">
        <f aca="false">#VALUE!</f>
        <v>#VALUE!</v>
      </c>
      <c r="C1" s="177"/>
      <c r="D1" s="177"/>
    </row>
    <row r="3" customFormat="false" ht="23.25" hidden="false" customHeight="false" outlineLevel="0" collapsed="false">
      <c r="B3" s="97" t="s">
        <v>433</v>
      </c>
      <c r="C3" s="97"/>
      <c r="D3" s="97"/>
      <c r="E3" s="97"/>
      <c r="F3" s="98"/>
    </row>
    <row r="5" s="178" customFormat="true" ht="43.5" hidden="false" customHeight="true" outlineLevel="0" collapsed="false">
      <c r="B5" s="179" t="s">
        <v>193</v>
      </c>
      <c r="C5" s="179" t="s">
        <v>28</v>
      </c>
      <c r="D5" s="180" t="s">
        <v>434</v>
      </c>
      <c r="E5" s="180" t="s">
        <v>435</v>
      </c>
      <c r="F5" s="180" t="s">
        <v>436</v>
      </c>
      <c r="G5" s="180" t="s">
        <v>437</v>
      </c>
      <c r="H5" s="180" t="s">
        <v>438</v>
      </c>
      <c r="I5" s="179" t="s">
        <v>14</v>
      </c>
      <c r="J5" s="179" t="s">
        <v>15</v>
      </c>
      <c r="K5" s="179" t="s">
        <v>257</v>
      </c>
      <c r="L5" s="179" t="s">
        <v>439</v>
      </c>
      <c r="M5" s="180" t="s">
        <v>440</v>
      </c>
      <c r="N5" s="180" t="s">
        <v>441</v>
      </c>
      <c r="O5" s="179" t="s">
        <v>442</v>
      </c>
      <c r="P5" s="180" t="s">
        <v>443</v>
      </c>
      <c r="Q5" s="180" t="s">
        <v>444</v>
      </c>
      <c r="R5" s="180" t="s">
        <v>445</v>
      </c>
      <c r="S5" s="180" t="s">
        <v>446</v>
      </c>
      <c r="T5" s="180" t="s">
        <v>447</v>
      </c>
      <c r="U5" s="180" t="s">
        <v>448</v>
      </c>
      <c r="V5" s="179" t="s">
        <v>449</v>
      </c>
      <c r="W5" s="179" t="s">
        <v>450</v>
      </c>
      <c r="X5" s="179" t="s">
        <v>451</v>
      </c>
      <c r="Y5" s="179" t="s">
        <v>452</v>
      </c>
      <c r="Z5" s="179" t="s">
        <v>264</v>
      </c>
      <c r="AA5" s="179" t="s">
        <v>453</v>
      </c>
    </row>
    <row r="6" customFormat="false" ht="15" hidden="false" customHeight="false" outlineLevel="0" collapsed="false">
      <c r="B6" s="181" t="n">
        <v>1</v>
      </c>
      <c r="C6" s="181" t="s">
        <v>6</v>
      </c>
      <c r="D6" s="181" t="s">
        <v>50</v>
      </c>
      <c r="E6" s="181" t="s">
        <v>454</v>
      </c>
      <c r="F6" s="182" t="n">
        <v>433627</v>
      </c>
      <c r="G6" s="181" t="s">
        <v>31</v>
      </c>
      <c r="H6" s="183" t="n">
        <v>45979</v>
      </c>
      <c r="I6" s="181" t="s">
        <v>305</v>
      </c>
      <c r="J6" s="181" t="s">
        <v>306</v>
      </c>
      <c r="K6" s="181" t="s">
        <v>268</v>
      </c>
      <c r="L6" s="181" t="s">
        <v>307</v>
      </c>
      <c r="M6" s="181" t="n">
        <v>260</v>
      </c>
      <c r="N6" s="181"/>
      <c r="O6" s="181" t="s">
        <v>271</v>
      </c>
      <c r="P6" s="181" t="n">
        <v>7.95</v>
      </c>
      <c r="Q6" s="181" t="n">
        <v>2067</v>
      </c>
      <c r="R6" s="181" t="n">
        <v>4.1681</v>
      </c>
      <c r="S6" s="184" t="n">
        <v>33.136395</v>
      </c>
      <c r="T6" s="184" t="n">
        <v>8615.46</v>
      </c>
      <c r="U6" s="185" t="n">
        <v>91184162</v>
      </c>
      <c r="V6" s="183" t="n">
        <v>46034</v>
      </c>
      <c r="W6" s="183" t="n">
        <v>46038</v>
      </c>
      <c r="X6" s="181" t="n">
        <v>4</v>
      </c>
      <c r="Y6" s="181" t="s">
        <v>455</v>
      </c>
      <c r="Z6" s="181" t="s">
        <v>456</v>
      </c>
      <c r="AA6" s="186"/>
    </row>
    <row r="7" customFormat="false" ht="15" hidden="false" customHeight="false" outlineLevel="0" collapsed="false">
      <c r="B7" s="181" t="n">
        <v>2</v>
      </c>
      <c r="C7" s="181" t="s">
        <v>8</v>
      </c>
      <c r="D7" s="181" t="s">
        <v>42</v>
      </c>
      <c r="E7" s="181" t="s">
        <v>457</v>
      </c>
      <c r="F7" s="182" t="s">
        <v>458</v>
      </c>
      <c r="G7" s="181" t="s">
        <v>31</v>
      </c>
      <c r="H7" s="183" t="n">
        <v>45980</v>
      </c>
      <c r="I7" s="181" t="s">
        <v>24</v>
      </c>
      <c r="J7" s="181" t="s">
        <v>303</v>
      </c>
      <c r="K7" s="181" t="s">
        <v>299</v>
      </c>
      <c r="L7" s="181" t="s">
        <v>304</v>
      </c>
      <c r="M7" s="181" t="n">
        <v>500</v>
      </c>
      <c r="N7" s="181"/>
      <c r="O7" s="181" t="s">
        <v>271</v>
      </c>
      <c r="P7" s="181"/>
      <c r="Q7" s="181"/>
      <c r="R7" s="181"/>
      <c r="S7" s="184" t="n">
        <v>9.3</v>
      </c>
      <c r="T7" s="184" t="n">
        <v>4650</v>
      </c>
      <c r="U7" s="181"/>
      <c r="V7" s="183" t="n">
        <v>45980</v>
      </c>
      <c r="W7" s="183" t="n">
        <v>45980</v>
      </c>
      <c r="X7" s="181" t="n">
        <v>0</v>
      </c>
      <c r="Y7" s="181" t="s">
        <v>455</v>
      </c>
      <c r="Z7" s="181" t="s">
        <v>459</v>
      </c>
      <c r="AA7" s="186"/>
    </row>
    <row r="8" customFormat="false" ht="15" hidden="false" customHeight="false" outlineLevel="0" collapsed="false">
      <c r="B8" s="181" t="n">
        <v>3</v>
      </c>
      <c r="C8" s="181" t="s">
        <v>55</v>
      </c>
      <c r="D8" s="181" t="s">
        <v>56</v>
      </c>
      <c r="E8" s="181" t="s">
        <v>460</v>
      </c>
      <c r="F8" s="182" t="s">
        <v>461</v>
      </c>
      <c r="G8" s="181" t="s">
        <v>31</v>
      </c>
      <c r="H8" s="183" t="n">
        <v>45986</v>
      </c>
      <c r="I8" s="181" t="s">
        <v>305</v>
      </c>
      <c r="J8" s="181" t="s">
        <v>315</v>
      </c>
      <c r="K8" s="181" t="s">
        <v>268</v>
      </c>
      <c r="L8" s="181" t="s">
        <v>316</v>
      </c>
      <c r="M8" s="181" t="n">
        <v>2000</v>
      </c>
      <c r="N8" s="181"/>
      <c r="O8" s="181" t="s">
        <v>271</v>
      </c>
      <c r="P8" s="181" t="n">
        <v>2.97</v>
      </c>
      <c r="Q8" s="181" t="n">
        <v>5940</v>
      </c>
      <c r="R8" s="181"/>
      <c r="S8" s="184" t="n">
        <v>12.9195</v>
      </c>
      <c r="T8" s="184" t="n">
        <v>25839</v>
      </c>
      <c r="U8" s="181"/>
      <c r="V8" s="183" t="n">
        <v>45999</v>
      </c>
      <c r="W8" s="183" t="n">
        <v>46000</v>
      </c>
      <c r="X8" s="181" t="n">
        <v>1</v>
      </c>
      <c r="Y8" s="181" t="s">
        <v>455</v>
      </c>
      <c r="Z8" s="181"/>
      <c r="AA8" s="186"/>
    </row>
    <row r="9" customFormat="false" ht="15" hidden="false" customHeight="false" outlineLevel="0" collapsed="false">
      <c r="B9" s="181" t="n">
        <v>4</v>
      </c>
      <c r="C9" s="181" t="s">
        <v>63</v>
      </c>
      <c r="D9" s="181" t="s">
        <v>65</v>
      </c>
      <c r="E9" s="181" t="s">
        <v>462</v>
      </c>
      <c r="F9" s="182" t="s">
        <v>458</v>
      </c>
      <c r="G9" s="181" t="s">
        <v>31</v>
      </c>
      <c r="H9" s="183" t="n">
        <v>45988</v>
      </c>
      <c r="I9" s="181" t="s">
        <v>283</v>
      </c>
      <c r="J9" s="181" t="s">
        <v>463</v>
      </c>
      <c r="K9" s="181" t="s">
        <v>268</v>
      </c>
      <c r="L9" s="181" t="s">
        <v>464</v>
      </c>
      <c r="M9" s="181" t="n">
        <v>1375</v>
      </c>
      <c r="N9" s="181"/>
      <c r="O9" s="181" t="s">
        <v>271</v>
      </c>
      <c r="P9" s="181"/>
      <c r="Q9" s="181" t="n">
        <v>0</v>
      </c>
      <c r="R9" s="181"/>
      <c r="S9" s="184" t="n">
        <v>5.5</v>
      </c>
      <c r="T9" s="184" t="n">
        <v>7562.5</v>
      </c>
      <c r="U9" s="181"/>
      <c r="V9" s="183" t="n">
        <v>45993</v>
      </c>
      <c r="W9" s="183" t="n">
        <v>45993</v>
      </c>
      <c r="X9" s="181" t="n">
        <v>0</v>
      </c>
      <c r="Y9" s="181" t="s">
        <v>455</v>
      </c>
      <c r="Z9" s="187" t="s">
        <v>465</v>
      </c>
      <c r="AA9" s="186"/>
    </row>
    <row r="10" customFormat="false" ht="15" hidden="false" customHeight="false" outlineLevel="0" collapsed="false">
      <c r="B10" s="181" t="n">
        <v>5</v>
      </c>
      <c r="C10" s="181" t="s">
        <v>71</v>
      </c>
      <c r="D10" s="181" t="s">
        <v>73</v>
      </c>
      <c r="E10" s="181" t="s">
        <v>466</v>
      </c>
      <c r="F10" s="182" t="n">
        <v>1365118</v>
      </c>
      <c r="G10" s="181" t="s">
        <v>31</v>
      </c>
      <c r="H10" s="183" t="n">
        <v>45988</v>
      </c>
      <c r="I10" s="181" t="s">
        <v>17</v>
      </c>
      <c r="J10" s="181" t="s">
        <v>325</v>
      </c>
      <c r="K10" s="181" t="s">
        <v>268</v>
      </c>
      <c r="L10" s="181" t="s">
        <v>326</v>
      </c>
      <c r="M10" s="181" t="n">
        <v>1000</v>
      </c>
      <c r="N10" s="181"/>
      <c r="O10" s="181" t="s">
        <v>271</v>
      </c>
      <c r="P10" s="181" t="n">
        <v>2.75</v>
      </c>
      <c r="Q10" s="181" t="n">
        <v>2750</v>
      </c>
      <c r="R10" s="181"/>
      <c r="S10" s="184" t="n">
        <v>11.9625</v>
      </c>
      <c r="T10" s="184" t="n">
        <v>11962.5</v>
      </c>
      <c r="U10" s="181"/>
      <c r="V10" s="183" t="n">
        <v>45992</v>
      </c>
      <c r="W10" s="183" t="n">
        <v>45992</v>
      </c>
      <c r="X10" s="181" t="n">
        <v>0</v>
      </c>
      <c r="Y10" s="181" t="s">
        <v>455</v>
      </c>
      <c r="Z10" s="181"/>
      <c r="AA10" s="186"/>
    </row>
    <row r="11" customFormat="false" ht="15" hidden="false" customHeight="false" outlineLevel="0" collapsed="false">
      <c r="B11" s="181" t="n">
        <v>6</v>
      </c>
      <c r="C11" s="181" t="s">
        <v>11</v>
      </c>
      <c r="D11" s="181" t="s">
        <v>92</v>
      </c>
      <c r="E11" s="181" t="s">
        <v>467</v>
      </c>
      <c r="F11" s="182" t="s">
        <v>468</v>
      </c>
      <c r="G11" s="181" t="s">
        <v>31</v>
      </c>
      <c r="H11" s="183" t="n">
        <v>45986</v>
      </c>
      <c r="I11" s="181" t="s">
        <v>343</v>
      </c>
      <c r="J11" s="181" t="s">
        <v>344</v>
      </c>
      <c r="K11" s="181" t="s">
        <v>268</v>
      </c>
      <c r="L11" s="181" t="s">
        <v>345</v>
      </c>
      <c r="M11" s="181" t="n">
        <v>950</v>
      </c>
      <c r="N11" s="181"/>
      <c r="O11" s="181" t="s">
        <v>271</v>
      </c>
      <c r="P11" s="181" t="n">
        <v>1.85</v>
      </c>
      <c r="Q11" s="181" t="n">
        <v>1757.5</v>
      </c>
      <c r="R11" s="181"/>
      <c r="S11" s="184" t="n">
        <v>8.0475</v>
      </c>
      <c r="T11" s="184" t="n">
        <v>7645.125</v>
      </c>
      <c r="U11" s="181"/>
      <c r="V11" s="183" t="n">
        <v>46001</v>
      </c>
      <c r="W11" s="183" t="n">
        <v>46001</v>
      </c>
      <c r="X11" s="181" t="n">
        <v>0</v>
      </c>
      <c r="Y11" s="181" t="s">
        <v>455</v>
      </c>
      <c r="Z11" s="181"/>
      <c r="AA11" s="186"/>
    </row>
    <row r="12" customFormat="false" ht="15" hidden="false" customHeight="false" outlineLevel="0" collapsed="false">
      <c r="B12" s="181" t="n">
        <v>7</v>
      </c>
      <c r="C12" s="181" t="s">
        <v>6</v>
      </c>
      <c r="D12" s="181" t="s">
        <v>50</v>
      </c>
      <c r="E12" s="181" t="s">
        <v>469</v>
      </c>
      <c r="F12" s="182" t="n">
        <v>434854</v>
      </c>
      <c r="G12" s="181" t="s">
        <v>31</v>
      </c>
      <c r="H12" s="183" t="n">
        <v>45995</v>
      </c>
      <c r="I12" s="181" t="s">
        <v>470</v>
      </c>
      <c r="J12" s="181" t="s">
        <v>471</v>
      </c>
      <c r="K12" s="181" t="s">
        <v>268</v>
      </c>
      <c r="L12" s="181" t="s">
        <v>312</v>
      </c>
      <c r="M12" s="181" t="n">
        <v>3200</v>
      </c>
      <c r="N12" s="181"/>
      <c r="O12" s="181" t="s">
        <v>271</v>
      </c>
      <c r="P12" s="181" t="n">
        <v>3.76</v>
      </c>
      <c r="Q12" s="181" t="n">
        <v>12032</v>
      </c>
      <c r="R12" s="181"/>
      <c r="S12" s="184" t="n">
        <v>16.356</v>
      </c>
      <c r="T12" s="184" t="n">
        <v>52339.2</v>
      </c>
      <c r="U12" s="185"/>
      <c r="V12" s="183" t="n">
        <v>46050</v>
      </c>
      <c r="W12" s="183" t="n">
        <v>46050</v>
      </c>
      <c r="X12" s="181" t="n">
        <v>0</v>
      </c>
      <c r="Y12" s="181" t="s">
        <v>455</v>
      </c>
      <c r="Z12" s="181"/>
      <c r="AA12" s="186"/>
    </row>
    <row r="13" customFormat="false" ht="15" hidden="false" customHeight="false" outlineLevel="0" collapsed="false">
      <c r="B13" s="181" t="n">
        <v>8</v>
      </c>
      <c r="C13" s="181" t="s">
        <v>5</v>
      </c>
      <c r="D13" s="181" t="s">
        <v>81</v>
      </c>
      <c r="E13" s="181" t="s">
        <v>472</v>
      </c>
      <c r="F13" s="182" t="s">
        <v>468</v>
      </c>
      <c r="G13" s="181" t="s">
        <v>31</v>
      </c>
      <c r="H13" s="183" t="n">
        <v>45995</v>
      </c>
      <c r="I13" s="181" t="s">
        <v>24</v>
      </c>
      <c r="J13" s="181" t="s">
        <v>385</v>
      </c>
      <c r="K13" s="181" t="s">
        <v>473</v>
      </c>
      <c r="L13" s="181" t="s">
        <v>327</v>
      </c>
      <c r="M13" s="181" t="n">
        <v>3000</v>
      </c>
      <c r="N13" s="181"/>
      <c r="O13" s="181" t="s">
        <v>271</v>
      </c>
      <c r="P13" s="181"/>
      <c r="Q13" s="181" t="n">
        <v>0</v>
      </c>
      <c r="R13" s="181"/>
      <c r="S13" s="184" t="n">
        <v>6</v>
      </c>
      <c r="T13" s="184" t="n">
        <v>18000</v>
      </c>
      <c r="U13" s="181" t="s">
        <v>474</v>
      </c>
      <c r="V13" s="183" t="n">
        <v>46044</v>
      </c>
      <c r="W13" s="183" t="n">
        <v>46044</v>
      </c>
      <c r="X13" s="181" t="n">
        <v>0</v>
      </c>
      <c r="Y13" s="181" t="s">
        <v>455</v>
      </c>
      <c r="Z13" s="181"/>
      <c r="AA13" s="186"/>
    </row>
    <row r="14" customFormat="false" ht="15" hidden="false" customHeight="false" outlineLevel="0" collapsed="false">
      <c r="B14" s="181" t="n">
        <v>9</v>
      </c>
      <c r="C14" s="181" t="s">
        <v>5</v>
      </c>
      <c r="D14" s="181" t="s">
        <v>81</v>
      </c>
      <c r="E14" s="181" t="s">
        <v>472</v>
      </c>
      <c r="F14" s="182" t="s">
        <v>468</v>
      </c>
      <c r="G14" s="181" t="s">
        <v>31</v>
      </c>
      <c r="H14" s="183" t="n">
        <v>45995</v>
      </c>
      <c r="I14" s="181" t="s">
        <v>24</v>
      </c>
      <c r="J14" s="181" t="s">
        <v>385</v>
      </c>
      <c r="K14" s="181" t="s">
        <v>473</v>
      </c>
      <c r="L14" s="181" t="s">
        <v>327</v>
      </c>
      <c r="M14" s="181" t="n">
        <v>1500</v>
      </c>
      <c r="N14" s="181"/>
      <c r="O14" s="181" t="s">
        <v>271</v>
      </c>
      <c r="P14" s="181"/>
      <c r="Q14" s="181" t="n">
        <v>0</v>
      </c>
      <c r="R14" s="181"/>
      <c r="S14" s="184" t="n">
        <v>6</v>
      </c>
      <c r="T14" s="184" t="n">
        <v>9000</v>
      </c>
      <c r="U14" s="181" t="s">
        <v>475</v>
      </c>
      <c r="V14" s="183" t="n">
        <v>46049</v>
      </c>
      <c r="W14" s="183" t="n">
        <v>46049</v>
      </c>
      <c r="X14" s="181" t="n">
        <v>0</v>
      </c>
      <c r="Y14" s="181" t="s">
        <v>455</v>
      </c>
      <c r="Z14" s="181"/>
      <c r="AA14" s="186"/>
    </row>
    <row r="15" customFormat="false" ht="15" hidden="false" customHeight="false" outlineLevel="0" collapsed="false">
      <c r="B15" s="181" t="n">
        <v>10</v>
      </c>
      <c r="C15" s="181" t="s">
        <v>5</v>
      </c>
      <c r="D15" s="181" t="s">
        <v>81</v>
      </c>
      <c r="E15" s="181" t="s">
        <v>472</v>
      </c>
      <c r="F15" s="182" t="s">
        <v>468</v>
      </c>
      <c r="G15" s="181" t="s">
        <v>31</v>
      </c>
      <c r="H15" s="183" t="n">
        <v>45995</v>
      </c>
      <c r="I15" s="181" t="s">
        <v>24</v>
      </c>
      <c r="J15" s="181" t="s">
        <v>385</v>
      </c>
      <c r="K15" s="181" t="s">
        <v>473</v>
      </c>
      <c r="L15" s="181" t="s">
        <v>327</v>
      </c>
      <c r="M15" s="181" t="n">
        <v>1500</v>
      </c>
      <c r="N15" s="181"/>
      <c r="O15" s="181" t="s">
        <v>271</v>
      </c>
      <c r="P15" s="181"/>
      <c r="Q15" s="181" t="n">
        <v>0</v>
      </c>
      <c r="R15" s="181"/>
      <c r="S15" s="184" t="n">
        <v>6</v>
      </c>
      <c r="T15" s="184" t="n">
        <v>9000</v>
      </c>
      <c r="U15" s="181" t="s">
        <v>475</v>
      </c>
      <c r="V15" s="183" t="n">
        <v>46051</v>
      </c>
      <c r="W15" s="183" t="n">
        <v>46051</v>
      </c>
      <c r="X15" s="181" t="n">
        <v>0</v>
      </c>
      <c r="Y15" s="181" t="s">
        <v>455</v>
      </c>
      <c r="Z15" s="181"/>
      <c r="AA15" s="186"/>
    </row>
    <row r="16" customFormat="false" ht="15" hidden="false" customHeight="false" outlineLevel="0" collapsed="false">
      <c r="B16" s="181" t="n">
        <v>11</v>
      </c>
      <c r="C16" s="181" t="s">
        <v>71</v>
      </c>
      <c r="D16" s="181" t="s">
        <v>73</v>
      </c>
      <c r="E16" s="181" t="s">
        <v>476</v>
      </c>
      <c r="F16" s="182" t="n">
        <v>1365613</v>
      </c>
      <c r="G16" s="181" t="s">
        <v>31</v>
      </c>
      <c r="H16" s="183" t="n">
        <v>45999</v>
      </c>
      <c r="I16" s="181" t="s">
        <v>17</v>
      </c>
      <c r="J16" s="181" t="s">
        <v>325</v>
      </c>
      <c r="K16" s="181" t="s">
        <v>268</v>
      </c>
      <c r="L16" s="181" t="s">
        <v>326</v>
      </c>
      <c r="M16" s="181" t="n">
        <v>1000</v>
      </c>
      <c r="N16" s="181"/>
      <c r="O16" s="181" t="s">
        <v>271</v>
      </c>
      <c r="P16" s="181" t="n">
        <v>2.75</v>
      </c>
      <c r="Q16" s="181" t="n">
        <v>2750</v>
      </c>
      <c r="R16" s="181"/>
      <c r="S16" s="184" t="n">
        <v>11.9625</v>
      </c>
      <c r="T16" s="184" t="n">
        <v>11962.5</v>
      </c>
      <c r="U16" s="181"/>
      <c r="V16" s="183" t="n">
        <v>46000</v>
      </c>
      <c r="W16" s="183" t="n">
        <v>46000</v>
      </c>
      <c r="X16" s="181" t="n">
        <v>0</v>
      </c>
      <c r="Y16" s="181" t="s">
        <v>455</v>
      </c>
      <c r="Z16" s="181" t="s">
        <v>477</v>
      </c>
      <c r="AA16" s="186"/>
    </row>
    <row r="17" customFormat="false" ht="15" hidden="false" customHeight="false" outlineLevel="0" collapsed="false">
      <c r="B17" s="181" t="n">
        <v>12</v>
      </c>
      <c r="C17" s="181" t="s">
        <v>11</v>
      </c>
      <c r="D17" s="181" t="s">
        <v>92</v>
      </c>
      <c r="E17" s="181" t="s">
        <v>478</v>
      </c>
      <c r="F17" s="182" t="s">
        <v>468</v>
      </c>
      <c r="G17" s="181" t="s">
        <v>31</v>
      </c>
      <c r="H17" s="183" t="n">
        <v>45986</v>
      </c>
      <c r="I17" s="181" t="s">
        <v>340</v>
      </c>
      <c r="J17" s="181" t="s">
        <v>479</v>
      </c>
      <c r="K17" s="181" t="s">
        <v>268</v>
      </c>
      <c r="L17" s="181" t="s">
        <v>342</v>
      </c>
      <c r="M17" s="181" t="n">
        <v>500</v>
      </c>
      <c r="N17" s="181"/>
      <c r="O17" s="181" t="s">
        <v>271</v>
      </c>
      <c r="P17" s="181" t="n">
        <v>2.7</v>
      </c>
      <c r="Q17" s="181" t="n">
        <v>1350</v>
      </c>
      <c r="R17" s="181"/>
      <c r="S17" s="184" t="n">
        <v>11.745</v>
      </c>
      <c r="T17" s="184" t="n">
        <v>5872.5</v>
      </c>
      <c r="U17" s="181"/>
      <c r="V17" s="183" t="n">
        <v>46001</v>
      </c>
      <c r="W17" s="183" t="n">
        <v>46001</v>
      </c>
      <c r="X17" s="181" t="n">
        <v>0</v>
      </c>
      <c r="Y17" s="181" t="s">
        <v>455</v>
      </c>
      <c r="Z17" s="181"/>
      <c r="AA17" s="186"/>
    </row>
    <row r="18" customFormat="false" ht="15" hidden="false" customHeight="false" outlineLevel="0" collapsed="false">
      <c r="B18" s="181" t="n">
        <v>13</v>
      </c>
      <c r="C18" s="181" t="s">
        <v>86</v>
      </c>
      <c r="D18" s="181" t="s">
        <v>88</v>
      </c>
      <c r="E18" s="181" t="s">
        <v>480</v>
      </c>
      <c r="F18" s="182" t="s">
        <v>468</v>
      </c>
      <c r="G18" s="181" t="s">
        <v>31</v>
      </c>
      <c r="H18" s="183" t="n">
        <v>45978</v>
      </c>
      <c r="I18" s="181" t="s">
        <v>283</v>
      </c>
      <c r="J18" s="181" t="s">
        <v>481</v>
      </c>
      <c r="K18" s="181" t="s">
        <v>274</v>
      </c>
      <c r="L18" s="181" t="s">
        <v>334</v>
      </c>
      <c r="M18" s="181" t="n">
        <v>2127</v>
      </c>
      <c r="N18" s="181"/>
      <c r="O18" s="181" t="s">
        <v>271</v>
      </c>
      <c r="P18" s="181"/>
      <c r="Q18" s="181" t="n">
        <v>0</v>
      </c>
      <c r="R18" s="181"/>
      <c r="S18" s="184" t="n">
        <v>3.5</v>
      </c>
      <c r="T18" s="184" t="n">
        <v>7444.5</v>
      </c>
      <c r="U18" s="181"/>
      <c r="V18" s="183" t="n">
        <v>46001</v>
      </c>
      <c r="W18" s="183" t="n">
        <v>46003</v>
      </c>
      <c r="X18" s="181" t="n">
        <v>2</v>
      </c>
      <c r="Y18" s="181" t="s">
        <v>455</v>
      </c>
      <c r="Z18" s="181" t="s">
        <v>482</v>
      </c>
      <c r="AA18" s="186"/>
    </row>
    <row r="19" customFormat="false" ht="15" hidden="false" customHeight="false" outlineLevel="0" collapsed="false">
      <c r="B19" s="181" t="n">
        <v>14</v>
      </c>
      <c r="C19" s="181" t="s">
        <v>4</v>
      </c>
      <c r="D19" s="181" t="s">
        <v>109</v>
      </c>
      <c r="E19" s="181" t="s">
        <v>483</v>
      </c>
      <c r="F19" s="182" t="s">
        <v>468</v>
      </c>
      <c r="G19" s="181" t="s">
        <v>31</v>
      </c>
      <c r="H19" s="183" t="n">
        <v>46008</v>
      </c>
      <c r="I19" s="181" t="s">
        <v>24</v>
      </c>
      <c r="J19" s="181" t="s">
        <v>385</v>
      </c>
      <c r="K19" s="181" t="s">
        <v>274</v>
      </c>
      <c r="L19" s="181" t="s">
        <v>386</v>
      </c>
      <c r="M19" s="181" t="n">
        <v>1000</v>
      </c>
      <c r="N19" s="181"/>
      <c r="O19" s="181" t="s">
        <v>271</v>
      </c>
      <c r="P19" s="181"/>
      <c r="Q19" s="181" t="n">
        <v>0</v>
      </c>
      <c r="R19" s="181"/>
      <c r="S19" s="184" t="n">
        <v>6.5</v>
      </c>
      <c r="T19" s="184" t="n">
        <v>6500</v>
      </c>
      <c r="U19" s="181" t="s">
        <v>484</v>
      </c>
      <c r="V19" s="183" t="n">
        <v>46029</v>
      </c>
      <c r="W19" s="183" t="n">
        <v>46030</v>
      </c>
      <c r="X19" s="181" t="n">
        <v>1</v>
      </c>
      <c r="Y19" s="181" t="s">
        <v>455</v>
      </c>
      <c r="Z19" s="181"/>
      <c r="AA19" s="181"/>
    </row>
    <row r="20" customFormat="false" ht="15" hidden="false" customHeight="false" outlineLevel="0" collapsed="false">
      <c r="B20" s="181" t="n">
        <v>15</v>
      </c>
      <c r="C20" s="181" t="s">
        <v>11</v>
      </c>
      <c r="D20" s="181" t="s">
        <v>92</v>
      </c>
      <c r="E20" s="181" t="s">
        <v>485</v>
      </c>
      <c r="F20" s="182" t="s">
        <v>468</v>
      </c>
      <c r="G20" s="181" t="s">
        <v>31</v>
      </c>
      <c r="H20" s="183" t="n">
        <v>46008</v>
      </c>
      <c r="I20" s="181" t="s">
        <v>343</v>
      </c>
      <c r="J20" s="181" t="s">
        <v>344</v>
      </c>
      <c r="K20" s="181" t="s">
        <v>268</v>
      </c>
      <c r="L20" s="181" t="s">
        <v>345</v>
      </c>
      <c r="M20" s="181" t="n">
        <v>950</v>
      </c>
      <c r="N20" s="181"/>
      <c r="O20" s="181" t="s">
        <v>271</v>
      </c>
      <c r="P20" s="181" t="n">
        <v>1.85</v>
      </c>
      <c r="Q20" s="181" t="n">
        <v>1757.5</v>
      </c>
      <c r="R20" s="181"/>
      <c r="S20" s="184" t="n">
        <v>8.0475</v>
      </c>
      <c r="T20" s="184" t="n">
        <v>7645.125</v>
      </c>
      <c r="U20" s="181" t="s">
        <v>486</v>
      </c>
      <c r="V20" s="183" t="n">
        <v>46029</v>
      </c>
      <c r="W20" s="183" t="n">
        <v>46029</v>
      </c>
      <c r="X20" s="181" t="n">
        <v>0</v>
      </c>
      <c r="Y20" s="181" t="s">
        <v>455</v>
      </c>
      <c r="Z20" s="181"/>
      <c r="AA20" s="186"/>
    </row>
    <row r="21" customFormat="false" ht="15" hidden="false" customHeight="false" outlineLevel="0" collapsed="false">
      <c r="B21" s="181" t="n">
        <v>16</v>
      </c>
      <c r="C21" s="181" t="s">
        <v>55</v>
      </c>
      <c r="D21" s="181" t="s">
        <v>56</v>
      </c>
      <c r="E21" s="181" t="s">
        <v>487</v>
      </c>
      <c r="F21" s="182" t="s">
        <v>488</v>
      </c>
      <c r="G21" s="181" t="s">
        <v>31</v>
      </c>
      <c r="H21" s="183" t="n">
        <v>46009</v>
      </c>
      <c r="I21" s="181" t="s">
        <v>305</v>
      </c>
      <c r="J21" s="181" t="s">
        <v>315</v>
      </c>
      <c r="K21" s="181" t="s">
        <v>268</v>
      </c>
      <c r="L21" s="181" t="s">
        <v>316</v>
      </c>
      <c r="M21" s="181" t="n">
        <v>3000</v>
      </c>
      <c r="N21" s="181"/>
      <c r="O21" s="181" t="s">
        <v>271</v>
      </c>
      <c r="P21" s="181" t="n">
        <v>2.97</v>
      </c>
      <c r="Q21" s="181" t="n">
        <v>8910</v>
      </c>
      <c r="R21" s="181"/>
      <c r="S21" s="184" t="n">
        <v>12.9195</v>
      </c>
      <c r="T21" s="184" t="n">
        <v>38758.5</v>
      </c>
      <c r="U21" s="181"/>
      <c r="V21" s="183" t="n">
        <v>46029</v>
      </c>
      <c r="W21" s="183" t="n">
        <v>46029</v>
      </c>
      <c r="X21" s="181" t="n">
        <v>0</v>
      </c>
      <c r="Y21" s="181" t="s">
        <v>455</v>
      </c>
      <c r="Z21" s="181" t="s">
        <v>482</v>
      </c>
      <c r="AA21" s="186"/>
    </row>
    <row r="22" customFormat="false" ht="15" hidden="false" customHeight="false" outlineLevel="0" collapsed="false">
      <c r="B22" s="181" t="n">
        <v>17</v>
      </c>
      <c r="C22" s="181" t="s">
        <v>11</v>
      </c>
      <c r="D22" s="181" t="s">
        <v>92</v>
      </c>
      <c r="E22" s="181" t="s">
        <v>489</v>
      </c>
      <c r="F22" s="182" t="s">
        <v>468</v>
      </c>
      <c r="G22" s="181" t="s">
        <v>31</v>
      </c>
      <c r="H22" s="183" t="n">
        <v>46009</v>
      </c>
      <c r="I22" s="181" t="s">
        <v>283</v>
      </c>
      <c r="J22" s="181" t="s">
        <v>490</v>
      </c>
      <c r="K22" s="181" t="s">
        <v>268</v>
      </c>
      <c r="L22" s="181" t="s">
        <v>350</v>
      </c>
      <c r="M22" s="181" t="n">
        <v>1750</v>
      </c>
      <c r="N22" s="181"/>
      <c r="O22" s="181" t="s">
        <v>271</v>
      </c>
      <c r="P22" s="181" t="n">
        <v>1.35</v>
      </c>
      <c r="Q22" s="181" t="n">
        <v>2362.5</v>
      </c>
      <c r="R22" s="181" t="n">
        <v>4.2097</v>
      </c>
      <c r="S22" s="184" t="n">
        <v>5.683095</v>
      </c>
      <c r="T22" s="184" t="n">
        <v>10276.88</v>
      </c>
      <c r="U22" s="181" t="s">
        <v>491</v>
      </c>
      <c r="V22" s="183" t="n">
        <v>46029</v>
      </c>
      <c r="W22" s="183" t="n">
        <v>46029</v>
      </c>
      <c r="X22" s="181" t="n">
        <v>0</v>
      </c>
      <c r="Y22" s="181" t="s">
        <v>455</v>
      </c>
      <c r="Z22" s="181"/>
      <c r="AA22" s="186"/>
    </row>
    <row r="23" customFormat="false" ht="15" hidden="false" customHeight="false" outlineLevel="0" collapsed="false">
      <c r="B23" s="181" t="n">
        <v>18</v>
      </c>
      <c r="C23" s="181" t="s">
        <v>8</v>
      </c>
      <c r="D23" s="181" t="s">
        <v>42</v>
      </c>
      <c r="E23" s="181" t="s">
        <v>492</v>
      </c>
      <c r="F23" s="182" t="s">
        <v>458</v>
      </c>
      <c r="G23" s="181" t="s">
        <v>31</v>
      </c>
      <c r="H23" s="183" t="n">
        <v>46008</v>
      </c>
      <c r="I23" s="181" t="s">
        <v>17</v>
      </c>
      <c r="J23" s="181" t="s">
        <v>20</v>
      </c>
      <c r="K23" s="181" t="s">
        <v>274</v>
      </c>
      <c r="L23" s="181" t="s">
        <v>275</v>
      </c>
      <c r="M23" s="181" t="n">
        <v>500</v>
      </c>
      <c r="N23" s="181"/>
      <c r="O23" s="181" t="s">
        <v>271</v>
      </c>
      <c r="P23" s="181"/>
      <c r="Q23" s="181"/>
      <c r="R23" s="181"/>
      <c r="S23" s="184" t="n">
        <v>10.9</v>
      </c>
      <c r="T23" s="184" t="n">
        <v>5450</v>
      </c>
      <c r="U23" s="181" t="s">
        <v>493</v>
      </c>
      <c r="V23" s="183" t="n">
        <v>46038</v>
      </c>
      <c r="W23" s="183" t="n">
        <v>46038</v>
      </c>
      <c r="X23" s="181" t="n">
        <v>0</v>
      </c>
      <c r="Y23" s="181" t="s">
        <v>455</v>
      </c>
      <c r="Z23" s="181"/>
      <c r="AA23" s="186"/>
    </row>
    <row r="24" customFormat="false" ht="15" hidden="false" customHeight="false" outlineLevel="0" collapsed="false">
      <c r="B24" s="181" t="n">
        <v>19</v>
      </c>
      <c r="C24" s="181" t="s">
        <v>8</v>
      </c>
      <c r="D24" s="181" t="s">
        <v>42</v>
      </c>
      <c r="E24" s="181" t="s">
        <v>494</v>
      </c>
      <c r="F24" s="182" t="s">
        <v>458</v>
      </c>
      <c r="G24" s="181" t="s">
        <v>31</v>
      </c>
      <c r="H24" s="183" t="n">
        <v>46009</v>
      </c>
      <c r="I24" s="181" t="s">
        <v>24</v>
      </c>
      <c r="J24" s="181" t="s">
        <v>25</v>
      </c>
      <c r="K24" s="181" t="s">
        <v>299</v>
      </c>
      <c r="L24" s="181" t="s">
        <v>304</v>
      </c>
      <c r="M24" s="181" t="n">
        <v>500</v>
      </c>
      <c r="N24" s="181"/>
      <c r="O24" s="181" t="s">
        <v>271</v>
      </c>
      <c r="P24" s="181"/>
      <c r="Q24" s="181"/>
      <c r="R24" s="181"/>
      <c r="S24" s="184" t="n">
        <v>9.3</v>
      </c>
      <c r="T24" s="184" t="n">
        <v>4650</v>
      </c>
      <c r="U24" s="181" t="s">
        <v>493</v>
      </c>
      <c r="V24" s="183" t="n">
        <v>46030</v>
      </c>
      <c r="W24" s="183" t="n">
        <v>46030</v>
      </c>
      <c r="X24" s="181" t="n">
        <v>0</v>
      </c>
      <c r="Y24" s="181" t="s">
        <v>455</v>
      </c>
      <c r="Z24" s="181"/>
      <c r="AA24" s="186"/>
    </row>
    <row r="25" customFormat="false" ht="15" hidden="false" customHeight="false" outlineLevel="0" collapsed="false">
      <c r="B25" s="181" t="n">
        <v>20</v>
      </c>
      <c r="C25" s="181" t="s">
        <v>8</v>
      </c>
      <c r="D25" s="181" t="s">
        <v>42</v>
      </c>
      <c r="E25" s="181" t="s">
        <v>494</v>
      </c>
      <c r="F25" s="182" t="s">
        <v>458</v>
      </c>
      <c r="G25" s="181" t="s">
        <v>31</v>
      </c>
      <c r="H25" s="183" t="n">
        <v>46009</v>
      </c>
      <c r="I25" s="181" t="s">
        <v>17</v>
      </c>
      <c r="J25" s="181" t="s">
        <v>19</v>
      </c>
      <c r="K25" s="181" t="s">
        <v>268</v>
      </c>
      <c r="L25" s="181" t="s">
        <v>277</v>
      </c>
      <c r="M25" s="181" t="n">
        <v>150</v>
      </c>
      <c r="N25" s="181"/>
      <c r="O25" s="181" t="s">
        <v>271</v>
      </c>
      <c r="P25" s="181"/>
      <c r="Q25" s="181"/>
      <c r="R25" s="181"/>
      <c r="S25" s="184" t="n">
        <v>13</v>
      </c>
      <c r="T25" s="184" t="n">
        <v>1950</v>
      </c>
      <c r="U25" s="181"/>
      <c r="V25" s="183" t="n">
        <v>46038</v>
      </c>
      <c r="W25" s="183" t="n">
        <v>46041</v>
      </c>
      <c r="X25" s="181" t="n">
        <v>3</v>
      </c>
      <c r="Y25" s="181" t="s">
        <v>455</v>
      </c>
      <c r="Z25" s="181"/>
      <c r="AA25" s="186"/>
    </row>
    <row r="26" customFormat="false" ht="15" hidden="false" customHeight="false" outlineLevel="0" collapsed="false">
      <c r="B26" s="181" t="n">
        <v>21</v>
      </c>
      <c r="C26" s="181" t="s">
        <v>9</v>
      </c>
      <c r="D26" s="181" t="s">
        <v>97</v>
      </c>
      <c r="E26" s="181" t="s">
        <v>495</v>
      </c>
      <c r="F26" s="182" t="s">
        <v>458</v>
      </c>
      <c r="G26" s="181" t="s">
        <v>31</v>
      </c>
      <c r="H26" s="183" t="n">
        <v>46010</v>
      </c>
      <c r="I26" s="181" t="s">
        <v>328</v>
      </c>
      <c r="J26" s="181" t="s">
        <v>496</v>
      </c>
      <c r="K26" s="181" t="s">
        <v>274</v>
      </c>
      <c r="L26" s="181" t="s">
        <v>364</v>
      </c>
      <c r="M26" s="181" t="n">
        <v>3114</v>
      </c>
      <c r="N26" s="181"/>
      <c r="O26" s="181" t="s">
        <v>271</v>
      </c>
      <c r="P26" s="181"/>
      <c r="Q26" s="181"/>
      <c r="R26" s="181"/>
      <c r="S26" s="184" t="n">
        <v>4.2</v>
      </c>
      <c r="T26" s="184" t="n">
        <v>13078.8</v>
      </c>
      <c r="U26" s="181" t="s">
        <v>497</v>
      </c>
      <c r="V26" s="183" t="n">
        <v>46031</v>
      </c>
      <c r="W26" s="183" t="n">
        <v>46034</v>
      </c>
      <c r="X26" s="181" t="n">
        <v>3</v>
      </c>
      <c r="Y26" s="181" t="s">
        <v>455</v>
      </c>
      <c r="Z26" s="181" t="s">
        <v>482</v>
      </c>
      <c r="AA26" s="186"/>
    </row>
    <row r="27" customFormat="false" ht="15" hidden="false" customHeight="false" outlineLevel="0" collapsed="false">
      <c r="B27" s="181" t="n">
        <v>22</v>
      </c>
      <c r="C27" s="181" t="s">
        <v>6</v>
      </c>
      <c r="D27" s="181" t="s">
        <v>50</v>
      </c>
      <c r="E27" s="181" t="s">
        <v>498</v>
      </c>
      <c r="F27" s="182" t="n">
        <v>429068</v>
      </c>
      <c r="G27" s="181" t="s">
        <v>31</v>
      </c>
      <c r="H27" s="183" t="n">
        <v>46034</v>
      </c>
      <c r="I27" s="181" t="s">
        <v>470</v>
      </c>
      <c r="J27" s="181" t="s">
        <v>499</v>
      </c>
      <c r="K27" s="181" t="s">
        <v>268</v>
      </c>
      <c r="L27" s="181" t="s">
        <v>310</v>
      </c>
      <c r="M27" s="181" t="n">
        <v>1420</v>
      </c>
      <c r="N27" s="181"/>
      <c r="O27" s="181" t="s">
        <v>271</v>
      </c>
      <c r="P27" s="181" t="n">
        <v>3.68</v>
      </c>
      <c r="Q27" s="181" t="n">
        <v>5225.6</v>
      </c>
      <c r="R27" s="181" t="n">
        <v>4.2072</v>
      </c>
      <c r="S27" s="184" t="n">
        <v>15.482496</v>
      </c>
      <c r="T27" s="184" t="n">
        <v>21985.14432</v>
      </c>
      <c r="U27" s="185" t="s">
        <v>500</v>
      </c>
      <c r="V27" s="183" t="n">
        <v>46056</v>
      </c>
      <c r="W27" s="183" t="n">
        <v>46055</v>
      </c>
      <c r="X27" s="181" t="n">
        <v>-1</v>
      </c>
      <c r="Y27" s="181" t="s">
        <v>455</v>
      </c>
      <c r="Z27" s="181"/>
      <c r="AA27" s="186"/>
    </row>
    <row r="28" customFormat="false" ht="15" hidden="false" customHeight="false" outlineLevel="0" collapsed="false">
      <c r="B28" s="181" t="n">
        <v>23</v>
      </c>
      <c r="C28" s="181" t="s">
        <v>6</v>
      </c>
      <c r="D28" s="181" t="s">
        <v>50</v>
      </c>
      <c r="E28" s="181" t="s">
        <v>498</v>
      </c>
      <c r="F28" s="182" t="n">
        <v>429068</v>
      </c>
      <c r="G28" s="181" t="s">
        <v>31</v>
      </c>
      <c r="H28" s="183" t="n">
        <v>46034</v>
      </c>
      <c r="I28" s="181" t="s">
        <v>470</v>
      </c>
      <c r="J28" s="181" t="s">
        <v>499</v>
      </c>
      <c r="K28" s="181" t="s">
        <v>268</v>
      </c>
      <c r="L28" s="181" t="s">
        <v>310</v>
      </c>
      <c r="M28" s="181" t="n">
        <v>15840</v>
      </c>
      <c r="N28" s="181"/>
      <c r="O28" s="181" t="s">
        <v>271</v>
      </c>
      <c r="P28" s="181" t="n">
        <v>3.68</v>
      </c>
      <c r="Q28" s="181" t="n">
        <v>58291.2</v>
      </c>
      <c r="R28" s="181" t="n">
        <v>4.2072</v>
      </c>
      <c r="S28" s="184" t="n">
        <v>15.482496</v>
      </c>
      <c r="T28" s="184" t="n">
        <v>245242.73664</v>
      </c>
      <c r="U28" s="185" t="s">
        <v>501</v>
      </c>
      <c r="V28" s="183" t="n">
        <v>46056</v>
      </c>
      <c r="W28" s="183" t="n">
        <v>46056</v>
      </c>
      <c r="X28" s="181" t="n">
        <v>0</v>
      </c>
      <c r="Y28" s="181" t="s">
        <v>455</v>
      </c>
      <c r="Z28" s="181"/>
      <c r="AA28" s="186"/>
    </row>
    <row r="29" customFormat="false" ht="15" hidden="false" customHeight="false" outlineLevel="0" collapsed="false">
      <c r="B29" s="181" t="n">
        <v>24</v>
      </c>
      <c r="C29" s="181" t="s">
        <v>8</v>
      </c>
      <c r="D29" s="181" t="s">
        <v>42</v>
      </c>
      <c r="E29" s="181" t="s">
        <v>502</v>
      </c>
      <c r="F29" s="182" t="s">
        <v>458</v>
      </c>
      <c r="G29" s="181" t="s">
        <v>31</v>
      </c>
      <c r="H29" s="183" t="n">
        <v>46034</v>
      </c>
      <c r="I29" s="181" t="s">
        <v>22</v>
      </c>
      <c r="J29" s="181" t="s">
        <v>503</v>
      </c>
      <c r="K29" s="181" t="s">
        <v>268</v>
      </c>
      <c r="L29" s="181" t="s">
        <v>280</v>
      </c>
      <c r="M29" s="181" t="n">
        <v>250</v>
      </c>
      <c r="N29" s="181"/>
      <c r="O29" s="181" t="s">
        <v>271</v>
      </c>
      <c r="P29" s="181"/>
      <c r="Q29" s="181"/>
      <c r="R29" s="181"/>
      <c r="S29" s="184" t="n">
        <v>13</v>
      </c>
      <c r="T29" s="184" t="n">
        <v>3250</v>
      </c>
      <c r="U29" s="181" t="s">
        <v>504</v>
      </c>
      <c r="V29" s="183" t="n">
        <v>46041</v>
      </c>
      <c r="W29" s="183" t="n">
        <v>46041</v>
      </c>
      <c r="X29" s="181" t="n">
        <v>0</v>
      </c>
      <c r="Y29" s="181" t="s">
        <v>455</v>
      </c>
      <c r="Z29" s="181"/>
      <c r="AA29" s="186"/>
    </row>
    <row r="30" customFormat="false" ht="15" hidden="false" customHeight="false" outlineLevel="0" collapsed="false">
      <c r="B30" s="181" t="n">
        <v>25</v>
      </c>
      <c r="C30" s="181" t="s">
        <v>8</v>
      </c>
      <c r="D30" s="181" t="s">
        <v>42</v>
      </c>
      <c r="E30" s="181" t="s">
        <v>505</v>
      </c>
      <c r="F30" s="182" t="s">
        <v>458</v>
      </c>
      <c r="G30" s="181" t="s">
        <v>31</v>
      </c>
      <c r="H30" s="183" t="n">
        <v>46034</v>
      </c>
      <c r="I30" s="181" t="s">
        <v>21</v>
      </c>
      <c r="J30" s="181" t="s">
        <v>19</v>
      </c>
      <c r="K30" s="181" t="s">
        <v>268</v>
      </c>
      <c r="L30" s="181" t="s">
        <v>277</v>
      </c>
      <c r="M30" s="181" t="n">
        <v>100</v>
      </c>
      <c r="N30" s="181"/>
      <c r="O30" s="181" t="s">
        <v>271</v>
      </c>
      <c r="P30" s="181"/>
      <c r="Q30" s="181"/>
      <c r="R30" s="181"/>
      <c r="S30" s="184" t="n">
        <v>13</v>
      </c>
      <c r="T30" s="184" t="n">
        <v>1300</v>
      </c>
      <c r="U30" s="181" t="s">
        <v>504</v>
      </c>
      <c r="V30" s="183" t="n">
        <v>46041</v>
      </c>
      <c r="W30" s="183" t="n">
        <v>46041</v>
      </c>
      <c r="X30" s="181" t="n">
        <v>0</v>
      </c>
      <c r="Y30" s="181" t="s">
        <v>455</v>
      </c>
      <c r="Z30" s="181" t="s">
        <v>506</v>
      </c>
      <c r="AA30" s="186"/>
    </row>
    <row r="31" customFormat="false" ht="15" hidden="false" customHeight="false" outlineLevel="0" collapsed="false">
      <c r="B31" s="181" t="n">
        <v>26</v>
      </c>
      <c r="C31" s="181" t="s">
        <v>10</v>
      </c>
      <c r="D31" s="181" t="s">
        <v>102</v>
      </c>
      <c r="E31" s="181" t="s">
        <v>507</v>
      </c>
      <c r="F31" s="182" t="s">
        <v>458</v>
      </c>
      <c r="G31" s="181" t="s">
        <v>31</v>
      </c>
      <c r="H31" s="183" t="n">
        <v>46048</v>
      </c>
      <c r="I31" s="181" t="s">
        <v>508</v>
      </c>
      <c r="J31" s="181" t="s">
        <v>509</v>
      </c>
      <c r="K31" s="181" t="s">
        <v>268</v>
      </c>
      <c r="L31" s="181" t="s">
        <v>372</v>
      </c>
      <c r="M31" s="181" t="n">
        <v>1000</v>
      </c>
      <c r="N31" s="181"/>
      <c r="O31" s="181" t="s">
        <v>271</v>
      </c>
      <c r="P31" s="181" t="n">
        <v>1.421</v>
      </c>
      <c r="Q31" s="181" t="n">
        <v>1421</v>
      </c>
      <c r="R31" s="181" t="n">
        <v>4.2072</v>
      </c>
      <c r="S31" s="184" t="n">
        <v>5.9784312</v>
      </c>
      <c r="T31" s="184" t="n">
        <v>5978.4312</v>
      </c>
      <c r="U31" s="181" t="s">
        <v>510</v>
      </c>
      <c r="V31" s="183" t="n">
        <v>46051</v>
      </c>
      <c r="W31" s="183" t="n">
        <v>46051</v>
      </c>
      <c r="X31" s="181" t="n">
        <v>0</v>
      </c>
      <c r="Y31" s="181" t="s">
        <v>455</v>
      </c>
      <c r="Z31" s="181"/>
      <c r="AA31" s="186"/>
    </row>
    <row r="32" customFormat="false" ht="15" hidden="false" customHeight="false" outlineLevel="0" collapsed="false">
      <c r="B32" s="181" t="n">
        <v>27</v>
      </c>
      <c r="C32" s="181" t="s">
        <v>8</v>
      </c>
      <c r="D32" s="181" t="s">
        <v>42</v>
      </c>
      <c r="E32" s="181" t="s">
        <v>511</v>
      </c>
      <c r="F32" s="182" t="s">
        <v>458</v>
      </c>
      <c r="G32" s="181" t="s">
        <v>31</v>
      </c>
      <c r="H32" s="183" t="n">
        <v>46048</v>
      </c>
      <c r="I32" s="181" t="s">
        <v>17</v>
      </c>
      <c r="J32" s="181" t="s">
        <v>18</v>
      </c>
      <c r="K32" s="181" t="s">
        <v>268</v>
      </c>
      <c r="L32" s="181" t="s">
        <v>282</v>
      </c>
      <c r="M32" s="181" t="n">
        <v>250</v>
      </c>
      <c r="N32" s="181"/>
      <c r="O32" s="181" t="s">
        <v>271</v>
      </c>
      <c r="P32" s="181"/>
      <c r="Q32" s="181"/>
      <c r="R32" s="181"/>
      <c r="S32" s="184" t="n">
        <v>11.5</v>
      </c>
      <c r="T32" s="184" t="n">
        <v>2875</v>
      </c>
      <c r="U32" s="181" t="s">
        <v>512</v>
      </c>
      <c r="V32" s="183" t="n">
        <v>46055</v>
      </c>
      <c r="W32" s="183" t="n">
        <v>46055</v>
      </c>
      <c r="X32" s="181" t="n">
        <v>0</v>
      </c>
      <c r="Y32" s="181" t="s">
        <v>455</v>
      </c>
      <c r="Z32" s="181" t="s">
        <v>513</v>
      </c>
      <c r="AA32" s="186"/>
    </row>
    <row r="33" customFormat="false" ht="15" hidden="false" customHeight="false" outlineLevel="0" collapsed="false">
      <c r="B33" s="181" t="n">
        <v>28</v>
      </c>
      <c r="C33" s="181" t="s">
        <v>11</v>
      </c>
      <c r="D33" s="181" t="s">
        <v>92</v>
      </c>
      <c r="E33" s="181" t="s">
        <v>514</v>
      </c>
      <c r="F33" s="182" t="s">
        <v>458</v>
      </c>
      <c r="G33" s="181" t="s">
        <v>31</v>
      </c>
      <c r="H33" s="183" t="n">
        <v>46049</v>
      </c>
      <c r="I33" s="181" t="s">
        <v>343</v>
      </c>
      <c r="J33" s="181" t="s">
        <v>344</v>
      </c>
      <c r="K33" s="181" t="s">
        <v>268</v>
      </c>
      <c r="L33" s="181" t="s">
        <v>345</v>
      </c>
      <c r="M33" s="181" t="n">
        <v>1000</v>
      </c>
      <c r="N33" s="181"/>
      <c r="O33" s="181" t="s">
        <v>271</v>
      </c>
      <c r="P33" s="181" t="n">
        <v>1.85</v>
      </c>
      <c r="Q33" s="181" t="n">
        <v>1850</v>
      </c>
      <c r="R33" s="181"/>
      <c r="S33" s="184" t="n">
        <v>12.9195</v>
      </c>
      <c r="T33" s="184" t="n">
        <v>12919.5</v>
      </c>
      <c r="U33" s="181"/>
      <c r="V33" s="183" t="n">
        <v>46059</v>
      </c>
      <c r="W33" s="183" t="n">
        <v>46059</v>
      </c>
      <c r="X33" s="181" t="n">
        <v>0</v>
      </c>
      <c r="Y33" s="181" t="s">
        <v>455</v>
      </c>
      <c r="Z33" s="181"/>
      <c r="AA33" s="186"/>
    </row>
    <row r="34" customFormat="false" ht="15" hidden="false" customHeight="false" outlineLevel="0" collapsed="false">
      <c r="B34" s="181" t="n">
        <v>29</v>
      </c>
      <c r="C34" s="181" t="s">
        <v>4</v>
      </c>
      <c r="D34" s="181" t="s">
        <v>109</v>
      </c>
      <c r="E34" s="181" t="s">
        <v>515</v>
      </c>
      <c r="F34" s="182" t="s">
        <v>458</v>
      </c>
      <c r="G34" s="181" t="s">
        <v>31</v>
      </c>
      <c r="H34" s="183" t="n">
        <v>46043</v>
      </c>
      <c r="I34" s="181" t="s">
        <v>24</v>
      </c>
      <c r="J34" s="181" t="s">
        <v>385</v>
      </c>
      <c r="K34" s="181" t="s">
        <v>473</v>
      </c>
      <c r="L34" s="181" t="s">
        <v>387</v>
      </c>
      <c r="M34" s="181" t="n">
        <v>2000</v>
      </c>
      <c r="N34" s="181"/>
      <c r="O34" s="181" t="s">
        <v>271</v>
      </c>
      <c r="P34" s="181"/>
      <c r="Q34" s="181" t="n">
        <v>0</v>
      </c>
      <c r="R34" s="181"/>
      <c r="S34" s="184" t="n">
        <v>6</v>
      </c>
      <c r="T34" s="184" t="n">
        <v>12000</v>
      </c>
      <c r="U34" s="181" t="s">
        <v>516</v>
      </c>
      <c r="V34" s="183" t="n">
        <v>46052</v>
      </c>
      <c r="W34" s="183" t="n">
        <v>46052</v>
      </c>
      <c r="X34" s="181" t="n">
        <v>0</v>
      </c>
      <c r="Y34" s="181" t="s">
        <v>455</v>
      </c>
      <c r="Z34" s="181"/>
      <c r="AA34" s="181"/>
    </row>
    <row r="35" customFormat="false" ht="15" hidden="false" customHeight="false" outlineLevel="0" collapsed="false">
      <c r="B35" s="181" t="n">
        <v>30</v>
      </c>
      <c r="C35" s="181" t="s">
        <v>4</v>
      </c>
      <c r="D35" s="181" t="s">
        <v>109</v>
      </c>
      <c r="E35" s="181" t="s">
        <v>515</v>
      </c>
      <c r="F35" s="182" t="s">
        <v>458</v>
      </c>
      <c r="G35" s="181" t="s">
        <v>31</v>
      </c>
      <c r="H35" s="183" t="n">
        <v>46043</v>
      </c>
      <c r="I35" s="181" t="s">
        <v>24</v>
      </c>
      <c r="J35" s="181" t="s">
        <v>385</v>
      </c>
      <c r="K35" s="181" t="s">
        <v>473</v>
      </c>
      <c r="L35" s="181" t="s">
        <v>387</v>
      </c>
      <c r="M35" s="181" t="n">
        <v>6935</v>
      </c>
      <c r="N35" s="181"/>
      <c r="O35" s="181" t="s">
        <v>271</v>
      </c>
      <c r="P35" s="181"/>
      <c r="Q35" s="181" t="n">
        <v>0</v>
      </c>
      <c r="R35" s="181"/>
      <c r="S35" s="184" t="n">
        <v>6</v>
      </c>
      <c r="T35" s="184" t="n">
        <v>41610</v>
      </c>
      <c r="U35" s="181" t="s">
        <v>516</v>
      </c>
      <c r="V35" s="183" t="n">
        <v>46057</v>
      </c>
      <c r="W35" s="183" t="n">
        <v>46057</v>
      </c>
      <c r="X35" s="181" t="n">
        <v>0</v>
      </c>
      <c r="Y35" s="181" t="s">
        <v>455</v>
      </c>
      <c r="Z35" s="181"/>
      <c r="AA35" s="181"/>
    </row>
    <row r="36" customFormat="false" ht="15" hidden="false" customHeight="false" outlineLevel="0" collapsed="false">
      <c r="B36" s="181" t="n">
        <v>31</v>
      </c>
      <c r="C36" s="181" t="s">
        <v>9</v>
      </c>
      <c r="D36" s="181" t="s">
        <v>97</v>
      </c>
      <c r="E36" s="181" t="s">
        <v>517</v>
      </c>
      <c r="F36" s="182" t="s">
        <v>458</v>
      </c>
      <c r="G36" s="181" t="s">
        <v>31</v>
      </c>
      <c r="H36" s="183" t="n">
        <v>46055</v>
      </c>
      <c r="I36" s="181" t="s">
        <v>328</v>
      </c>
      <c r="J36" s="181" t="s">
        <v>496</v>
      </c>
      <c r="K36" s="181" t="s">
        <v>274</v>
      </c>
      <c r="L36" s="181" t="s">
        <v>364</v>
      </c>
      <c r="M36" s="181" t="n">
        <v>3022</v>
      </c>
      <c r="N36" s="181"/>
      <c r="O36" s="181" t="s">
        <v>271</v>
      </c>
      <c r="P36" s="181"/>
      <c r="Q36" s="181"/>
      <c r="R36" s="181"/>
      <c r="S36" s="184" t="n">
        <v>4.2</v>
      </c>
      <c r="T36" s="184" t="n">
        <v>12692.4</v>
      </c>
      <c r="U36" s="181" t="s">
        <v>518</v>
      </c>
      <c r="V36" s="183" t="n">
        <v>46083</v>
      </c>
      <c r="W36" s="183" t="n">
        <v>46083</v>
      </c>
      <c r="X36" s="181" t="n">
        <v>0</v>
      </c>
      <c r="Y36" s="181" t="s">
        <v>455</v>
      </c>
      <c r="Z36" s="181" t="s">
        <v>519</v>
      </c>
      <c r="AA36" s="186"/>
    </row>
    <row r="37" customFormat="false" ht="15" hidden="false" customHeight="false" outlineLevel="0" collapsed="false">
      <c r="B37" s="181" t="n">
        <v>32</v>
      </c>
      <c r="C37" s="181" t="s">
        <v>9</v>
      </c>
      <c r="D37" s="181" t="s">
        <v>97</v>
      </c>
      <c r="E37" s="181" t="s">
        <v>517</v>
      </c>
      <c r="F37" s="182" t="s">
        <v>458</v>
      </c>
      <c r="G37" s="181" t="s">
        <v>31</v>
      </c>
      <c r="H37" s="183" t="n">
        <v>46055</v>
      </c>
      <c r="I37" s="181" t="s">
        <v>328</v>
      </c>
      <c r="J37" s="181" t="s">
        <v>496</v>
      </c>
      <c r="K37" s="181" t="s">
        <v>274</v>
      </c>
      <c r="L37" s="181" t="s">
        <v>364</v>
      </c>
      <c r="M37" s="181" t="n">
        <v>4020</v>
      </c>
      <c r="N37" s="181"/>
      <c r="O37" s="181" t="s">
        <v>271</v>
      </c>
      <c r="P37" s="181"/>
      <c r="Q37" s="181"/>
      <c r="R37" s="181"/>
      <c r="S37" s="184" t="n">
        <v>4.2</v>
      </c>
      <c r="T37" s="184" t="n">
        <v>16884</v>
      </c>
      <c r="U37" s="181" t="s">
        <v>520</v>
      </c>
      <c r="V37" s="183" t="n">
        <v>46095</v>
      </c>
      <c r="W37" s="183" t="n">
        <v>46097</v>
      </c>
      <c r="X37" s="181" t="n">
        <v>2</v>
      </c>
      <c r="Y37" s="181" t="s">
        <v>455</v>
      </c>
      <c r="Z37" s="181"/>
      <c r="AA37" s="186"/>
    </row>
    <row r="38" customFormat="false" ht="15" hidden="false" customHeight="false" outlineLevel="0" collapsed="false">
      <c r="B38" s="181" t="n">
        <v>33</v>
      </c>
      <c r="C38" s="181" t="s">
        <v>5</v>
      </c>
      <c r="D38" s="181" t="s">
        <v>81</v>
      </c>
      <c r="E38" s="181" t="s">
        <v>521</v>
      </c>
      <c r="F38" s="182" t="s">
        <v>468</v>
      </c>
      <c r="G38" s="181" t="s">
        <v>31</v>
      </c>
      <c r="H38" s="183" t="n">
        <v>46055</v>
      </c>
      <c r="I38" s="181" t="s">
        <v>24</v>
      </c>
      <c r="J38" s="181" t="s">
        <v>385</v>
      </c>
      <c r="K38" s="181" t="s">
        <v>473</v>
      </c>
      <c r="L38" s="181" t="s">
        <v>327</v>
      </c>
      <c r="M38" s="181" t="n">
        <v>1200</v>
      </c>
      <c r="N38" s="181"/>
      <c r="O38" s="181" t="s">
        <v>271</v>
      </c>
      <c r="P38" s="181"/>
      <c r="Q38" s="181" t="n">
        <v>0</v>
      </c>
      <c r="R38" s="181"/>
      <c r="S38" s="184" t="n">
        <v>6</v>
      </c>
      <c r="T38" s="184" t="n">
        <v>7200</v>
      </c>
      <c r="U38" s="181" t="s">
        <v>475</v>
      </c>
      <c r="V38" s="183" t="n">
        <v>46044</v>
      </c>
      <c r="W38" s="183" t="n">
        <v>46044</v>
      </c>
      <c r="X38" s="181" t="n">
        <v>0</v>
      </c>
      <c r="Y38" s="181" t="s">
        <v>455</v>
      </c>
      <c r="Z38" s="181"/>
      <c r="AA38" s="186"/>
    </row>
    <row r="39" customFormat="false" ht="15" hidden="false" customHeight="false" outlineLevel="0" collapsed="false">
      <c r="B39" s="181" t="n">
        <v>34</v>
      </c>
      <c r="C39" s="181" t="s">
        <v>522</v>
      </c>
      <c r="D39" s="181" t="s">
        <v>129</v>
      </c>
      <c r="E39" s="181" t="s">
        <v>523</v>
      </c>
      <c r="F39" s="182" t="s">
        <v>524</v>
      </c>
      <c r="G39" s="181" t="s">
        <v>31</v>
      </c>
      <c r="H39" s="183" t="n">
        <v>46055</v>
      </c>
      <c r="I39" s="181" t="s">
        <v>525</v>
      </c>
      <c r="J39" s="181" t="s">
        <v>526</v>
      </c>
      <c r="K39" s="181" t="s">
        <v>299</v>
      </c>
      <c r="L39" s="181" t="s">
        <v>397</v>
      </c>
      <c r="M39" s="181" t="n">
        <v>1000</v>
      </c>
      <c r="N39" s="181"/>
      <c r="O39" s="181" t="s">
        <v>271</v>
      </c>
      <c r="P39" s="181" t="n">
        <v>2</v>
      </c>
      <c r="Q39" s="181" t="n">
        <v>2000</v>
      </c>
      <c r="R39" s="181"/>
      <c r="S39" s="184"/>
      <c r="T39" s="184"/>
      <c r="U39" s="181"/>
      <c r="V39" s="183" t="n">
        <v>46078</v>
      </c>
      <c r="W39" s="183" t="n">
        <v>46078</v>
      </c>
      <c r="X39" s="181" t="n">
        <v>0</v>
      </c>
      <c r="Y39" s="181" t="s">
        <v>455</v>
      </c>
      <c r="Z39" s="181"/>
      <c r="AA39" s="186"/>
    </row>
    <row r="40" customFormat="false" ht="15" hidden="false" customHeight="false" outlineLevel="0" collapsed="false">
      <c r="B40" s="181" t="n">
        <v>35</v>
      </c>
      <c r="C40" s="181" t="s">
        <v>522</v>
      </c>
      <c r="D40" s="181" t="s">
        <v>129</v>
      </c>
      <c r="E40" s="181" t="s">
        <v>523</v>
      </c>
      <c r="F40" s="182" t="s">
        <v>524</v>
      </c>
      <c r="G40" s="181" t="s">
        <v>31</v>
      </c>
      <c r="H40" s="183" t="n">
        <v>46055</v>
      </c>
      <c r="I40" s="181" t="s">
        <v>525</v>
      </c>
      <c r="J40" s="181" t="s">
        <v>527</v>
      </c>
      <c r="K40" s="181" t="s">
        <v>299</v>
      </c>
      <c r="L40" s="181"/>
      <c r="M40" s="181" t="n">
        <v>1000</v>
      </c>
      <c r="N40" s="181"/>
      <c r="O40" s="181" t="s">
        <v>271</v>
      </c>
      <c r="P40" s="181" t="n">
        <v>2</v>
      </c>
      <c r="Q40" s="181" t="n">
        <v>2000</v>
      </c>
      <c r="R40" s="181"/>
      <c r="S40" s="184"/>
      <c r="T40" s="184"/>
      <c r="U40" s="181"/>
      <c r="V40" s="183" t="n">
        <v>46078</v>
      </c>
      <c r="W40" s="183" t="n">
        <v>46078</v>
      </c>
      <c r="X40" s="181" t="n">
        <v>0</v>
      </c>
      <c r="Y40" s="181" t="s">
        <v>455</v>
      </c>
      <c r="Z40" s="181"/>
      <c r="AA40" s="186"/>
    </row>
    <row r="41" customFormat="false" ht="15" hidden="false" customHeight="false" outlineLevel="0" collapsed="false">
      <c r="B41" s="181" t="n">
        <v>36</v>
      </c>
      <c r="C41" s="181" t="s">
        <v>7</v>
      </c>
      <c r="D41" s="181" t="s">
        <v>116</v>
      </c>
      <c r="E41" s="181" t="s">
        <v>528</v>
      </c>
      <c r="F41" s="182" t="s">
        <v>458</v>
      </c>
      <c r="G41" s="181" t="s">
        <v>31</v>
      </c>
      <c r="H41" s="183" t="n">
        <v>46058</v>
      </c>
      <c r="I41" s="181" t="s">
        <v>24</v>
      </c>
      <c r="J41" s="181" t="s">
        <v>529</v>
      </c>
      <c r="K41" s="181" t="s">
        <v>287</v>
      </c>
      <c r="L41" s="181" t="s">
        <v>388</v>
      </c>
      <c r="M41" s="181" t="n">
        <v>4000</v>
      </c>
      <c r="N41" s="181"/>
      <c r="O41" s="181" t="s">
        <v>271</v>
      </c>
      <c r="P41" s="181"/>
      <c r="Q41" s="181" t="n">
        <v>0</v>
      </c>
      <c r="R41" s="181"/>
      <c r="S41" s="184" t="n">
        <v>6.3</v>
      </c>
      <c r="T41" s="184" t="n">
        <v>25200</v>
      </c>
      <c r="U41" s="181" t="s">
        <v>530</v>
      </c>
      <c r="V41" s="183" t="n">
        <v>46062</v>
      </c>
      <c r="W41" s="183" t="n">
        <v>46062</v>
      </c>
      <c r="X41" s="181" t="n">
        <v>0</v>
      </c>
      <c r="Y41" s="181" t="s">
        <v>455</v>
      </c>
      <c r="Z41" s="181" t="s">
        <v>531</v>
      </c>
      <c r="AA41" s="186"/>
    </row>
    <row r="42" customFormat="false" ht="15" hidden="false" customHeight="false" outlineLevel="0" collapsed="false">
      <c r="B42" s="181" t="n">
        <v>37</v>
      </c>
      <c r="C42" s="181" t="s">
        <v>11</v>
      </c>
      <c r="D42" s="181" t="s">
        <v>92</v>
      </c>
      <c r="E42" s="181" t="s">
        <v>532</v>
      </c>
      <c r="F42" s="182" t="s">
        <v>458</v>
      </c>
      <c r="G42" s="181" t="s">
        <v>31</v>
      </c>
      <c r="H42" s="183" t="n">
        <v>46059</v>
      </c>
      <c r="I42" s="181" t="s">
        <v>361</v>
      </c>
      <c r="J42" s="181" t="s">
        <v>533</v>
      </c>
      <c r="K42" s="181" t="s">
        <v>268</v>
      </c>
      <c r="L42" s="181" t="s">
        <v>363</v>
      </c>
      <c r="M42" s="181" t="n">
        <v>250</v>
      </c>
      <c r="N42" s="181"/>
      <c r="O42" s="181" t="s">
        <v>271</v>
      </c>
      <c r="P42" s="181" t="n">
        <v>3.9</v>
      </c>
      <c r="Q42" s="181" t="n">
        <v>975</v>
      </c>
      <c r="R42" s="181"/>
      <c r="S42" s="184" t="n">
        <v>16.965</v>
      </c>
      <c r="T42" s="184" t="n">
        <v>4241.25</v>
      </c>
      <c r="U42" s="181"/>
      <c r="V42" s="183" t="n">
        <v>46062</v>
      </c>
      <c r="W42" s="183" t="n">
        <v>46062</v>
      </c>
      <c r="X42" s="181" t="n">
        <v>0</v>
      </c>
      <c r="Y42" s="181" t="s">
        <v>455</v>
      </c>
      <c r="Z42" s="181"/>
      <c r="AA42" s="186"/>
    </row>
    <row r="43" customFormat="false" ht="15" hidden="false" customHeight="false" outlineLevel="0" collapsed="false">
      <c r="B43" s="181" t="n">
        <v>38</v>
      </c>
      <c r="C43" s="181" t="s">
        <v>5</v>
      </c>
      <c r="D43" s="181" t="s">
        <v>81</v>
      </c>
      <c r="E43" s="181" t="s">
        <v>534</v>
      </c>
      <c r="F43" s="182" t="s">
        <v>458</v>
      </c>
      <c r="G43" s="181" t="s">
        <v>31</v>
      </c>
      <c r="H43" s="183" t="n">
        <v>46065</v>
      </c>
      <c r="I43" s="181" t="s">
        <v>24</v>
      </c>
      <c r="J43" s="181" t="s">
        <v>385</v>
      </c>
      <c r="K43" s="181" t="s">
        <v>473</v>
      </c>
      <c r="L43" s="181" t="s">
        <v>327</v>
      </c>
      <c r="M43" s="181" t="n">
        <v>1500</v>
      </c>
      <c r="N43" s="181"/>
      <c r="O43" s="181" t="s">
        <v>271</v>
      </c>
      <c r="P43" s="181"/>
      <c r="Q43" s="181" t="n">
        <v>0</v>
      </c>
      <c r="R43" s="181"/>
      <c r="S43" s="184" t="n">
        <v>6</v>
      </c>
      <c r="T43" s="184" t="n">
        <v>9000</v>
      </c>
      <c r="U43" s="181" t="s">
        <v>535</v>
      </c>
      <c r="V43" s="183" t="n">
        <v>46066</v>
      </c>
      <c r="W43" s="183" t="n">
        <v>46066</v>
      </c>
      <c r="X43" s="181" t="n">
        <v>0</v>
      </c>
      <c r="Y43" s="181" t="s">
        <v>455</v>
      </c>
      <c r="Z43" s="181"/>
      <c r="AA43" s="186"/>
    </row>
    <row r="44" customFormat="false" ht="15" hidden="false" customHeight="false" outlineLevel="0" collapsed="false">
      <c r="B44" s="181" t="n">
        <v>39</v>
      </c>
      <c r="C44" s="181" t="s">
        <v>5</v>
      </c>
      <c r="D44" s="181" t="s">
        <v>81</v>
      </c>
      <c r="E44" s="181" t="s">
        <v>536</v>
      </c>
      <c r="F44" s="182" t="s">
        <v>458</v>
      </c>
      <c r="G44" s="181" t="s">
        <v>31</v>
      </c>
      <c r="H44" s="183" t="n">
        <v>46065</v>
      </c>
      <c r="I44" s="181" t="s">
        <v>24</v>
      </c>
      <c r="J44" s="181" t="s">
        <v>385</v>
      </c>
      <c r="K44" s="181" t="s">
        <v>473</v>
      </c>
      <c r="L44" s="181" t="s">
        <v>327</v>
      </c>
      <c r="M44" s="181" t="n">
        <v>1500</v>
      </c>
      <c r="N44" s="181"/>
      <c r="O44" s="181" t="s">
        <v>271</v>
      </c>
      <c r="P44" s="181"/>
      <c r="Q44" s="181" t="n">
        <v>0</v>
      </c>
      <c r="R44" s="181"/>
      <c r="S44" s="184" t="n">
        <v>6</v>
      </c>
      <c r="T44" s="184" t="n">
        <v>9000</v>
      </c>
      <c r="U44" s="181" t="s">
        <v>535</v>
      </c>
      <c r="V44" s="183" t="n">
        <v>46071</v>
      </c>
      <c r="W44" s="183" t="n">
        <v>46071</v>
      </c>
      <c r="X44" s="181" t="n">
        <v>0</v>
      </c>
      <c r="Y44" s="181" t="s">
        <v>455</v>
      </c>
      <c r="Z44" s="181"/>
      <c r="AA44" s="186"/>
    </row>
    <row r="45" customFormat="false" ht="15" hidden="false" customHeight="false" outlineLevel="0" collapsed="false">
      <c r="B45" s="181" t="n">
        <v>40</v>
      </c>
      <c r="C45" s="181" t="s">
        <v>71</v>
      </c>
      <c r="D45" s="181" t="s">
        <v>73</v>
      </c>
      <c r="E45" s="181" t="s">
        <v>537</v>
      </c>
      <c r="F45" s="182" t="n">
        <v>1368253</v>
      </c>
      <c r="G45" s="181" t="s">
        <v>31</v>
      </c>
      <c r="H45" s="183" t="n">
        <v>46066</v>
      </c>
      <c r="I45" s="181" t="s">
        <v>17</v>
      </c>
      <c r="J45" s="181" t="s">
        <v>325</v>
      </c>
      <c r="K45" s="181" t="s">
        <v>268</v>
      </c>
      <c r="L45" s="181" t="s">
        <v>326</v>
      </c>
      <c r="M45" s="181" t="n">
        <v>1000</v>
      </c>
      <c r="N45" s="181"/>
      <c r="O45" s="181" t="s">
        <v>271</v>
      </c>
      <c r="P45" s="181" t="n">
        <v>2.75</v>
      </c>
      <c r="Q45" s="181" t="n">
        <v>2750</v>
      </c>
      <c r="R45" s="181" t="n">
        <v>4.214</v>
      </c>
      <c r="S45" s="184" t="n">
        <v>11.5885</v>
      </c>
      <c r="T45" s="184" t="n">
        <v>11588.5</v>
      </c>
      <c r="U45" s="181" t="s">
        <v>538</v>
      </c>
      <c r="V45" s="183" t="n">
        <v>46069</v>
      </c>
      <c r="W45" s="183" t="n">
        <v>46069</v>
      </c>
      <c r="X45" s="181" t="n">
        <v>0</v>
      </c>
      <c r="Y45" s="181" t="s">
        <v>455</v>
      </c>
      <c r="Z45" s="181"/>
      <c r="AA45" s="186"/>
    </row>
    <row r="46" customFormat="false" ht="15" hidden="false" customHeight="false" outlineLevel="0" collapsed="false">
      <c r="B46" s="181" t="n">
        <v>41</v>
      </c>
      <c r="C46" s="181" t="s">
        <v>5</v>
      </c>
      <c r="D46" s="181" t="s">
        <v>81</v>
      </c>
      <c r="E46" s="181" t="s">
        <v>539</v>
      </c>
      <c r="F46" s="182" t="s">
        <v>458</v>
      </c>
      <c r="G46" s="181" t="s">
        <v>31</v>
      </c>
      <c r="H46" s="183" t="n">
        <v>46077</v>
      </c>
      <c r="I46" s="181" t="s">
        <v>24</v>
      </c>
      <c r="J46" s="181" t="s">
        <v>385</v>
      </c>
      <c r="K46" s="181" t="s">
        <v>473</v>
      </c>
      <c r="L46" s="181" t="s">
        <v>327</v>
      </c>
      <c r="M46" s="181" t="n">
        <v>1500</v>
      </c>
      <c r="N46" s="181"/>
      <c r="O46" s="181" t="s">
        <v>271</v>
      </c>
      <c r="P46" s="181"/>
      <c r="Q46" s="181" t="n">
        <v>0</v>
      </c>
      <c r="R46" s="181"/>
      <c r="S46" s="184" t="n">
        <v>6</v>
      </c>
      <c r="T46" s="184" t="n">
        <v>9000</v>
      </c>
      <c r="U46" s="181" t="s">
        <v>540</v>
      </c>
      <c r="V46" s="183" t="n">
        <v>46097</v>
      </c>
      <c r="W46" s="183" t="n">
        <v>46097</v>
      </c>
      <c r="X46" s="181" t="n">
        <v>0</v>
      </c>
      <c r="Y46" s="181" t="s">
        <v>455</v>
      </c>
      <c r="Z46" s="181"/>
      <c r="AA46" s="186"/>
    </row>
    <row r="47" customFormat="false" ht="15" hidden="false" customHeight="false" outlineLevel="0" collapsed="false">
      <c r="B47" s="181" t="n">
        <v>42</v>
      </c>
      <c r="C47" s="181" t="s">
        <v>5</v>
      </c>
      <c r="D47" s="181" t="s">
        <v>81</v>
      </c>
      <c r="E47" s="181" t="s">
        <v>539</v>
      </c>
      <c r="F47" s="182" t="s">
        <v>458</v>
      </c>
      <c r="G47" s="181" t="s">
        <v>31</v>
      </c>
      <c r="H47" s="183" t="n">
        <v>46077</v>
      </c>
      <c r="I47" s="181" t="s">
        <v>24</v>
      </c>
      <c r="J47" s="181" t="s">
        <v>385</v>
      </c>
      <c r="K47" s="181" t="s">
        <v>473</v>
      </c>
      <c r="L47" s="181" t="s">
        <v>327</v>
      </c>
      <c r="M47" s="181" t="n">
        <v>1500</v>
      </c>
      <c r="N47" s="181"/>
      <c r="O47" s="181" t="s">
        <v>271</v>
      </c>
      <c r="P47" s="181"/>
      <c r="Q47" s="181" t="n">
        <v>0</v>
      </c>
      <c r="R47" s="181"/>
      <c r="S47" s="184" t="n">
        <v>6</v>
      </c>
      <c r="T47" s="184" t="n">
        <v>9000</v>
      </c>
      <c r="U47" s="181" t="s">
        <v>541</v>
      </c>
      <c r="V47" s="183" t="n">
        <v>46104</v>
      </c>
      <c r="W47" s="183" t="n">
        <v>46104</v>
      </c>
      <c r="X47" s="181" t="n">
        <v>0</v>
      </c>
      <c r="Y47" s="181" t="s">
        <v>455</v>
      </c>
      <c r="Z47" s="181"/>
      <c r="AA47" s="186"/>
    </row>
    <row r="48" customFormat="false" ht="15" hidden="false" customHeight="false" outlineLevel="0" collapsed="false">
      <c r="B48" s="181" t="n">
        <v>43</v>
      </c>
      <c r="C48" s="181" t="s">
        <v>55</v>
      </c>
      <c r="D48" s="181" t="s">
        <v>56</v>
      </c>
      <c r="E48" s="181" t="s">
        <v>542</v>
      </c>
      <c r="F48" s="182" t="s">
        <v>543</v>
      </c>
      <c r="G48" s="181" t="s">
        <v>31</v>
      </c>
      <c r="H48" s="183" t="n">
        <v>46083</v>
      </c>
      <c r="I48" s="181" t="s">
        <v>305</v>
      </c>
      <c r="J48" s="181" t="s">
        <v>315</v>
      </c>
      <c r="K48" s="181" t="s">
        <v>268</v>
      </c>
      <c r="L48" s="181" t="s">
        <v>316</v>
      </c>
      <c r="M48" s="181" t="n">
        <v>3000</v>
      </c>
      <c r="N48" s="181"/>
      <c r="O48" s="181" t="s">
        <v>271</v>
      </c>
      <c r="P48" s="181" t="n">
        <v>2.97</v>
      </c>
      <c r="Q48" s="181" t="n">
        <v>8910</v>
      </c>
      <c r="R48" s="181" t="n">
        <v>4.274</v>
      </c>
      <c r="S48" s="184" t="n">
        <v>12.69378</v>
      </c>
      <c r="T48" s="184" t="n">
        <v>38081.34</v>
      </c>
      <c r="U48" s="181" t="s">
        <v>544</v>
      </c>
      <c r="V48" s="183" t="n">
        <v>46094</v>
      </c>
      <c r="W48" s="183" t="n">
        <v>46094</v>
      </c>
      <c r="X48" s="181" t="n">
        <v>0</v>
      </c>
      <c r="Y48" s="181" t="s">
        <v>455</v>
      </c>
      <c r="Z48" s="181"/>
      <c r="AA48" s="186"/>
    </row>
    <row r="49" customFormat="false" ht="15" hidden="false" customHeight="false" outlineLevel="0" collapsed="false">
      <c r="B49" s="181" t="n">
        <v>44</v>
      </c>
      <c r="C49" s="181" t="s">
        <v>55</v>
      </c>
      <c r="D49" s="181" t="s">
        <v>56</v>
      </c>
      <c r="E49" s="181" t="s">
        <v>542</v>
      </c>
      <c r="F49" s="182" t="s">
        <v>543</v>
      </c>
      <c r="G49" s="181" t="s">
        <v>31</v>
      </c>
      <c r="H49" s="183" t="n">
        <v>46083</v>
      </c>
      <c r="I49" s="181" t="s">
        <v>305</v>
      </c>
      <c r="J49" s="181" t="s">
        <v>315</v>
      </c>
      <c r="K49" s="181" t="s">
        <v>268</v>
      </c>
      <c r="L49" s="181" t="s">
        <v>316</v>
      </c>
      <c r="M49" s="181" t="n">
        <v>3000</v>
      </c>
      <c r="N49" s="181"/>
      <c r="O49" s="181" t="s">
        <v>271</v>
      </c>
      <c r="P49" s="181" t="n">
        <v>2.97</v>
      </c>
      <c r="Q49" s="181" t="n">
        <v>8910</v>
      </c>
      <c r="R49" s="181" t="n">
        <v>4.274</v>
      </c>
      <c r="S49" s="184" t="n">
        <v>12.69378</v>
      </c>
      <c r="T49" s="184" t="n">
        <v>38081.34</v>
      </c>
      <c r="U49" s="181" t="s">
        <v>544</v>
      </c>
      <c r="V49" s="183" t="n">
        <v>46101</v>
      </c>
      <c r="W49" s="183" t="n">
        <v>46101</v>
      </c>
      <c r="X49" s="181" t="n">
        <v>0</v>
      </c>
      <c r="Y49" s="181" t="s">
        <v>455</v>
      </c>
      <c r="Z49" s="181"/>
      <c r="AA49" s="186"/>
    </row>
    <row r="50" customFormat="false" ht="15" hidden="false" customHeight="false" outlineLevel="0" collapsed="false">
      <c r="B50" s="181" t="n">
        <v>45</v>
      </c>
      <c r="C50" s="181" t="s">
        <v>8</v>
      </c>
      <c r="D50" s="181" t="s">
        <v>42</v>
      </c>
      <c r="E50" s="181" t="s">
        <v>545</v>
      </c>
      <c r="F50" s="182" t="s">
        <v>458</v>
      </c>
      <c r="G50" s="181" t="s">
        <v>31</v>
      </c>
      <c r="H50" s="183" t="n">
        <v>46083</v>
      </c>
      <c r="I50" s="181" t="s">
        <v>17</v>
      </c>
      <c r="J50" s="181" t="s">
        <v>18</v>
      </c>
      <c r="K50" s="181" t="s">
        <v>268</v>
      </c>
      <c r="L50" s="181" t="s">
        <v>282</v>
      </c>
      <c r="M50" s="181" t="n">
        <v>300</v>
      </c>
      <c r="N50" s="181"/>
      <c r="O50" s="181" t="s">
        <v>271</v>
      </c>
      <c r="P50" s="181"/>
      <c r="Q50" s="181"/>
      <c r="R50" s="181"/>
      <c r="S50" s="184" t="n">
        <v>11.5</v>
      </c>
      <c r="T50" s="184" t="n">
        <v>3450</v>
      </c>
      <c r="U50" s="181" t="s">
        <v>546</v>
      </c>
      <c r="V50" s="183" t="n">
        <v>46091</v>
      </c>
      <c r="W50" s="183" t="n">
        <v>46087</v>
      </c>
      <c r="X50" s="181"/>
      <c r="Y50" s="181" t="s">
        <v>455</v>
      </c>
      <c r="Z50" s="181"/>
      <c r="AA50" s="186"/>
    </row>
    <row r="51" customFormat="false" ht="15" hidden="false" customHeight="false" outlineLevel="0" collapsed="false">
      <c r="B51" s="181" t="n">
        <v>46</v>
      </c>
      <c r="C51" s="181" t="s">
        <v>11</v>
      </c>
      <c r="D51" s="181" t="s">
        <v>92</v>
      </c>
      <c r="E51" s="181" t="s">
        <v>547</v>
      </c>
      <c r="F51" s="182" t="s">
        <v>458</v>
      </c>
      <c r="G51" s="181" t="s">
        <v>31</v>
      </c>
      <c r="H51" s="183" t="n">
        <v>46084</v>
      </c>
      <c r="I51" s="181" t="s">
        <v>343</v>
      </c>
      <c r="J51" s="181" t="s">
        <v>344</v>
      </c>
      <c r="K51" s="181" t="s">
        <v>268</v>
      </c>
      <c r="L51" s="181" t="s">
        <v>345</v>
      </c>
      <c r="M51" s="181" t="n">
        <v>1250</v>
      </c>
      <c r="N51" s="181"/>
      <c r="O51" s="181" t="s">
        <v>271</v>
      </c>
      <c r="P51" s="181" t="n">
        <v>1.85</v>
      </c>
      <c r="Q51" s="181" t="n">
        <v>2312.5</v>
      </c>
      <c r="R51" s="181"/>
      <c r="S51" s="184"/>
      <c r="T51" s="184"/>
      <c r="U51" s="181" t="n">
        <v>26002149</v>
      </c>
      <c r="V51" s="183" t="n">
        <v>46085</v>
      </c>
      <c r="W51" s="183" t="n">
        <v>46085</v>
      </c>
      <c r="X51" s="181"/>
      <c r="Y51" s="181" t="s">
        <v>455</v>
      </c>
      <c r="Z51" s="181"/>
      <c r="AA51" s="186"/>
    </row>
    <row r="52" customFormat="false" ht="15" hidden="false" customHeight="false" outlineLevel="0" collapsed="false">
      <c r="B52" s="181" t="n">
        <v>47</v>
      </c>
      <c r="C52" s="181" t="s">
        <v>9</v>
      </c>
      <c r="D52" s="181" t="s">
        <v>97</v>
      </c>
      <c r="E52" s="181" t="s">
        <v>548</v>
      </c>
      <c r="F52" s="182" t="s">
        <v>458</v>
      </c>
      <c r="G52" s="181" t="s">
        <v>31</v>
      </c>
      <c r="H52" s="183" t="n">
        <v>46086</v>
      </c>
      <c r="I52" s="181" t="s">
        <v>328</v>
      </c>
      <c r="J52" s="181" t="s">
        <v>549</v>
      </c>
      <c r="K52" s="181" t="s">
        <v>287</v>
      </c>
      <c r="L52" s="181" t="s">
        <v>430</v>
      </c>
      <c r="M52" s="181" t="n">
        <v>5018</v>
      </c>
      <c r="N52" s="181"/>
      <c r="O52" s="181" t="s">
        <v>271</v>
      </c>
      <c r="P52" s="181"/>
      <c r="Q52" s="181"/>
      <c r="R52" s="181"/>
      <c r="S52" s="184" t="n">
        <v>5.2</v>
      </c>
      <c r="T52" s="184" t="n">
        <v>26093.6</v>
      </c>
      <c r="U52" s="181" t="s">
        <v>550</v>
      </c>
      <c r="V52" s="183" t="n">
        <v>46094</v>
      </c>
      <c r="W52" s="183" t="n">
        <v>46094</v>
      </c>
      <c r="X52" s="181" t="n">
        <v>0</v>
      </c>
      <c r="Y52" s="181" t="s">
        <v>455</v>
      </c>
      <c r="Z52" s="181"/>
      <c r="AA52" s="186"/>
    </row>
    <row r="53" customFormat="false" ht="15" hidden="false" customHeight="false" outlineLevel="0" collapsed="false">
      <c r="B53" s="181" t="n">
        <v>48</v>
      </c>
      <c r="C53" s="181" t="s">
        <v>8</v>
      </c>
      <c r="D53" s="181" t="s">
        <v>42</v>
      </c>
      <c r="E53" s="181" t="s">
        <v>551</v>
      </c>
      <c r="F53" s="182" t="s">
        <v>458</v>
      </c>
      <c r="G53" s="181" t="s">
        <v>31</v>
      </c>
      <c r="H53" s="183" t="n">
        <v>46086</v>
      </c>
      <c r="I53" s="181" t="s">
        <v>17</v>
      </c>
      <c r="J53" s="181" t="s">
        <v>19</v>
      </c>
      <c r="K53" s="181" t="s">
        <v>268</v>
      </c>
      <c r="L53" s="181" t="s">
        <v>277</v>
      </c>
      <c r="M53" s="181" t="n">
        <v>300</v>
      </c>
      <c r="N53" s="181"/>
      <c r="O53" s="181" t="s">
        <v>271</v>
      </c>
      <c r="P53" s="181"/>
      <c r="Q53" s="181"/>
      <c r="R53" s="181"/>
      <c r="S53" s="184" t="n">
        <v>13</v>
      </c>
      <c r="T53" s="184" t="n">
        <v>3900</v>
      </c>
      <c r="U53" s="181" t="s">
        <v>546</v>
      </c>
      <c r="V53" s="183" t="n">
        <v>46087</v>
      </c>
      <c r="W53" s="183" t="n">
        <v>46087</v>
      </c>
      <c r="X53" s="181"/>
      <c r="Y53" s="181" t="s">
        <v>455</v>
      </c>
      <c r="Z53" s="181"/>
      <c r="AA53" s="186"/>
    </row>
    <row r="54" customFormat="false" ht="15" hidden="false" customHeight="false" outlineLevel="0" collapsed="false">
      <c r="B54" s="181" t="n">
        <v>49</v>
      </c>
      <c r="C54" s="181" t="s">
        <v>9</v>
      </c>
      <c r="D54" s="181" t="s">
        <v>97</v>
      </c>
      <c r="E54" s="181" t="s">
        <v>552</v>
      </c>
      <c r="F54" s="182" t="s">
        <v>458</v>
      </c>
      <c r="G54" s="181" t="s">
        <v>31</v>
      </c>
      <c r="H54" s="183" t="n">
        <v>46087</v>
      </c>
      <c r="I54" s="181" t="s">
        <v>328</v>
      </c>
      <c r="J54" s="181" t="s">
        <v>496</v>
      </c>
      <c r="K54" s="181" t="s">
        <v>274</v>
      </c>
      <c r="L54" s="181" t="s">
        <v>364</v>
      </c>
      <c r="M54" s="181" t="n">
        <v>3000</v>
      </c>
      <c r="N54" s="181"/>
      <c r="O54" s="181" t="s">
        <v>271</v>
      </c>
      <c r="P54" s="181"/>
      <c r="Q54" s="181"/>
      <c r="R54" s="181"/>
      <c r="S54" s="184" t="n">
        <v>4.2</v>
      </c>
      <c r="T54" s="184" t="n">
        <v>12600</v>
      </c>
      <c r="U54" s="181" t="s">
        <v>553</v>
      </c>
      <c r="V54" s="183" t="n">
        <v>46101</v>
      </c>
      <c r="W54" s="183" t="n">
        <v>46101</v>
      </c>
      <c r="X54" s="181" t="n">
        <v>0</v>
      </c>
      <c r="Y54" s="181" t="s">
        <v>455</v>
      </c>
      <c r="Z54" s="181"/>
      <c r="AA54" s="186"/>
    </row>
    <row r="55" customFormat="false" ht="15" hidden="false" customHeight="false" outlineLevel="0" collapsed="false">
      <c r="B55" s="181" t="n">
        <v>50</v>
      </c>
      <c r="C55" s="181" t="s">
        <v>9</v>
      </c>
      <c r="D55" s="181" t="s">
        <v>97</v>
      </c>
      <c r="E55" s="181" t="s">
        <v>552</v>
      </c>
      <c r="F55" s="182" t="s">
        <v>458</v>
      </c>
      <c r="G55" s="181" t="s">
        <v>31</v>
      </c>
      <c r="H55" s="183" t="n">
        <v>46087</v>
      </c>
      <c r="I55" s="181" t="s">
        <v>328</v>
      </c>
      <c r="J55" s="181" t="s">
        <v>496</v>
      </c>
      <c r="K55" s="181" t="s">
        <v>274</v>
      </c>
      <c r="L55" s="181" t="s">
        <v>364</v>
      </c>
      <c r="M55" s="181" t="n">
        <v>3000</v>
      </c>
      <c r="N55" s="181"/>
      <c r="O55" s="181" t="s">
        <v>271</v>
      </c>
      <c r="P55" s="181"/>
      <c r="Q55" s="181"/>
      <c r="R55" s="181"/>
      <c r="S55" s="184" t="n">
        <v>4.2</v>
      </c>
      <c r="T55" s="184" t="n">
        <v>12600</v>
      </c>
      <c r="U55" s="181" t="s">
        <v>554</v>
      </c>
      <c r="V55" s="183" t="n">
        <v>46113</v>
      </c>
      <c r="W55" s="183" t="n">
        <v>46113</v>
      </c>
      <c r="X55" s="181" t="n">
        <v>0</v>
      </c>
      <c r="Y55" s="181" t="s">
        <v>455</v>
      </c>
      <c r="Z55" s="181" t="s">
        <v>555</v>
      </c>
      <c r="AA55" s="186"/>
    </row>
    <row r="56" customFormat="false" ht="15" hidden="false" customHeight="false" outlineLevel="0" collapsed="false">
      <c r="B56" s="181" t="n">
        <v>51</v>
      </c>
      <c r="C56" s="181" t="s">
        <v>9</v>
      </c>
      <c r="D56" s="181" t="s">
        <v>97</v>
      </c>
      <c r="E56" s="181" t="s">
        <v>552</v>
      </c>
      <c r="F56" s="182" t="s">
        <v>458</v>
      </c>
      <c r="G56" s="181" t="s">
        <v>31</v>
      </c>
      <c r="H56" s="183" t="n">
        <v>46087</v>
      </c>
      <c r="I56" s="181" t="s">
        <v>328</v>
      </c>
      <c r="J56" s="181" t="s">
        <v>496</v>
      </c>
      <c r="K56" s="181" t="s">
        <v>274</v>
      </c>
      <c r="L56" s="181" t="s">
        <v>364</v>
      </c>
      <c r="M56" s="181" t="n">
        <v>2000</v>
      </c>
      <c r="N56" s="181"/>
      <c r="O56" s="181" t="s">
        <v>271</v>
      </c>
      <c r="P56" s="181"/>
      <c r="Q56" s="181"/>
      <c r="R56" s="181"/>
      <c r="S56" s="184" t="n">
        <v>4.2</v>
      </c>
      <c r="T56" s="184" t="n">
        <v>8400</v>
      </c>
      <c r="U56" s="181"/>
      <c r="V56" s="183" t="n">
        <v>46127</v>
      </c>
      <c r="W56" s="183" t="n">
        <v>46127</v>
      </c>
      <c r="X56" s="181" t="n">
        <v>0</v>
      </c>
      <c r="Y56" s="181" t="s">
        <v>455</v>
      </c>
      <c r="Z56" s="181" t="s">
        <v>556</v>
      </c>
      <c r="AA56" s="186"/>
    </row>
    <row r="57" customFormat="false" ht="15" hidden="false" customHeight="false" outlineLevel="0" collapsed="false">
      <c r="B57" s="181" t="n">
        <v>52</v>
      </c>
      <c r="C57" s="181" t="s">
        <v>8</v>
      </c>
      <c r="D57" s="181" t="s">
        <v>42</v>
      </c>
      <c r="E57" s="181" t="s">
        <v>557</v>
      </c>
      <c r="F57" s="182" t="s">
        <v>458</v>
      </c>
      <c r="G57" s="181" t="s">
        <v>31</v>
      </c>
      <c r="H57" s="183" t="n">
        <v>46091</v>
      </c>
      <c r="I57" s="181" t="s">
        <v>365</v>
      </c>
      <c r="J57" s="181" t="s">
        <v>558</v>
      </c>
      <c r="K57" s="181" t="s">
        <v>268</v>
      </c>
      <c r="L57" s="181" t="s">
        <v>291</v>
      </c>
      <c r="M57" s="181" t="n">
        <v>2750</v>
      </c>
      <c r="N57" s="181"/>
      <c r="O57" s="181" t="s">
        <v>271</v>
      </c>
      <c r="P57" s="181"/>
      <c r="Q57" s="181"/>
      <c r="R57" s="181"/>
      <c r="S57" s="184" t="n">
        <v>6.1</v>
      </c>
      <c r="T57" s="184" t="n">
        <v>16775</v>
      </c>
      <c r="U57" s="181" t="s">
        <v>559</v>
      </c>
      <c r="V57" s="183" t="n">
        <v>46092</v>
      </c>
      <c r="W57" s="183" t="n">
        <v>46092</v>
      </c>
      <c r="X57" s="181"/>
      <c r="Y57" s="181" t="s">
        <v>455</v>
      </c>
      <c r="Z57" s="181"/>
      <c r="AA57" s="186"/>
    </row>
    <row r="58" customFormat="false" ht="15" hidden="false" customHeight="false" outlineLevel="0" collapsed="false">
      <c r="B58" s="181" t="n">
        <v>53</v>
      </c>
      <c r="C58" s="181" t="s">
        <v>63</v>
      </c>
      <c r="D58" s="181" t="s">
        <v>65</v>
      </c>
      <c r="E58" s="181" t="s">
        <v>560</v>
      </c>
      <c r="F58" s="182" t="s">
        <v>458</v>
      </c>
      <c r="G58" s="181" t="s">
        <v>31</v>
      </c>
      <c r="H58" s="183" t="n">
        <v>46090</v>
      </c>
      <c r="I58" s="181" t="s">
        <v>365</v>
      </c>
      <c r="J58" s="181" t="s">
        <v>561</v>
      </c>
      <c r="K58" s="181" t="s">
        <v>268</v>
      </c>
      <c r="L58" s="181" t="s">
        <v>562</v>
      </c>
      <c r="M58" s="181" t="n">
        <v>5500</v>
      </c>
      <c r="N58" s="181"/>
      <c r="O58" s="181" t="s">
        <v>271</v>
      </c>
      <c r="P58" s="181"/>
      <c r="Q58" s="181"/>
      <c r="R58" s="181"/>
      <c r="S58" s="184" t="n">
        <v>5.8</v>
      </c>
      <c r="T58" s="184" t="n">
        <v>31900</v>
      </c>
      <c r="U58" s="181" t="s">
        <v>563</v>
      </c>
      <c r="V58" s="183" t="n">
        <v>46093</v>
      </c>
      <c r="W58" s="183" t="n">
        <v>46093</v>
      </c>
      <c r="X58" s="181"/>
      <c r="Y58" s="181" t="s">
        <v>455</v>
      </c>
      <c r="Z58" s="181"/>
      <c r="AA58" s="186"/>
    </row>
    <row r="59" customFormat="false" ht="15" hidden="false" customHeight="false" outlineLevel="0" collapsed="false">
      <c r="B59" s="181" t="n">
        <v>54</v>
      </c>
      <c r="C59" s="181" t="s">
        <v>63</v>
      </c>
      <c r="D59" s="181" t="s">
        <v>65</v>
      </c>
      <c r="E59" s="181" t="s">
        <v>564</v>
      </c>
      <c r="F59" s="182" t="s">
        <v>458</v>
      </c>
      <c r="G59" s="181" t="s">
        <v>31</v>
      </c>
      <c r="H59" s="183" t="n">
        <v>46090</v>
      </c>
      <c r="I59" s="181" t="s">
        <v>266</v>
      </c>
      <c r="J59" s="181" t="s">
        <v>565</v>
      </c>
      <c r="K59" s="181" t="s">
        <v>268</v>
      </c>
      <c r="L59" s="181" t="s">
        <v>432</v>
      </c>
      <c r="M59" s="181" t="n">
        <v>675</v>
      </c>
      <c r="N59" s="181"/>
      <c r="O59" s="181" t="s">
        <v>271</v>
      </c>
      <c r="P59" s="181"/>
      <c r="Q59" s="181"/>
      <c r="R59" s="181"/>
      <c r="S59" s="184" t="n">
        <v>5.5</v>
      </c>
      <c r="T59" s="184" t="n">
        <v>3712.5</v>
      </c>
      <c r="U59" s="181" t="s">
        <v>563</v>
      </c>
      <c r="V59" s="183" t="n">
        <v>46093</v>
      </c>
      <c r="W59" s="183" t="n">
        <v>46093</v>
      </c>
      <c r="X59" s="181"/>
      <c r="Y59" s="181" t="s">
        <v>455</v>
      </c>
      <c r="Z59" s="181"/>
      <c r="AA59" s="186"/>
    </row>
    <row r="60" customFormat="false" ht="15" hidden="false" customHeight="false" outlineLevel="0" collapsed="false">
      <c r="B60" s="181" t="n">
        <v>55</v>
      </c>
      <c r="C60" s="181" t="s">
        <v>63</v>
      </c>
      <c r="D60" s="181" t="s">
        <v>65</v>
      </c>
      <c r="E60" s="181" t="s">
        <v>566</v>
      </c>
      <c r="F60" s="182" t="s">
        <v>458</v>
      </c>
      <c r="G60" s="181" t="s">
        <v>31</v>
      </c>
      <c r="H60" s="183" t="n">
        <v>46090</v>
      </c>
      <c r="I60" s="181" t="s">
        <v>266</v>
      </c>
      <c r="J60" s="181" t="s">
        <v>565</v>
      </c>
      <c r="K60" s="181" t="s">
        <v>268</v>
      </c>
      <c r="L60" s="181" t="s">
        <v>432</v>
      </c>
      <c r="M60" s="181" t="n">
        <v>1375</v>
      </c>
      <c r="N60" s="181"/>
      <c r="O60" s="181" t="s">
        <v>271</v>
      </c>
      <c r="P60" s="181"/>
      <c r="Q60" s="181"/>
      <c r="R60" s="181"/>
      <c r="S60" s="184" t="n">
        <v>5.5</v>
      </c>
      <c r="T60" s="184" t="n">
        <v>7562.5</v>
      </c>
      <c r="U60" s="181" t="s">
        <v>567</v>
      </c>
      <c r="V60" s="183" t="n">
        <v>46091</v>
      </c>
      <c r="W60" s="183" t="n">
        <v>46091</v>
      </c>
      <c r="X60" s="181"/>
      <c r="Y60" s="181" t="s">
        <v>455</v>
      </c>
      <c r="Z60" s="181"/>
      <c r="AA60" s="186"/>
    </row>
    <row r="61" customFormat="false" ht="15" hidden="false" customHeight="false" outlineLevel="0" collapsed="false">
      <c r="B61" s="181" t="n">
        <v>56</v>
      </c>
      <c r="C61" s="181" t="s">
        <v>63</v>
      </c>
      <c r="D61" s="181" t="s">
        <v>65</v>
      </c>
      <c r="E61" s="181" t="s">
        <v>568</v>
      </c>
      <c r="F61" s="182" t="s">
        <v>458</v>
      </c>
      <c r="G61" s="181" t="s">
        <v>31</v>
      </c>
      <c r="H61" s="183" t="n">
        <v>46091</v>
      </c>
      <c r="I61" s="181" t="s">
        <v>569</v>
      </c>
      <c r="J61" s="181" t="s">
        <v>569</v>
      </c>
      <c r="K61" s="181" t="s">
        <v>268</v>
      </c>
      <c r="L61" s="181" t="s">
        <v>431</v>
      </c>
      <c r="M61" s="181" t="n">
        <v>4125</v>
      </c>
      <c r="N61" s="181"/>
      <c r="O61" s="181" t="s">
        <v>271</v>
      </c>
      <c r="P61" s="181"/>
      <c r="Q61" s="181"/>
      <c r="R61" s="181"/>
      <c r="S61" s="184" t="n">
        <v>6</v>
      </c>
      <c r="T61" s="184" t="n">
        <v>24750</v>
      </c>
      <c r="U61" s="181" t="s">
        <v>570</v>
      </c>
      <c r="V61" s="183" t="n">
        <v>46104</v>
      </c>
      <c r="W61" s="183" t="n">
        <v>46104</v>
      </c>
      <c r="X61" s="181"/>
      <c r="Y61" s="181" t="s">
        <v>455</v>
      </c>
      <c r="Z61" s="181"/>
      <c r="AA61" s="186"/>
    </row>
    <row r="62" customFormat="false" ht="15" hidden="false" customHeight="false" outlineLevel="0" collapsed="false">
      <c r="B62" s="181" t="n">
        <v>57</v>
      </c>
      <c r="C62" s="181" t="s">
        <v>121</v>
      </c>
      <c r="D62" s="181" t="s">
        <v>122</v>
      </c>
      <c r="E62" s="181" t="s">
        <v>571</v>
      </c>
      <c r="F62" s="182" t="s">
        <v>458</v>
      </c>
      <c r="G62" s="181" t="s">
        <v>31</v>
      </c>
      <c r="H62" s="183" t="n">
        <v>46091</v>
      </c>
      <c r="I62" s="181" t="s">
        <v>340</v>
      </c>
      <c r="J62" s="181" t="s">
        <v>572</v>
      </c>
      <c r="K62" s="181" t="s">
        <v>287</v>
      </c>
      <c r="L62" s="181" t="s">
        <v>394</v>
      </c>
      <c r="M62" s="181" t="n">
        <v>500</v>
      </c>
      <c r="N62" s="181"/>
      <c r="O62" s="181" t="s">
        <v>271</v>
      </c>
      <c r="P62" s="181"/>
      <c r="Q62" s="181"/>
      <c r="R62" s="181"/>
      <c r="S62" s="184" t="n">
        <v>14.5</v>
      </c>
      <c r="T62" s="184" t="n">
        <v>7250</v>
      </c>
      <c r="U62" s="181" t="s">
        <v>573</v>
      </c>
      <c r="V62" s="183" t="n">
        <v>46106</v>
      </c>
      <c r="W62" s="183" t="n">
        <v>46106</v>
      </c>
      <c r="X62" s="181"/>
      <c r="Y62" s="181" t="s">
        <v>455</v>
      </c>
      <c r="Z62" s="181"/>
      <c r="AA62" s="186"/>
    </row>
    <row r="63" customFormat="false" ht="15" hidden="false" customHeight="false" outlineLevel="0" collapsed="false">
      <c r="B63" s="181" t="n">
        <v>58</v>
      </c>
      <c r="C63" s="181" t="s">
        <v>145</v>
      </c>
      <c r="D63" s="181" t="s">
        <v>146</v>
      </c>
      <c r="E63" s="181" t="s">
        <v>574</v>
      </c>
      <c r="F63" s="182" t="s">
        <v>458</v>
      </c>
      <c r="G63" s="181" t="s">
        <v>31</v>
      </c>
      <c r="H63" s="183" t="n">
        <v>46091</v>
      </c>
      <c r="I63" s="181" t="s">
        <v>340</v>
      </c>
      <c r="J63" s="181" t="s">
        <v>575</v>
      </c>
      <c r="K63" s="181" t="s">
        <v>268</v>
      </c>
      <c r="L63" s="181" t="s">
        <v>576</v>
      </c>
      <c r="M63" s="181" t="n">
        <v>2025</v>
      </c>
      <c r="N63" s="181"/>
      <c r="O63" s="181" t="s">
        <v>271</v>
      </c>
      <c r="P63" s="181"/>
      <c r="Q63" s="181"/>
      <c r="R63" s="181"/>
      <c r="S63" s="184" t="n">
        <v>12.19</v>
      </c>
      <c r="T63" s="184" t="n">
        <v>24684.75</v>
      </c>
      <c r="U63" s="181" t="s">
        <v>577</v>
      </c>
      <c r="V63" s="183" t="n">
        <v>46097</v>
      </c>
      <c r="W63" s="183" t="n">
        <v>46097</v>
      </c>
      <c r="X63" s="181"/>
      <c r="Y63" s="181" t="s">
        <v>455</v>
      </c>
      <c r="Z63" s="181"/>
      <c r="AA63" s="186"/>
    </row>
    <row r="64" customFormat="false" ht="15" hidden="false" customHeight="false" outlineLevel="0" collapsed="false">
      <c r="B64" s="181" t="n">
        <v>59</v>
      </c>
      <c r="C64" s="181" t="s">
        <v>8</v>
      </c>
      <c r="D64" s="181" t="s">
        <v>42</v>
      </c>
      <c r="E64" s="181" t="s">
        <v>578</v>
      </c>
      <c r="F64" s="182" t="s">
        <v>458</v>
      </c>
      <c r="G64" s="181" t="s">
        <v>31</v>
      </c>
      <c r="H64" s="183" t="n">
        <v>46091</v>
      </c>
      <c r="I64" s="181" t="s">
        <v>24</v>
      </c>
      <c r="J64" s="181" t="s">
        <v>579</v>
      </c>
      <c r="K64" s="181" t="s">
        <v>268</v>
      </c>
      <c r="L64" s="181" t="s">
        <v>304</v>
      </c>
      <c r="M64" s="181" t="n">
        <v>1000</v>
      </c>
      <c r="N64" s="181"/>
      <c r="O64" s="181" t="s">
        <v>271</v>
      </c>
      <c r="P64" s="181"/>
      <c r="Q64" s="181"/>
      <c r="R64" s="181"/>
      <c r="S64" s="184" t="n">
        <v>10.4</v>
      </c>
      <c r="T64" s="184" t="n">
        <v>10400</v>
      </c>
      <c r="U64" s="181" t="s">
        <v>580</v>
      </c>
      <c r="V64" s="183" t="n">
        <v>46107</v>
      </c>
      <c r="W64" s="183" t="n">
        <v>46104</v>
      </c>
      <c r="X64" s="181"/>
      <c r="Y64" s="181" t="s">
        <v>455</v>
      </c>
      <c r="Z64" s="181"/>
      <c r="AA64" s="186"/>
    </row>
    <row r="65" customFormat="false" ht="15" hidden="false" customHeight="false" outlineLevel="0" collapsed="false">
      <c r="B65" s="181" t="n">
        <v>60</v>
      </c>
      <c r="C65" s="181" t="s">
        <v>71</v>
      </c>
      <c r="D65" s="181" t="s">
        <v>73</v>
      </c>
      <c r="E65" s="181" t="s">
        <v>581</v>
      </c>
      <c r="F65" s="182" t="n">
        <v>1369664</v>
      </c>
      <c r="G65" s="181" t="s">
        <v>31</v>
      </c>
      <c r="H65" s="183" t="n">
        <v>46066</v>
      </c>
      <c r="I65" s="181" t="s">
        <v>17</v>
      </c>
      <c r="J65" s="181" t="s">
        <v>325</v>
      </c>
      <c r="K65" s="181" t="s">
        <v>268</v>
      </c>
      <c r="L65" s="181" t="s">
        <v>326</v>
      </c>
      <c r="M65" s="181" t="n">
        <v>1000</v>
      </c>
      <c r="N65" s="181"/>
      <c r="O65" s="181" t="s">
        <v>271</v>
      </c>
      <c r="P65" s="181" t="n">
        <v>2.75</v>
      </c>
      <c r="Q65" s="181" t="n">
        <v>2750</v>
      </c>
      <c r="R65" s="181" t="n">
        <v>4.214</v>
      </c>
      <c r="S65" s="184" t="n">
        <v>11.5885</v>
      </c>
      <c r="T65" s="184" t="n">
        <v>11588.5</v>
      </c>
      <c r="U65" s="181" t="s">
        <v>582</v>
      </c>
      <c r="V65" s="183" t="n">
        <v>46100</v>
      </c>
      <c r="W65" s="183" t="n">
        <v>46097</v>
      </c>
      <c r="X65" s="181" t="n">
        <v>0</v>
      </c>
      <c r="Y65" s="181" t="s">
        <v>455</v>
      </c>
      <c r="Z65" s="181"/>
      <c r="AA65" s="186"/>
    </row>
    <row r="66" customFormat="false" ht="15" hidden="false" customHeight="false" outlineLevel="0" collapsed="false">
      <c r="B66" s="181" t="n">
        <v>61</v>
      </c>
      <c r="C66" s="181" t="s">
        <v>8</v>
      </c>
      <c r="D66" s="181" t="s">
        <v>42</v>
      </c>
      <c r="E66" s="181" t="s">
        <v>583</v>
      </c>
      <c r="F66" s="182" t="s">
        <v>458</v>
      </c>
      <c r="G66" s="181" t="s">
        <v>31</v>
      </c>
      <c r="H66" s="183" t="n">
        <v>46091</v>
      </c>
      <c r="I66" s="181" t="s">
        <v>17</v>
      </c>
      <c r="J66" s="181" t="s">
        <v>584</v>
      </c>
      <c r="K66" s="181" t="s">
        <v>268</v>
      </c>
      <c r="L66" s="181"/>
      <c r="M66" s="181" t="n">
        <v>1400</v>
      </c>
      <c r="N66" s="181"/>
      <c r="O66" s="181" t="s">
        <v>271</v>
      </c>
      <c r="P66" s="181"/>
      <c r="Q66" s="181"/>
      <c r="R66" s="181"/>
      <c r="S66" s="184" t="n">
        <v>9.8</v>
      </c>
      <c r="T66" s="184" t="n">
        <v>13720</v>
      </c>
      <c r="U66" s="181" t="s">
        <v>585</v>
      </c>
      <c r="V66" s="183" t="n">
        <v>46120</v>
      </c>
      <c r="W66" s="183" t="n">
        <v>46120</v>
      </c>
      <c r="X66" s="181"/>
      <c r="Y66" s="181" t="s">
        <v>455</v>
      </c>
      <c r="Z66" s="181"/>
      <c r="AA66" s="186"/>
    </row>
    <row r="67" customFormat="false" ht="15" hidden="false" customHeight="false" outlineLevel="0" collapsed="false">
      <c r="B67" s="181" t="n">
        <v>62</v>
      </c>
      <c r="C67" s="181" t="s">
        <v>406</v>
      </c>
      <c r="D67" s="181" t="s">
        <v>140</v>
      </c>
      <c r="E67" s="181" t="s">
        <v>586</v>
      </c>
      <c r="F67" s="182" t="s">
        <v>458</v>
      </c>
      <c r="G67" s="181" t="s">
        <v>31</v>
      </c>
      <c r="H67" s="183" t="n">
        <v>46091</v>
      </c>
      <c r="I67" s="181" t="s">
        <v>587</v>
      </c>
      <c r="J67" s="181" t="s">
        <v>588</v>
      </c>
      <c r="K67" s="181" t="s">
        <v>274</v>
      </c>
      <c r="L67" s="181" t="s">
        <v>408</v>
      </c>
      <c r="M67" s="181" t="n">
        <v>3000</v>
      </c>
      <c r="N67" s="181"/>
      <c r="O67" s="181" t="s">
        <v>271</v>
      </c>
      <c r="P67" s="181"/>
      <c r="Q67" s="181" t="n">
        <v>0</v>
      </c>
      <c r="R67" s="181"/>
      <c r="S67" s="184" t="n">
        <v>4.6</v>
      </c>
      <c r="T67" s="184" t="n">
        <v>13800</v>
      </c>
      <c r="U67" s="181"/>
      <c r="V67" s="183" t="n">
        <v>46119</v>
      </c>
      <c r="W67" s="183" t="n">
        <v>46119</v>
      </c>
      <c r="X67" s="181"/>
      <c r="Y67" s="181" t="s">
        <v>455</v>
      </c>
      <c r="Z67" s="181"/>
      <c r="AA67" s="181"/>
    </row>
    <row r="68" customFormat="false" ht="15" hidden="false" customHeight="false" outlineLevel="0" collapsed="false">
      <c r="B68" s="181" t="n">
        <v>63</v>
      </c>
      <c r="C68" s="181" t="s">
        <v>11</v>
      </c>
      <c r="D68" s="181" t="s">
        <v>92</v>
      </c>
      <c r="E68" s="181" t="s">
        <v>589</v>
      </c>
      <c r="F68" s="182" t="s">
        <v>458</v>
      </c>
      <c r="G68" s="181" t="s">
        <v>31</v>
      </c>
      <c r="H68" s="183" t="n">
        <v>46090</v>
      </c>
      <c r="I68" s="188" t="s">
        <v>353</v>
      </c>
      <c r="J68" s="181" t="s">
        <v>354</v>
      </c>
      <c r="K68" s="181" t="s">
        <v>268</v>
      </c>
      <c r="L68" s="181" t="s">
        <v>355</v>
      </c>
      <c r="M68" s="181" t="n">
        <v>3750</v>
      </c>
      <c r="N68" s="181"/>
      <c r="O68" s="181" t="s">
        <v>271</v>
      </c>
      <c r="P68" s="181" t="n">
        <v>1.95</v>
      </c>
      <c r="Q68" s="181" t="n">
        <v>7312.5</v>
      </c>
      <c r="R68" s="181" t="n">
        <v>4.35</v>
      </c>
      <c r="S68" s="184"/>
      <c r="T68" s="184" t="n">
        <v>31809.375</v>
      </c>
      <c r="U68" s="181"/>
      <c r="V68" s="183" t="n">
        <v>46120</v>
      </c>
      <c r="W68" s="183" t="n">
        <v>46120</v>
      </c>
      <c r="X68" s="181"/>
      <c r="Y68" s="181" t="s">
        <v>455</v>
      </c>
      <c r="Z68" s="181"/>
      <c r="AA68" s="186"/>
    </row>
    <row r="69" customFormat="false" ht="15" hidden="false" customHeight="false" outlineLevel="0" collapsed="false">
      <c r="B69" s="181" t="n">
        <v>64</v>
      </c>
      <c r="C69" s="181" t="s">
        <v>86</v>
      </c>
      <c r="D69" s="181" t="s">
        <v>88</v>
      </c>
      <c r="E69" s="181" t="s">
        <v>590</v>
      </c>
      <c r="F69" s="182" t="s">
        <v>468</v>
      </c>
      <c r="G69" s="181" t="s">
        <v>31</v>
      </c>
      <c r="H69" s="183" t="n">
        <v>46090</v>
      </c>
      <c r="I69" s="181" t="s">
        <v>283</v>
      </c>
      <c r="J69" s="181" t="s">
        <v>481</v>
      </c>
      <c r="K69" s="181" t="s">
        <v>274</v>
      </c>
      <c r="L69" s="181" t="s">
        <v>334</v>
      </c>
      <c r="M69" s="181" t="n">
        <v>3000</v>
      </c>
      <c r="N69" s="181"/>
      <c r="O69" s="181" t="s">
        <v>271</v>
      </c>
      <c r="P69" s="181"/>
      <c r="Q69" s="181" t="n">
        <v>0</v>
      </c>
      <c r="R69" s="181"/>
      <c r="S69" s="184" t="n">
        <v>3.5</v>
      </c>
      <c r="T69" s="184" t="n">
        <v>10500</v>
      </c>
      <c r="U69" s="181"/>
      <c r="V69" s="183" t="n">
        <v>46114</v>
      </c>
      <c r="W69" s="183" t="n">
        <v>46114</v>
      </c>
      <c r="X69" s="181" t="n">
        <v>0</v>
      </c>
      <c r="Y69" s="181" t="s">
        <v>455</v>
      </c>
      <c r="Z69" s="181"/>
      <c r="AA69" s="186"/>
    </row>
    <row r="70" customFormat="false" ht="15" hidden="false" customHeight="false" outlineLevel="0" collapsed="false">
      <c r="B70" s="181" t="n">
        <v>65</v>
      </c>
      <c r="C70" s="181" t="s">
        <v>4</v>
      </c>
      <c r="D70" s="181" t="s">
        <v>109</v>
      </c>
      <c r="E70" s="181" t="s">
        <v>591</v>
      </c>
      <c r="F70" s="182" t="s">
        <v>458</v>
      </c>
      <c r="G70" s="181" t="s">
        <v>31</v>
      </c>
      <c r="H70" s="183" t="n">
        <v>46101</v>
      </c>
      <c r="I70" s="181" t="s">
        <v>385</v>
      </c>
      <c r="J70" s="181" t="s">
        <v>592</v>
      </c>
      <c r="K70" s="181" t="s">
        <v>274</v>
      </c>
      <c r="L70" s="181" t="s">
        <v>386</v>
      </c>
      <c r="M70" s="181" t="n">
        <v>2000</v>
      </c>
      <c r="N70" s="181"/>
      <c r="O70" s="181" t="s">
        <v>271</v>
      </c>
      <c r="P70" s="181"/>
      <c r="Q70" s="181"/>
      <c r="R70" s="181"/>
      <c r="S70" s="184" t="n">
        <v>6.5</v>
      </c>
      <c r="T70" s="184" t="n">
        <v>13000</v>
      </c>
      <c r="U70" s="181" t="s">
        <v>593</v>
      </c>
      <c r="V70" s="183" t="n">
        <v>46119</v>
      </c>
      <c r="W70" s="183" t="n">
        <v>46119</v>
      </c>
      <c r="X70" s="181" t="n">
        <v>0</v>
      </c>
      <c r="Y70" s="181" t="s">
        <v>455</v>
      </c>
      <c r="Z70" s="181"/>
      <c r="AA70" s="181"/>
    </row>
    <row r="71" customFormat="false" ht="15" hidden="false" customHeight="false" outlineLevel="0" collapsed="false">
      <c r="B71" s="181" t="n">
        <v>66</v>
      </c>
      <c r="C71" s="181" t="s">
        <v>9</v>
      </c>
      <c r="D71" s="181" t="s">
        <v>97</v>
      </c>
      <c r="E71" s="181" t="s">
        <v>594</v>
      </c>
      <c r="F71" s="182" t="s">
        <v>458</v>
      </c>
      <c r="G71" s="181" t="s">
        <v>31</v>
      </c>
      <c r="H71" s="183" t="n">
        <v>46107</v>
      </c>
      <c r="I71" s="181" t="s">
        <v>328</v>
      </c>
      <c r="J71" s="181" t="s">
        <v>549</v>
      </c>
      <c r="K71" s="181" t="s">
        <v>287</v>
      </c>
      <c r="L71" s="181" t="s">
        <v>430</v>
      </c>
      <c r="M71" s="181" t="n">
        <v>5500</v>
      </c>
      <c r="N71" s="181"/>
      <c r="O71" s="181" t="s">
        <v>271</v>
      </c>
      <c r="P71" s="181"/>
      <c r="Q71" s="181"/>
      <c r="R71" s="181"/>
      <c r="S71" s="184" t="n">
        <v>5.2</v>
      </c>
      <c r="T71" s="184" t="n">
        <v>28600</v>
      </c>
      <c r="U71" s="181"/>
      <c r="V71" s="183" t="n">
        <v>46141</v>
      </c>
      <c r="W71" s="183" t="n">
        <v>46141</v>
      </c>
      <c r="X71" s="181" t="n">
        <v>0</v>
      </c>
      <c r="Y71" s="181" t="s">
        <v>455</v>
      </c>
      <c r="Z71" s="181"/>
      <c r="AA71" s="186"/>
    </row>
    <row r="72" customFormat="false" ht="15" hidden="false" customHeight="false" outlineLevel="0" collapsed="false">
      <c r="B72" s="181" t="n">
        <v>67</v>
      </c>
      <c r="C72" s="181" t="s">
        <v>8</v>
      </c>
      <c r="D72" s="181" t="s">
        <v>42</v>
      </c>
      <c r="E72" s="181" t="s">
        <v>595</v>
      </c>
      <c r="F72" s="182" t="s">
        <v>458</v>
      </c>
      <c r="G72" s="181" t="s">
        <v>31</v>
      </c>
      <c r="H72" s="183" t="n">
        <v>46106</v>
      </c>
      <c r="I72" s="181" t="s">
        <v>17</v>
      </c>
      <c r="J72" s="181" t="s">
        <v>596</v>
      </c>
      <c r="K72" s="181" t="s">
        <v>268</v>
      </c>
      <c r="L72" s="181" t="s">
        <v>282</v>
      </c>
      <c r="M72" s="181" t="n">
        <v>1000</v>
      </c>
      <c r="N72" s="181"/>
      <c r="O72" s="181" t="s">
        <v>271</v>
      </c>
      <c r="P72" s="181"/>
      <c r="Q72" s="181"/>
      <c r="R72" s="181"/>
      <c r="S72" s="184" t="n">
        <v>11.5</v>
      </c>
      <c r="T72" s="184" t="n">
        <v>11500</v>
      </c>
      <c r="U72" s="181" t="s">
        <v>585</v>
      </c>
      <c r="V72" s="183" t="n">
        <v>46120</v>
      </c>
      <c r="W72" s="183" t="n">
        <v>46120</v>
      </c>
      <c r="X72" s="181"/>
      <c r="Y72" s="181" t="s">
        <v>455</v>
      </c>
      <c r="Z72" s="181"/>
      <c r="AA72" s="186"/>
    </row>
    <row r="73" customFormat="false" ht="15" hidden="false" customHeight="false" outlineLevel="0" collapsed="false">
      <c r="B73" s="181" t="n">
        <v>68</v>
      </c>
      <c r="C73" s="181" t="s">
        <v>8</v>
      </c>
      <c r="D73" s="181" t="s">
        <v>42</v>
      </c>
      <c r="E73" s="181" t="s">
        <v>597</v>
      </c>
      <c r="F73" s="182" t="s">
        <v>458</v>
      </c>
      <c r="G73" s="181" t="s">
        <v>31</v>
      </c>
      <c r="H73" s="183" t="n">
        <v>46106</v>
      </c>
      <c r="I73" s="181" t="s">
        <v>17</v>
      </c>
      <c r="J73" s="181" t="s">
        <v>598</v>
      </c>
      <c r="K73" s="181" t="s">
        <v>274</v>
      </c>
      <c r="L73" s="181" t="s">
        <v>275</v>
      </c>
      <c r="M73" s="181" t="n">
        <v>400</v>
      </c>
      <c r="N73" s="181"/>
      <c r="O73" s="181" t="s">
        <v>271</v>
      </c>
      <c r="P73" s="181"/>
      <c r="Q73" s="181"/>
      <c r="R73" s="181"/>
      <c r="S73" s="184" t="n">
        <v>11.4</v>
      </c>
      <c r="T73" s="184" t="n">
        <v>4560</v>
      </c>
      <c r="U73" s="181" t="s">
        <v>599</v>
      </c>
      <c r="V73" s="183" t="n">
        <v>46120</v>
      </c>
      <c r="W73" s="183" t="n">
        <v>46120</v>
      </c>
      <c r="X73" s="181"/>
      <c r="Y73" s="181" t="s">
        <v>455</v>
      </c>
      <c r="Z73" s="181"/>
      <c r="AA73" s="186"/>
    </row>
    <row r="74" customFormat="false" ht="15" hidden="false" customHeight="false" outlineLevel="0" collapsed="false">
      <c r="B74" s="181" t="n">
        <v>69</v>
      </c>
      <c r="C74" s="181" t="s">
        <v>63</v>
      </c>
      <c r="D74" s="181" t="s">
        <v>65</v>
      </c>
      <c r="E74" s="181" t="s">
        <v>600</v>
      </c>
      <c r="F74" s="182" t="s">
        <v>458</v>
      </c>
      <c r="G74" s="181" t="s">
        <v>31</v>
      </c>
      <c r="H74" s="183" t="n">
        <v>46107</v>
      </c>
      <c r="I74" s="181" t="s">
        <v>283</v>
      </c>
      <c r="J74" s="181" t="s">
        <v>463</v>
      </c>
      <c r="K74" s="181" t="s">
        <v>268</v>
      </c>
      <c r="L74" s="181" t="s">
        <v>464</v>
      </c>
      <c r="M74" s="181" t="n">
        <v>500</v>
      </c>
      <c r="N74" s="181"/>
      <c r="O74" s="181" t="s">
        <v>271</v>
      </c>
      <c r="P74" s="181"/>
      <c r="Q74" s="181"/>
      <c r="R74" s="181"/>
      <c r="S74" s="184" t="n">
        <v>8.5</v>
      </c>
      <c r="T74" s="184" t="n">
        <v>4250</v>
      </c>
      <c r="U74" s="181" t="s">
        <v>601</v>
      </c>
      <c r="V74" s="183" t="n">
        <v>46111</v>
      </c>
      <c r="W74" s="183" t="n">
        <v>46111</v>
      </c>
      <c r="X74" s="181"/>
      <c r="Y74" s="181" t="s">
        <v>455</v>
      </c>
      <c r="Z74" s="181"/>
      <c r="AA74" s="186"/>
    </row>
    <row r="75" customFormat="false" ht="15" hidden="false" customHeight="false" outlineLevel="0" collapsed="false">
      <c r="B75" s="181" t="n">
        <v>70</v>
      </c>
      <c r="C75" s="181" t="s">
        <v>8</v>
      </c>
      <c r="D75" s="181" t="s">
        <v>42</v>
      </c>
      <c r="E75" s="181" t="s">
        <v>602</v>
      </c>
      <c r="F75" s="182" t="s">
        <v>458</v>
      </c>
      <c r="G75" s="181" t="s">
        <v>31</v>
      </c>
      <c r="H75" s="183" t="n">
        <v>46087</v>
      </c>
      <c r="I75" s="181" t="s">
        <v>266</v>
      </c>
      <c r="J75" s="181" t="s">
        <v>565</v>
      </c>
      <c r="K75" s="181" t="s">
        <v>268</v>
      </c>
      <c r="L75" s="181" t="s">
        <v>269</v>
      </c>
      <c r="M75" s="181" t="n">
        <v>1375</v>
      </c>
      <c r="N75" s="181"/>
      <c r="O75" s="181" t="s">
        <v>271</v>
      </c>
      <c r="P75" s="181"/>
      <c r="Q75" s="181"/>
      <c r="R75" s="181"/>
      <c r="S75" s="184" t="n">
        <v>5.8</v>
      </c>
      <c r="T75" s="184" t="n">
        <v>7975</v>
      </c>
      <c r="U75" s="181" t="s">
        <v>580</v>
      </c>
      <c r="V75" s="183" t="n">
        <v>46104</v>
      </c>
      <c r="W75" s="183" t="n">
        <v>46104</v>
      </c>
      <c r="X75" s="181"/>
      <c r="Y75" s="181" t="s">
        <v>455</v>
      </c>
      <c r="Z75" s="181"/>
      <c r="AA75" s="186"/>
    </row>
    <row r="76" customFormat="false" ht="15" hidden="false" customHeight="false" outlineLevel="0" collapsed="false">
      <c r="B76" s="181" t="n">
        <v>71</v>
      </c>
      <c r="C76" s="181" t="s">
        <v>6</v>
      </c>
      <c r="D76" s="181" t="s">
        <v>50</v>
      </c>
      <c r="E76" s="181" t="s">
        <v>603</v>
      </c>
      <c r="F76" s="182" t="n">
        <v>443706</v>
      </c>
      <c r="G76" s="181" t="s">
        <v>31</v>
      </c>
      <c r="H76" s="183" t="n">
        <v>46106</v>
      </c>
      <c r="I76" s="181" t="s">
        <v>470</v>
      </c>
      <c r="J76" s="181" t="s">
        <v>471</v>
      </c>
      <c r="K76" s="181" t="s">
        <v>268</v>
      </c>
      <c r="L76" s="181" t="s">
        <v>312</v>
      </c>
      <c r="M76" s="181" t="n">
        <v>3360</v>
      </c>
      <c r="N76" s="181"/>
      <c r="O76" s="181" t="s">
        <v>271</v>
      </c>
      <c r="P76" s="181" t="n">
        <v>3.76</v>
      </c>
      <c r="Q76" s="181" t="n">
        <v>12633.6</v>
      </c>
      <c r="R76" s="181" t="n">
        <v>4.35</v>
      </c>
      <c r="S76" s="184" t="n">
        <v>16.356</v>
      </c>
      <c r="T76" s="184" t="n">
        <v>54956.16</v>
      </c>
      <c r="U76" s="185" t="n">
        <v>91191080</v>
      </c>
      <c r="V76" s="183" t="n">
        <v>46161</v>
      </c>
      <c r="W76" s="183" t="n">
        <v>46155</v>
      </c>
      <c r="X76" s="181"/>
      <c r="Y76" s="181" t="s">
        <v>455</v>
      </c>
      <c r="Z76" s="181"/>
      <c r="AA76" s="186"/>
    </row>
    <row r="77" customFormat="false" ht="15" hidden="false" customHeight="false" outlineLevel="0" collapsed="false">
      <c r="B77" s="181" t="n">
        <v>72</v>
      </c>
      <c r="C77" s="181" t="s">
        <v>6</v>
      </c>
      <c r="D77" s="181" t="s">
        <v>50</v>
      </c>
      <c r="E77" s="181" t="s">
        <v>604</v>
      </c>
      <c r="F77" s="182" t="n">
        <v>443414</v>
      </c>
      <c r="G77" s="181" t="s">
        <v>31</v>
      </c>
      <c r="H77" s="183" t="n">
        <v>46104</v>
      </c>
      <c r="I77" s="181" t="s">
        <v>470</v>
      </c>
      <c r="J77" s="181" t="s">
        <v>499</v>
      </c>
      <c r="K77" s="181" t="s">
        <v>268</v>
      </c>
      <c r="L77" s="181" t="s">
        <v>310</v>
      </c>
      <c r="M77" s="181" t="n">
        <v>15160</v>
      </c>
      <c r="N77" s="181"/>
      <c r="O77" s="181" t="s">
        <v>271</v>
      </c>
      <c r="P77" s="181" t="n">
        <v>3.68</v>
      </c>
      <c r="Q77" s="181" t="n">
        <v>55788.8</v>
      </c>
      <c r="R77" s="181" t="n">
        <v>4.2072</v>
      </c>
      <c r="S77" s="184" t="n">
        <v>15.482496</v>
      </c>
      <c r="T77" s="184" t="n">
        <v>234714.63936</v>
      </c>
      <c r="U77" s="185" t="n">
        <v>91191168</v>
      </c>
      <c r="V77" s="183" t="n">
        <v>46161</v>
      </c>
      <c r="W77" s="183" t="n">
        <v>46155</v>
      </c>
      <c r="X77" s="181"/>
      <c r="Y77" s="181" t="s">
        <v>455</v>
      </c>
      <c r="Z77" s="181"/>
      <c r="AA77" s="186"/>
    </row>
    <row r="78" customFormat="false" ht="15" hidden="false" customHeight="false" outlineLevel="0" collapsed="false">
      <c r="B78" s="181" t="n">
        <v>73</v>
      </c>
      <c r="C78" s="181" t="s">
        <v>9</v>
      </c>
      <c r="D78" s="181" t="s">
        <v>97</v>
      </c>
      <c r="E78" s="181" t="s">
        <v>605</v>
      </c>
      <c r="F78" s="182" t="s">
        <v>458</v>
      </c>
      <c r="G78" s="181" t="s">
        <v>31</v>
      </c>
      <c r="H78" s="183" t="n">
        <v>46108</v>
      </c>
      <c r="I78" s="181" t="s">
        <v>283</v>
      </c>
      <c r="J78" s="181" t="s">
        <v>606</v>
      </c>
      <c r="K78" s="181" t="s">
        <v>274</v>
      </c>
      <c r="L78" s="181" t="s">
        <v>367</v>
      </c>
      <c r="M78" s="181" t="n">
        <v>2000</v>
      </c>
      <c r="N78" s="181"/>
      <c r="O78" s="181" t="s">
        <v>271</v>
      </c>
      <c r="P78" s="181"/>
      <c r="Q78" s="181" t="n">
        <v>0</v>
      </c>
      <c r="R78" s="181"/>
      <c r="S78" s="184" t="n">
        <v>3.6</v>
      </c>
      <c r="T78" s="184" t="n">
        <v>7200</v>
      </c>
      <c r="U78" s="189" t="n">
        <v>46137</v>
      </c>
      <c r="V78" s="183" t="n">
        <v>46113</v>
      </c>
      <c r="W78" s="183" t="n">
        <v>46142</v>
      </c>
      <c r="X78" s="181"/>
      <c r="Y78" s="181" t="s">
        <v>455</v>
      </c>
      <c r="Z78" s="181" t="s">
        <v>607</v>
      </c>
      <c r="AA78" s="186"/>
    </row>
    <row r="79" customFormat="false" ht="15" hidden="false" customHeight="false" outlineLevel="0" collapsed="false">
      <c r="B79" s="181" t="n">
        <v>74</v>
      </c>
      <c r="C79" s="181" t="s">
        <v>145</v>
      </c>
      <c r="D79" s="181" t="s">
        <v>146</v>
      </c>
      <c r="E79" s="181" t="s">
        <v>608</v>
      </c>
      <c r="F79" s="182" t="s">
        <v>458</v>
      </c>
      <c r="G79" s="181" t="s">
        <v>31</v>
      </c>
      <c r="H79" s="183" t="n">
        <v>46108</v>
      </c>
      <c r="I79" s="181" t="s">
        <v>328</v>
      </c>
      <c r="J79" s="181" t="s">
        <v>609</v>
      </c>
      <c r="K79" s="181" t="s">
        <v>268</v>
      </c>
      <c r="L79" s="181" t="s">
        <v>610</v>
      </c>
      <c r="M79" s="181" t="n">
        <v>500</v>
      </c>
      <c r="N79" s="181"/>
      <c r="O79" s="181" t="s">
        <v>271</v>
      </c>
      <c r="P79" s="181" t="n">
        <v>2.74</v>
      </c>
      <c r="Q79" s="181" t="n">
        <v>1370</v>
      </c>
      <c r="R79" s="181" t="n">
        <v>4.35</v>
      </c>
      <c r="S79" s="184" t="n">
        <v>11.919</v>
      </c>
      <c r="T79" s="184" t="n">
        <v>5959.5</v>
      </c>
      <c r="U79" s="181" t="s">
        <v>611</v>
      </c>
      <c r="V79" s="183" t="n">
        <v>46112</v>
      </c>
      <c r="W79" s="183" t="n">
        <v>46112</v>
      </c>
      <c r="X79" s="181"/>
      <c r="Y79" s="181" t="s">
        <v>455</v>
      </c>
      <c r="Z79" s="181"/>
      <c r="AA79" s="186"/>
    </row>
    <row r="80" customFormat="false" ht="15" hidden="false" customHeight="false" outlineLevel="0" collapsed="false">
      <c r="B80" s="181" t="n">
        <v>75</v>
      </c>
      <c r="C80" s="181" t="s">
        <v>9</v>
      </c>
      <c r="D80" s="181" t="s">
        <v>97</v>
      </c>
      <c r="E80" s="181" t="s">
        <v>612</v>
      </c>
      <c r="F80" s="182" t="s">
        <v>458</v>
      </c>
      <c r="G80" s="181" t="s">
        <v>31</v>
      </c>
      <c r="H80" s="183" t="n">
        <v>46108</v>
      </c>
      <c r="I80" s="181" t="s">
        <v>328</v>
      </c>
      <c r="J80" s="181" t="s">
        <v>496</v>
      </c>
      <c r="K80" s="181" t="s">
        <v>274</v>
      </c>
      <c r="L80" s="181" t="s">
        <v>364</v>
      </c>
      <c r="M80" s="181" t="n">
        <v>2000</v>
      </c>
      <c r="N80" s="181"/>
      <c r="O80" s="181" t="s">
        <v>271</v>
      </c>
      <c r="P80" s="181"/>
      <c r="Q80" s="181"/>
      <c r="R80" s="181"/>
      <c r="S80" s="184" t="n">
        <v>4.2</v>
      </c>
      <c r="T80" s="184" t="n">
        <v>8400</v>
      </c>
      <c r="U80" s="190"/>
      <c r="V80" s="183" t="n">
        <v>46141</v>
      </c>
      <c r="W80" s="183"/>
      <c r="X80" s="181"/>
      <c r="Y80" s="181" t="s">
        <v>455</v>
      </c>
      <c r="Z80" s="181" t="s">
        <v>613</v>
      </c>
      <c r="AA80" s="186"/>
    </row>
    <row r="81" customFormat="false" ht="15" hidden="false" customHeight="false" outlineLevel="0" collapsed="false">
      <c r="B81" s="181" t="n">
        <v>76</v>
      </c>
      <c r="C81" s="181" t="s">
        <v>55</v>
      </c>
      <c r="D81" s="181" t="s">
        <v>56</v>
      </c>
      <c r="E81" s="181" t="s">
        <v>614</v>
      </c>
      <c r="F81" s="182" t="s">
        <v>615</v>
      </c>
      <c r="G81" s="181" t="s">
        <v>31</v>
      </c>
      <c r="H81" s="183" t="n">
        <v>46107</v>
      </c>
      <c r="I81" s="181" t="s">
        <v>305</v>
      </c>
      <c r="J81" s="181" t="s">
        <v>616</v>
      </c>
      <c r="K81" s="181" t="s">
        <v>268</v>
      </c>
      <c r="L81" s="181" t="s">
        <v>316</v>
      </c>
      <c r="M81" s="181" t="n">
        <v>4000</v>
      </c>
      <c r="N81" s="181"/>
      <c r="O81" s="181" t="s">
        <v>271</v>
      </c>
      <c r="P81" s="181" t="n">
        <v>2.97</v>
      </c>
      <c r="Q81" s="181" t="n">
        <v>11880</v>
      </c>
      <c r="R81" s="181" t="n">
        <v>4.35</v>
      </c>
      <c r="S81" s="184" t="n">
        <v>12.9195</v>
      </c>
      <c r="T81" s="184" t="n">
        <v>51678</v>
      </c>
      <c r="U81" s="181"/>
      <c r="V81" s="183" t="n">
        <v>46120</v>
      </c>
      <c r="W81" s="183" t="n">
        <v>46120</v>
      </c>
      <c r="X81" s="181"/>
      <c r="Y81" s="181" t="s">
        <v>455</v>
      </c>
      <c r="Z81" s="181" t="s">
        <v>617</v>
      </c>
      <c r="AA81" s="186"/>
    </row>
    <row r="82" customFormat="false" ht="15" hidden="false" customHeight="false" outlineLevel="0" collapsed="false">
      <c r="B82" s="181" t="n">
        <v>77</v>
      </c>
      <c r="C82" s="181" t="s">
        <v>55</v>
      </c>
      <c r="D82" s="181" t="s">
        <v>56</v>
      </c>
      <c r="E82" s="181" t="s">
        <v>614</v>
      </c>
      <c r="F82" s="182" t="s">
        <v>615</v>
      </c>
      <c r="G82" s="181" t="s">
        <v>31</v>
      </c>
      <c r="H82" s="183" t="n">
        <v>46107</v>
      </c>
      <c r="I82" s="181" t="s">
        <v>305</v>
      </c>
      <c r="J82" s="181" t="s">
        <v>616</v>
      </c>
      <c r="K82" s="181" t="s">
        <v>268</v>
      </c>
      <c r="L82" s="181" t="s">
        <v>316</v>
      </c>
      <c r="M82" s="181" t="n">
        <v>3000</v>
      </c>
      <c r="N82" s="181"/>
      <c r="O82" s="181" t="s">
        <v>271</v>
      </c>
      <c r="P82" s="181" t="n">
        <v>2.97</v>
      </c>
      <c r="Q82" s="181" t="n">
        <v>8910</v>
      </c>
      <c r="R82" s="181" t="n">
        <v>4.35</v>
      </c>
      <c r="S82" s="184" t="n">
        <v>12.9195</v>
      </c>
      <c r="T82" s="184" t="n">
        <v>38758.5</v>
      </c>
      <c r="U82" s="181"/>
      <c r="V82" s="183" t="n">
        <v>46135</v>
      </c>
      <c r="W82" s="183" t="n">
        <v>46135</v>
      </c>
      <c r="X82" s="181"/>
      <c r="Y82" s="181" t="s">
        <v>455</v>
      </c>
      <c r="Z82" s="181" t="s">
        <v>618</v>
      </c>
      <c r="AA82" s="186"/>
    </row>
    <row r="83" customFormat="false" ht="15" hidden="false" customHeight="false" outlineLevel="0" collapsed="false">
      <c r="B83" s="181" t="n">
        <v>78</v>
      </c>
      <c r="C83" s="181" t="s">
        <v>55</v>
      </c>
      <c r="D83" s="181" t="s">
        <v>56</v>
      </c>
      <c r="E83" s="181" t="s">
        <v>619</v>
      </c>
      <c r="F83" s="182" t="s">
        <v>620</v>
      </c>
      <c r="G83" s="181" t="s">
        <v>31</v>
      </c>
      <c r="H83" s="183" t="n">
        <v>46107</v>
      </c>
      <c r="I83" s="181" t="s">
        <v>305</v>
      </c>
      <c r="J83" s="181" t="s">
        <v>616</v>
      </c>
      <c r="K83" s="181" t="s">
        <v>268</v>
      </c>
      <c r="L83" s="181" t="s">
        <v>316</v>
      </c>
      <c r="M83" s="181" t="n">
        <v>2000</v>
      </c>
      <c r="N83" s="181"/>
      <c r="O83" s="181" t="s">
        <v>271</v>
      </c>
      <c r="P83" s="181" t="n">
        <v>2.97</v>
      </c>
      <c r="Q83" s="181" t="n">
        <v>8910</v>
      </c>
      <c r="R83" s="181" t="n">
        <v>4.35</v>
      </c>
      <c r="S83" s="184" t="n">
        <v>12.9195</v>
      </c>
      <c r="T83" s="184" t="n">
        <v>38758.5</v>
      </c>
      <c r="U83" s="181"/>
      <c r="V83" s="183" t="n">
        <v>46139</v>
      </c>
      <c r="W83" s="183" t="n">
        <v>46139</v>
      </c>
      <c r="X83" s="181"/>
      <c r="Y83" s="181" t="s">
        <v>455</v>
      </c>
      <c r="Z83" s="181" t="s">
        <v>617</v>
      </c>
      <c r="AA83" s="186"/>
    </row>
    <row r="84" customFormat="false" ht="15" hidden="false" customHeight="false" outlineLevel="0" collapsed="false">
      <c r="B84" s="181" t="n">
        <v>79</v>
      </c>
      <c r="C84" s="181" t="s">
        <v>55</v>
      </c>
      <c r="D84" s="181" t="s">
        <v>56</v>
      </c>
      <c r="E84" s="181" t="s">
        <v>619</v>
      </c>
      <c r="F84" s="182" t="s">
        <v>620</v>
      </c>
      <c r="G84" s="181" t="s">
        <v>31</v>
      </c>
      <c r="H84" s="183" t="n">
        <v>46107</v>
      </c>
      <c r="I84" s="181" t="s">
        <v>305</v>
      </c>
      <c r="J84" s="181" t="s">
        <v>616</v>
      </c>
      <c r="K84" s="181" t="s">
        <v>268</v>
      </c>
      <c r="L84" s="181" t="s">
        <v>316</v>
      </c>
      <c r="M84" s="181" t="n">
        <v>1000</v>
      </c>
      <c r="N84" s="181"/>
      <c r="O84" s="181" t="s">
        <v>271</v>
      </c>
      <c r="P84" s="181" t="n">
        <v>2.97</v>
      </c>
      <c r="Q84" s="181" t="n">
        <v>5940</v>
      </c>
      <c r="R84" s="181" t="n">
        <v>4.35</v>
      </c>
      <c r="S84" s="184" t="n">
        <v>12.9195</v>
      </c>
      <c r="T84" s="184" t="n">
        <v>25839</v>
      </c>
      <c r="U84" s="181"/>
      <c r="V84" s="183" t="n">
        <v>46140</v>
      </c>
      <c r="W84" s="183" t="n">
        <v>46140</v>
      </c>
      <c r="X84" s="181"/>
      <c r="Y84" s="181" t="s">
        <v>455</v>
      </c>
      <c r="Z84" s="181" t="s">
        <v>618</v>
      </c>
      <c r="AA84" s="186"/>
    </row>
    <row r="85" customFormat="false" ht="15" hidden="false" customHeight="false" outlineLevel="0" collapsed="false">
      <c r="B85" s="181" t="n">
        <v>80</v>
      </c>
      <c r="C85" s="181" t="s">
        <v>55</v>
      </c>
      <c r="D85" s="181" t="s">
        <v>56</v>
      </c>
      <c r="E85" s="181" t="s">
        <v>619</v>
      </c>
      <c r="F85" s="182" t="s">
        <v>620</v>
      </c>
      <c r="G85" s="181" t="s">
        <v>31</v>
      </c>
      <c r="H85" s="183" t="n">
        <v>46107</v>
      </c>
      <c r="I85" s="181" t="s">
        <v>305</v>
      </c>
      <c r="J85" s="181" t="s">
        <v>616</v>
      </c>
      <c r="K85" s="181" t="s">
        <v>268</v>
      </c>
      <c r="L85" s="181" t="s">
        <v>316</v>
      </c>
      <c r="M85" s="181" t="n">
        <v>4000</v>
      </c>
      <c r="N85" s="181"/>
      <c r="O85" s="181" t="s">
        <v>271</v>
      </c>
      <c r="P85" s="181" t="n">
        <v>2.97</v>
      </c>
      <c r="Q85" s="181" t="n">
        <v>5940</v>
      </c>
      <c r="R85" s="181" t="n">
        <v>4.35</v>
      </c>
      <c r="S85" s="184" t="n">
        <v>12.9195</v>
      </c>
      <c r="T85" s="184" t="n">
        <v>25839</v>
      </c>
      <c r="U85" s="181"/>
      <c r="V85" s="183" t="n">
        <v>46147</v>
      </c>
      <c r="W85" s="183" t="n">
        <v>46147</v>
      </c>
      <c r="X85" s="181"/>
      <c r="Y85" s="181" t="s">
        <v>455</v>
      </c>
      <c r="Z85" s="181" t="s">
        <v>621</v>
      </c>
      <c r="AA85" s="186"/>
    </row>
    <row r="86" customFormat="false" ht="15" hidden="false" customHeight="false" outlineLevel="0" collapsed="false">
      <c r="B86" s="181" t="n">
        <v>81</v>
      </c>
      <c r="C86" s="181" t="s">
        <v>11</v>
      </c>
      <c r="D86" s="181" t="s">
        <v>92</v>
      </c>
      <c r="E86" s="181" t="s">
        <v>622</v>
      </c>
      <c r="F86" s="182" t="s">
        <v>458</v>
      </c>
      <c r="G86" s="181" t="s">
        <v>31</v>
      </c>
      <c r="H86" s="183" t="n">
        <v>46111</v>
      </c>
      <c r="I86" s="181" t="s">
        <v>328</v>
      </c>
      <c r="J86" s="181" t="s">
        <v>623</v>
      </c>
      <c r="K86" s="181" t="s">
        <v>287</v>
      </c>
      <c r="L86" s="181"/>
      <c r="M86" s="181" t="n">
        <v>500</v>
      </c>
      <c r="N86" s="181"/>
      <c r="O86" s="181" t="s">
        <v>271</v>
      </c>
      <c r="P86" s="181" t="n">
        <v>1.95</v>
      </c>
      <c r="Q86" s="181" t="n">
        <v>500</v>
      </c>
      <c r="R86" s="181" t="n">
        <v>4.35</v>
      </c>
      <c r="S86" s="184"/>
      <c r="T86" s="184"/>
      <c r="U86" s="181"/>
      <c r="V86" s="183" t="n">
        <v>46127</v>
      </c>
      <c r="W86" s="183" t="n">
        <v>46127</v>
      </c>
      <c r="X86" s="181"/>
      <c r="Y86" s="181" t="s">
        <v>455</v>
      </c>
      <c r="Z86" s="181"/>
      <c r="AA86" s="186"/>
    </row>
    <row r="87" customFormat="false" ht="15" hidden="false" customHeight="false" outlineLevel="0" collapsed="false">
      <c r="B87" s="181" t="n">
        <v>82</v>
      </c>
      <c r="C87" s="181" t="s">
        <v>159</v>
      </c>
      <c r="D87" s="181" t="s">
        <v>160</v>
      </c>
      <c r="E87" s="181" t="s">
        <v>624</v>
      </c>
      <c r="F87" s="182" t="s">
        <v>458</v>
      </c>
      <c r="G87" s="181" t="s">
        <v>31</v>
      </c>
      <c r="H87" s="183" t="n">
        <v>46120</v>
      </c>
      <c r="I87" s="181" t="s">
        <v>422</v>
      </c>
      <c r="J87" s="181" t="s">
        <v>625</v>
      </c>
      <c r="K87" s="181" t="s">
        <v>274</v>
      </c>
      <c r="L87" s="181" t="s">
        <v>424</v>
      </c>
      <c r="M87" s="181" t="n">
        <v>1175</v>
      </c>
      <c r="N87" s="181"/>
      <c r="O87" s="181" t="s">
        <v>271</v>
      </c>
      <c r="P87" s="181"/>
      <c r="Q87" s="181"/>
      <c r="R87" s="181"/>
      <c r="S87" s="184" t="n">
        <v>7.9</v>
      </c>
      <c r="T87" s="184" t="n">
        <f aca="false">M87 *S87</f>
        <v>9282.5</v>
      </c>
      <c r="U87" s="181" t="s">
        <v>626</v>
      </c>
      <c r="V87" s="183" t="n">
        <v>46134</v>
      </c>
      <c r="W87" s="183" t="n">
        <v>46140</v>
      </c>
      <c r="X87" s="181" t="n">
        <v>6</v>
      </c>
      <c r="Y87" s="181" t="s">
        <v>455</v>
      </c>
      <c r="Z87" s="181"/>
      <c r="AA87" s="186"/>
    </row>
    <row r="88" customFormat="false" ht="15" hidden="false" customHeight="false" outlineLevel="0" collapsed="false">
      <c r="B88" s="181" t="n">
        <v>83</v>
      </c>
      <c r="C88" s="181" t="s">
        <v>9</v>
      </c>
      <c r="D88" s="181" t="s">
        <v>97</v>
      </c>
      <c r="E88" s="181" t="s">
        <v>627</v>
      </c>
      <c r="F88" s="182" t="s">
        <v>458</v>
      </c>
      <c r="G88" s="181" t="s">
        <v>31</v>
      </c>
      <c r="H88" s="183" t="n">
        <v>46122</v>
      </c>
      <c r="I88" s="181" t="s">
        <v>328</v>
      </c>
      <c r="J88" s="181" t="s">
        <v>496</v>
      </c>
      <c r="K88" s="181" t="s">
        <v>274</v>
      </c>
      <c r="L88" s="181" t="s">
        <v>364</v>
      </c>
      <c r="M88" s="181" t="n">
        <v>4000</v>
      </c>
      <c r="N88" s="181"/>
      <c r="O88" s="181" t="s">
        <v>271</v>
      </c>
      <c r="P88" s="181"/>
      <c r="Q88" s="181"/>
      <c r="R88" s="181"/>
      <c r="S88" s="184" t="n">
        <v>4.2</v>
      </c>
      <c r="T88" s="184" t="n">
        <v>16800</v>
      </c>
      <c r="U88" s="190"/>
      <c r="V88" s="183" t="n">
        <v>46149</v>
      </c>
      <c r="W88" s="183"/>
      <c r="X88" s="181"/>
      <c r="Y88" s="181" t="s">
        <v>455</v>
      </c>
      <c r="Z88" s="181"/>
      <c r="AA88" s="186"/>
    </row>
    <row r="89" s="191" customFormat="true" ht="15" hidden="false" customHeight="false" outlineLevel="0" collapsed="false">
      <c r="B89" s="181" t="n">
        <v>84</v>
      </c>
      <c r="C89" s="181" t="s">
        <v>9</v>
      </c>
      <c r="D89" s="181" t="s">
        <v>97</v>
      </c>
      <c r="E89" s="181" t="s">
        <v>628</v>
      </c>
      <c r="F89" s="182" t="s">
        <v>458</v>
      </c>
      <c r="G89" s="181" t="s">
        <v>31</v>
      </c>
      <c r="H89" s="183" t="n">
        <v>46122</v>
      </c>
      <c r="I89" s="181" t="s">
        <v>328</v>
      </c>
      <c r="J89" s="181" t="s">
        <v>549</v>
      </c>
      <c r="K89" s="181" t="s">
        <v>287</v>
      </c>
      <c r="L89" s="181" t="s">
        <v>430</v>
      </c>
      <c r="M89" s="181" t="n">
        <v>5000</v>
      </c>
      <c r="N89" s="181" t="n">
        <v>4479</v>
      </c>
      <c r="O89" s="181" t="s">
        <v>271</v>
      </c>
      <c r="P89" s="181"/>
      <c r="Q89" s="181"/>
      <c r="R89" s="181"/>
      <c r="S89" s="184" t="n">
        <v>5.2</v>
      </c>
      <c r="T89" s="184" t="n">
        <f aca="false">N89*S89</f>
        <v>23290.8</v>
      </c>
      <c r="U89" s="190"/>
      <c r="V89" s="183" t="n">
        <v>46171</v>
      </c>
      <c r="W89" s="183" t="n">
        <v>46171</v>
      </c>
      <c r="X89" s="181"/>
      <c r="Y89" s="181" t="s">
        <v>455</v>
      </c>
      <c r="Z89" s="181"/>
      <c r="AA89" s="186"/>
    </row>
    <row r="90" customFormat="false" ht="15" hidden="false" customHeight="false" outlineLevel="0" collapsed="false">
      <c r="B90" s="181" t="n">
        <v>85</v>
      </c>
      <c r="C90" s="181" t="s">
        <v>9</v>
      </c>
      <c r="D90" s="181" t="s">
        <v>97</v>
      </c>
      <c r="E90" s="181" t="s">
        <v>629</v>
      </c>
      <c r="F90" s="182" t="s">
        <v>458</v>
      </c>
      <c r="G90" s="181" t="s">
        <v>31</v>
      </c>
      <c r="H90" s="183" t="n">
        <v>46122</v>
      </c>
      <c r="I90" s="181" t="s">
        <v>283</v>
      </c>
      <c r="J90" s="181" t="s">
        <v>606</v>
      </c>
      <c r="K90" s="181" t="s">
        <v>274</v>
      </c>
      <c r="L90" s="181" t="s">
        <v>367</v>
      </c>
      <c r="M90" s="181" t="n">
        <v>3000</v>
      </c>
      <c r="N90" s="181"/>
      <c r="O90" s="181" t="s">
        <v>271</v>
      </c>
      <c r="P90" s="181"/>
      <c r="Q90" s="181" t="n">
        <v>0</v>
      </c>
      <c r="R90" s="181"/>
      <c r="S90" s="184" t="n">
        <v>3.6</v>
      </c>
      <c r="T90" s="184" t="n">
        <v>10800</v>
      </c>
      <c r="U90" s="190"/>
      <c r="V90" s="183" t="n">
        <v>46139</v>
      </c>
      <c r="W90" s="183" t="n">
        <v>46148</v>
      </c>
      <c r="X90" s="181"/>
      <c r="Y90" s="181" t="s">
        <v>455</v>
      </c>
      <c r="Z90" s="181"/>
      <c r="AA90" s="186"/>
    </row>
    <row r="91" customFormat="false" ht="15" hidden="false" customHeight="false" outlineLevel="0" collapsed="false">
      <c r="B91" s="181" t="n">
        <v>86</v>
      </c>
      <c r="C91" s="181" t="s">
        <v>406</v>
      </c>
      <c r="D91" s="181" t="s">
        <v>140</v>
      </c>
      <c r="E91" s="181" t="s">
        <v>630</v>
      </c>
      <c r="F91" s="182" t="s">
        <v>458</v>
      </c>
      <c r="G91" s="181" t="s">
        <v>31</v>
      </c>
      <c r="H91" s="183" t="n">
        <v>46122</v>
      </c>
      <c r="I91" s="181" t="s">
        <v>587</v>
      </c>
      <c r="J91" s="181" t="s">
        <v>588</v>
      </c>
      <c r="K91" s="181" t="s">
        <v>274</v>
      </c>
      <c r="L91" s="181" t="s">
        <v>408</v>
      </c>
      <c r="M91" s="181" t="n">
        <v>2000</v>
      </c>
      <c r="N91" s="181"/>
      <c r="O91" s="181" t="s">
        <v>271</v>
      </c>
      <c r="P91" s="181"/>
      <c r="Q91" s="181" t="n">
        <v>0</v>
      </c>
      <c r="R91" s="181"/>
      <c r="S91" s="184" t="n">
        <v>4.6</v>
      </c>
      <c r="T91" s="184" t="n">
        <v>9200</v>
      </c>
      <c r="U91" s="181"/>
      <c r="V91" s="183" t="n">
        <v>46146</v>
      </c>
      <c r="W91" s="183" t="n">
        <v>46146</v>
      </c>
      <c r="X91" s="181"/>
      <c r="Y91" s="181" t="s">
        <v>455</v>
      </c>
      <c r="Z91" s="181"/>
      <c r="AA91" s="181"/>
    </row>
    <row r="92" customFormat="false" ht="15" hidden="false" customHeight="false" outlineLevel="0" collapsed="false">
      <c r="B92" s="181" t="n">
        <v>87</v>
      </c>
      <c r="C92" s="181" t="s">
        <v>9</v>
      </c>
      <c r="D92" s="181" t="s">
        <v>97</v>
      </c>
      <c r="E92" s="181" t="s">
        <v>631</v>
      </c>
      <c r="F92" s="182" t="s">
        <v>458</v>
      </c>
      <c r="G92" s="181" t="s">
        <v>31</v>
      </c>
      <c r="H92" s="183" t="n">
        <v>46132</v>
      </c>
      <c r="I92" s="181" t="s">
        <v>283</v>
      </c>
      <c r="J92" s="181" t="s">
        <v>632</v>
      </c>
      <c r="K92" s="181" t="s">
        <v>287</v>
      </c>
      <c r="L92" s="181" t="s">
        <v>369</v>
      </c>
      <c r="M92" s="181" t="n">
        <v>2000</v>
      </c>
      <c r="N92" s="181"/>
      <c r="O92" s="181" t="s">
        <v>271</v>
      </c>
      <c r="P92" s="181"/>
      <c r="Q92" s="181" t="n">
        <v>0</v>
      </c>
      <c r="R92" s="181"/>
      <c r="S92" s="184" t="n">
        <v>5.9</v>
      </c>
      <c r="T92" s="184" t="n">
        <v>11800</v>
      </c>
      <c r="U92" s="190"/>
      <c r="V92" s="183" t="n">
        <v>46142</v>
      </c>
      <c r="W92" s="183" t="n">
        <v>46141</v>
      </c>
      <c r="X92" s="181"/>
      <c r="Y92" s="181" t="s">
        <v>455</v>
      </c>
      <c r="Z92" s="181"/>
      <c r="AA92" s="186"/>
    </row>
    <row r="93" customFormat="false" ht="15" hidden="false" customHeight="false" outlineLevel="0" collapsed="false">
      <c r="B93" s="181" t="n">
        <v>88</v>
      </c>
      <c r="C93" s="181" t="s">
        <v>8</v>
      </c>
      <c r="D93" s="181" t="s">
        <v>42</v>
      </c>
      <c r="E93" s="181" t="s">
        <v>633</v>
      </c>
      <c r="F93" s="182" t="s">
        <v>458</v>
      </c>
      <c r="G93" s="181" t="s">
        <v>31</v>
      </c>
      <c r="H93" s="183" t="n">
        <v>46135</v>
      </c>
      <c r="I93" s="181" t="s">
        <v>17</v>
      </c>
      <c r="J93" s="181" t="s">
        <v>19</v>
      </c>
      <c r="K93" s="181" t="s">
        <v>268</v>
      </c>
      <c r="L93" s="181" t="s">
        <v>277</v>
      </c>
      <c r="M93" s="181" t="n">
        <v>400</v>
      </c>
      <c r="N93" s="181"/>
      <c r="O93" s="181" t="s">
        <v>271</v>
      </c>
      <c r="P93" s="181"/>
      <c r="Q93" s="181"/>
      <c r="R93" s="181"/>
      <c r="S93" s="184" t="n">
        <v>13</v>
      </c>
      <c r="T93" s="184" t="n">
        <v>5200</v>
      </c>
      <c r="U93" s="181" t="s">
        <v>634</v>
      </c>
      <c r="V93" s="183" t="n">
        <v>46135</v>
      </c>
      <c r="W93" s="183" t="n">
        <v>46136</v>
      </c>
      <c r="X93" s="181"/>
      <c r="Y93" s="181" t="s">
        <v>455</v>
      </c>
      <c r="Z93" s="181"/>
      <c r="AA93" s="186"/>
    </row>
    <row r="94" customFormat="false" ht="15" hidden="false" customHeight="false" outlineLevel="0" collapsed="false">
      <c r="B94" s="181" t="n">
        <v>89</v>
      </c>
      <c r="C94" s="181" t="s">
        <v>8</v>
      </c>
      <c r="D94" s="181" t="s">
        <v>42</v>
      </c>
      <c r="E94" s="181" t="s">
        <v>633</v>
      </c>
      <c r="F94" s="182" t="s">
        <v>458</v>
      </c>
      <c r="G94" s="181" t="s">
        <v>31</v>
      </c>
      <c r="H94" s="183" t="n">
        <v>46135</v>
      </c>
      <c r="I94" s="181" t="s">
        <v>17</v>
      </c>
      <c r="J94" s="181" t="s">
        <v>598</v>
      </c>
      <c r="K94" s="181" t="s">
        <v>268</v>
      </c>
      <c r="L94" s="181" t="s">
        <v>275</v>
      </c>
      <c r="M94" s="181" t="n">
        <v>300</v>
      </c>
      <c r="N94" s="181"/>
      <c r="O94" s="181" t="s">
        <v>271</v>
      </c>
      <c r="P94" s="181"/>
      <c r="Q94" s="181"/>
      <c r="R94" s="181"/>
      <c r="S94" s="184" t="n">
        <v>12.6</v>
      </c>
      <c r="T94" s="184" t="n">
        <v>3780</v>
      </c>
      <c r="U94" s="181" t="s">
        <v>634</v>
      </c>
      <c r="V94" s="183" t="n">
        <v>46135</v>
      </c>
      <c r="W94" s="183" t="n">
        <v>46136</v>
      </c>
      <c r="X94" s="181"/>
      <c r="Y94" s="181" t="s">
        <v>455</v>
      </c>
      <c r="Z94" s="181"/>
      <c r="AA94" s="186"/>
    </row>
    <row r="95" customFormat="false" ht="15" hidden="false" customHeight="false" outlineLevel="0" collapsed="false">
      <c r="B95" s="181" t="n">
        <v>90</v>
      </c>
      <c r="C95" s="181" t="s">
        <v>8</v>
      </c>
      <c r="D95" s="181" t="s">
        <v>42</v>
      </c>
      <c r="E95" s="181" t="s">
        <v>633</v>
      </c>
      <c r="F95" s="182" t="s">
        <v>458</v>
      </c>
      <c r="G95" s="181" t="s">
        <v>31</v>
      </c>
      <c r="H95" s="183" t="n">
        <v>46135</v>
      </c>
      <c r="I95" s="181" t="s">
        <v>17</v>
      </c>
      <c r="J95" s="181" t="s">
        <v>635</v>
      </c>
      <c r="K95" s="181" t="s">
        <v>268</v>
      </c>
      <c r="L95" s="181" t="s">
        <v>280</v>
      </c>
      <c r="M95" s="181" t="n">
        <v>200</v>
      </c>
      <c r="N95" s="181"/>
      <c r="O95" s="181" t="s">
        <v>271</v>
      </c>
      <c r="P95" s="181"/>
      <c r="Q95" s="181"/>
      <c r="R95" s="181"/>
      <c r="S95" s="184" t="n">
        <v>14.5</v>
      </c>
      <c r="T95" s="184" t="n">
        <v>2900</v>
      </c>
      <c r="U95" s="181" t="s">
        <v>634</v>
      </c>
      <c r="V95" s="183" t="n">
        <v>46135</v>
      </c>
      <c r="W95" s="183" t="n">
        <v>46139</v>
      </c>
      <c r="X95" s="181"/>
      <c r="Y95" s="181" t="s">
        <v>455</v>
      </c>
      <c r="Z95" s="181"/>
      <c r="AA95" s="186"/>
    </row>
    <row r="96" customFormat="false" ht="15" hidden="false" customHeight="false" outlineLevel="0" collapsed="false">
      <c r="B96" s="181" t="n">
        <v>91</v>
      </c>
      <c r="C96" s="181" t="s">
        <v>5</v>
      </c>
      <c r="D96" s="181" t="s">
        <v>81</v>
      </c>
      <c r="E96" s="181" t="s">
        <v>636</v>
      </c>
      <c r="F96" s="182" t="s">
        <v>458</v>
      </c>
      <c r="G96" s="181" t="s">
        <v>31</v>
      </c>
      <c r="H96" s="183" t="n">
        <v>46136</v>
      </c>
      <c r="I96" s="181" t="s">
        <v>24</v>
      </c>
      <c r="J96" s="181" t="s">
        <v>385</v>
      </c>
      <c r="K96" s="181" t="s">
        <v>473</v>
      </c>
      <c r="L96" s="181" t="s">
        <v>327</v>
      </c>
      <c r="M96" s="181" t="n">
        <v>2000</v>
      </c>
      <c r="N96" s="181" t="n">
        <v>2083</v>
      </c>
      <c r="O96" s="181" t="s">
        <v>271</v>
      </c>
      <c r="P96" s="181"/>
      <c r="Q96" s="181" t="n">
        <v>0</v>
      </c>
      <c r="R96" s="181"/>
      <c r="S96" s="184" t="n">
        <v>6</v>
      </c>
      <c r="T96" s="184" t="n">
        <f aca="false">N96 *S96</f>
        <v>12498</v>
      </c>
      <c r="U96" s="181" t="s">
        <v>637</v>
      </c>
      <c r="V96" s="183" t="n">
        <v>46162</v>
      </c>
      <c r="W96" s="183" t="n">
        <v>46156</v>
      </c>
      <c r="X96" s="181"/>
      <c r="Y96" s="181" t="s">
        <v>455</v>
      </c>
      <c r="Z96" s="181"/>
      <c r="AA96" s="186"/>
    </row>
    <row r="97" s="191" customFormat="true" ht="15" hidden="false" customHeight="false" outlineLevel="0" collapsed="false">
      <c r="B97" s="181" t="n">
        <v>92</v>
      </c>
      <c r="C97" s="181" t="s">
        <v>11</v>
      </c>
      <c r="D97" s="181" t="s">
        <v>92</v>
      </c>
      <c r="E97" s="181" t="s">
        <v>638</v>
      </c>
      <c r="F97" s="182" t="s">
        <v>458</v>
      </c>
      <c r="G97" s="181" t="s">
        <v>31</v>
      </c>
      <c r="H97" s="183" t="n">
        <v>46136</v>
      </c>
      <c r="I97" s="181" t="s">
        <v>328</v>
      </c>
      <c r="J97" s="181" t="s">
        <v>623</v>
      </c>
      <c r="K97" s="181" t="s">
        <v>287</v>
      </c>
      <c r="L97" s="181"/>
      <c r="M97" s="181" t="n">
        <v>500</v>
      </c>
      <c r="N97" s="181"/>
      <c r="O97" s="181" t="s">
        <v>271</v>
      </c>
      <c r="P97" s="181" t="n">
        <v>3.05</v>
      </c>
      <c r="Q97" s="181" t="n">
        <v>500</v>
      </c>
      <c r="R97" s="181" t="n">
        <v>4.35</v>
      </c>
      <c r="S97" s="184"/>
      <c r="T97" s="184"/>
      <c r="U97" s="181" t="n">
        <v>26004293</v>
      </c>
      <c r="V97" s="183" t="n">
        <v>46157</v>
      </c>
      <c r="W97" s="183"/>
      <c r="X97" s="181"/>
      <c r="Y97" s="181" t="s">
        <v>455</v>
      </c>
      <c r="Z97" s="181"/>
      <c r="AA97" s="186"/>
    </row>
    <row r="98" customFormat="false" ht="15" hidden="false" customHeight="false" outlineLevel="0" collapsed="false">
      <c r="B98" s="181" t="n">
        <v>93</v>
      </c>
      <c r="C98" s="181" t="s">
        <v>522</v>
      </c>
      <c r="D98" s="181" t="s">
        <v>129</v>
      </c>
      <c r="E98" s="181" t="s">
        <v>639</v>
      </c>
      <c r="F98" s="182" t="s">
        <v>640</v>
      </c>
      <c r="G98" s="181" t="s">
        <v>31</v>
      </c>
      <c r="H98" s="183" t="n">
        <v>46128</v>
      </c>
      <c r="I98" s="181" t="s">
        <v>525</v>
      </c>
      <c r="J98" s="181" t="s">
        <v>641</v>
      </c>
      <c r="K98" s="181" t="s">
        <v>299</v>
      </c>
      <c r="L98" s="181"/>
      <c r="M98" s="181" t="n">
        <v>4000</v>
      </c>
      <c r="N98" s="181"/>
      <c r="O98" s="181" t="s">
        <v>271</v>
      </c>
      <c r="P98" s="181" t="n">
        <v>3.6</v>
      </c>
      <c r="Q98" s="181" t="n">
        <v>14400</v>
      </c>
      <c r="R98" s="181"/>
      <c r="S98" s="184"/>
      <c r="T98" s="184"/>
      <c r="U98" s="181"/>
      <c r="V98" s="183" t="n">
        <v>46203</v>
      </c>
      <c r="W98" s="183" t="n">
        <v>46199</v>
      </c>
      <c r="X98" s="181"/>
      <c r="Y98" s="181" t="s">
        <v>455</v>
      </c>
      <c r="Z98" s="181"/>
      <c r="AA98" s="186"/>
    </row>
    <row r="99" customFormat="false" ht="15" hidden="false" customHeight="false" outlineLevel="0" collapsed="false">
      <c r="B99" s="181" t="n">
        <v>94</v>
      </c>
      <c r="C99" s="181" t="s">
        <v>6</v>
      </c>
      <c r="D99" s="181" t="s">
        <v>50</v>
      </c>
      <c r="E99" s="181" t="s">
        <v>642</v>
      </c>
      <c r="F99" s="182" t="n">
        <v>446306</v>
      </c>
      <c r="G99" s="181" t="s">
        <v>31</v>
      </c>
      <c r="H99" s="183" t="n">
        <v>46106</v>
      </c>
      <c r="I99" s="181" t="s">
        <v>470</v>
      </c>
      <c r="J99" s="181" t="s">
        <v>643</v>
      </c>
      <c r="K99" s="181" t="s">
        <v>268</v>
      </c>
      <c r="L99" s="181" t="s">
        <v>644</v>
      </c>
      <c r="M99" s="181" t="n">
        <v>4000</v>
      </c>
      <c r="N99" s="181"/>
      <c r="O99" s="181" t="s">
        <v>271</v>
      </c>
      <c r="P99" s="181" t="n">
        <v>3.45</v>
      </c>
      <c r="Q99" s="181" t="n">
        <v>14490</v>
      </c>
      <c r="R99" s="181" t="n">
        <v>4.35</v>
      </c>
      <c r="S99" s="184" t="n">
        <v>15.0075</v>
      </c>
      <c r="T99" s="184" t="n">
        <v>63031.5</v>
      </c>
      <c r="U99" s="185" t="n">
        <v>91194078</v>
      </c>
      <c r="V99" s="183" t="n">
        <v>46190</v>
      </c>
      <c r="W99" s="183" t="n">
        <v>46212</v>
      </c>
      <c r="X99" s="181"/>
      <c r="Y99" s="181" t="s">
        <v>455</v>
      </c>
      <c r="Z99" s="181" t="s">
        <v>645</v>
      </c>
      <c r="AA99" s="181"/>
    </row>
    <row r="100" customFormat="false" ht="15" hidden="false" customHeight="false" outlineLevel="0" collapsed="false">
      <c r="B100" s="181" t="n">
        <v>95</v>
      </c>
      <c r="C100" s="181" t="s">
        <v>86</v>
      </c>
      <c r="D100" s="181" t="s">
        <v>88</v>
      </c>
      <c r="E100" s="181" t="s">
        <v>646</v>
      </c>
      <c r="F100" s="182" t="s">
        <v>468</v>
      </c>
      <c r="G100" s="181" t="s">
        <v>31</v>
      </c>
      <c r="H100" s="183" t="n">
        <v>46090</v>
      </c>
      <c r="I100" s="181" t="s">
        <v>283</v>
      </c>
      <c r="J100" s="181" t="s">
        <v>481</v>
      </c>
      <c r="K100" s="181" t="s">
        <v>274</v>
      </c>
      <c r="L100" s="181" t="s">
        <v>334</v>
      </c>
      <c r="M100" s="181" t="n">
        <v>3000</v>
      </c>
      <c r="N100" s="181"/>
      <c r="O100" s="181" t="s">
        <v>271</v>
      </c>
      <c r="P100" s="181"/>
      <c r="Q100" s="181" t="n">
        <v>0</v>
      </c>
      <c r="R100" s="181"/>
      <c r="S100" s="184" t="n">
        <v>3.8</v>
      </c>
      <c r="T100" s="184" t="n">
        <f aca="false">M100 * S100</f>
        <v>11400</v>
      </c>
      <c r="U100" s="181"/>
      <c r="V100" s="183" t="n">
        <v>46198</v>
      </c>
      <c r="W100" s="183" t="n">
        <v>46198</v>
      </c>
      <c r="X100" s="181" t="n">
        <v>0</v>
      </c>
      <c r="Y100" s="181" t="s">
        <v>455</v>
      </c>
      <c r="Z100" s="181" t="s">
        <v>647</v>
      </c>
      <c r="AA100" s="181"/>
    </row>
    <row r="101" customFormat="false" ht="15" hidden="false" customHeight="false" outlineLevel="0" collapsed="false">
      <c r="B101" s="181" t="n">
        <v>96</v>
      </c>
      <c r="C101" s="181" t="s">
        <v>9</v>
      </c>
      <c r="D101" s="181" t="s">
        <v>97</v>
      </c>
      <c r="E101" s="181" t="s">
        <v>648</v>
      </c>
      <c r="F101" s="182" t="s">
        <v>458</v>
      </c>
      <c r="G101" s="181" t="s">
        <v>31</v>
      </c>
      <c r="H101" s="183" t="n">
        <v>46140</v>
      </c>
      <c r="I101" s="181" t="s">
        <v>328</v>
      </c>
      <c r="J101" s="181" t="s">
        <v>496</v>
      </c>
      <c r="K101" s="181" t="s">
        <v>274</v>
      </c>
      <c r="L101" s="181" t="s">
        <v>364</v>
      </c>
      <c r="M101" s="181" t="n">
        <v>1803</v>
      </c>
      <c r="N101" s="181"/>
      <c r="O101" s="181" t="s">
        <v>271</v>
      </c>
      <c r="P101" s="181"/>
      <c r="Q101" s="181"/>
      <c r="R101" s="181"/>
      <c r="S101" s="184" t="n">
        <v>4.2</v>
      </c>
      <c r="T101" s="184" t="n">
        <f aca="false">M101 * S101</f>
        <v>7572.6</v>
      </c>
      <c r="U101" s="190" t="s">
        <v>649</v>
      </c>
      <c r="V101" s="183" t="n">
        <v>46190</v>
      </c>
      <c r="W101" s="183" t="n">
        <v>46196</v>
      </c>
      <c r="X101" s="181"/>
      <c r="Y101" s="181" t="s">
        <v>455</v>
      </c>
      <c r="Z101" s="181" t="s">
        <v>650</v>
      </c>
      <c r="AA101" s="181"/>
    </row>
    <row r="102" customFormat="false" ht="15" hidden="false" customHeight="false" outlineLevel="0" collapsed="false">
      <c r="B102" s="181" t="n">
        <v>97</v>
      </c>
      <c r="C102" s="181" t="s">
        <v>9</v>
      </c>
      <c r="D102" s="181" t="s">
        <v>97</v>
      </c>
      <c r="E102" s="181" t="s">
        <v>648</v>
      </c>
      <c r="F102" s="182" t="s">
        <v>458</v>
      </c>
      <c r="G102" s="181" t="s">
        <v>31</v>
      </c>
      <c r="H102" s="183" t="n">
        <v>46140</v>
      </c>
      <c r="I102" s="181" t="s">
        <v>328</v>
      </c>
      <c r="J102" s="181" t="s">
        <v>496</v>
      </c>
      <c r="K102" s="181" t="s">
        <v>274</v>
      </c>
      <c r="L102" s="181" t="s">
        <v>364</v>
      </c>
      <c r="M102" s="181" t="n">
        <v>3004</v>
      </c>
      <c r="N102" s="181"/>
      <c r="O102" s="181" t="s">
        <v>271</v>
      </c>
      <c r="P102" s="181"/>
      <c r="Q102" s="181"/>
      <c r="R102" s="181"/>
      <c r="S102" s="184" t="n">
        <v>4.2</v>
      </c>
      <c r="T102" s="184" t="n">
        <f aca="false">M102 * S102</f>
        <v>12616.8</v>
      </c>
      <c r="U102" s="190" t="s">
        <v>651</v>
      </c>
      <c r="V102" s="183" t="n">
        <v>46205</v>
      </c>
      <c r="W102" s="183" t="n">
        <v>46211</v>
      </c>
      <c r="X102" s="181"/>
      <c r="Y102" s="181" t="s">
        <v>455</v>
      </c>
      <c r="Z102" s="181" t="s">
        <v>652</v>
      </c>
      <c r="AA102" s="181"/>
    </row>
    <row r="103" s="191" customFormat="true" ht="15" hidden="false" customHeight="false" outlineLevel="0" collapsed="false">
      <c r="B103" s="181" t="n">
        <v>98</v>
      </c>
      <c r="C103" s="181" t="s">
        <v>9</v>
      </c>
      <c r="D103" s="181" t="s">
        <v>97</v>
      </c>
      <c r="E103" s="181" t="s">
        <v>653</v>
      </c>
      <c r="F103" s="182" t="s">
        <v>458</v>
      </c>
      <c r="G103" s="181" t="s">
        <v>31</v>
      </c>
      <c r="H103" s="183" t="n">
        <v>46169</v>
      </c>
      <c r="I103" s="181" t="s">
        <v>328</v>
      </c>
      <c r="J103" s="181" t="s">
        <v>549</v>
      </c>
      <c r="K103" s="181" t="s">
        <v>287</v>
      </c>
      <c r="L103" s="181" t="s">
        <v>430</v>
      </c>
      <c r="M103" s="181" t="n">
        <v>3017</v>
      </c>
      <c r="N103" s="181"/>
      <c r="O103" s="181" t="s">
        <v>271</v>
      </c>
      <c r="P103" s="181"/>
      <c r="Q103" s="181"/>
      <c r="R103" s="181"/>
      <c r="S103" s="184" t="n">
        <v>5.6</v>
      </c>
      <c r="T103" s="184" t="n">
        <f aca="false">M103 * S103</f>
        <v>16895.2</v>
      </c>
      <c r="U103" s="190"/>
      <c r="V103" s="183" t="n">
        <v>46189</v>
      </c>
      <c r="W103" s="183" t="n">
        <v>46190</v>
      </c>
      <c r="X103" s="181"/>
      <c r="Y103" s="181" t="s">
        <v>455</v>
      </c>
      <c r="Z103" s="181" t="s">
        <v>654</v>
      </c>
      <c r="AA103" s="181"/>
    </row>
    <row r="104" s="191" customFormat="true" ht="15" hidden="false" customHeight="false" outlineLevel="0" collapsed="false">
      <c r="B104" s="181" t="n">
        <v>99</v>
      </c>
      <c r="C104" s="181" t="s">
        <v>9</v>
      </c>
      <c r="D104" s="181" t="s">
        <v>97</v>
      </c>
      <c r="E104" s="181" t="s">
        <v>653</v>
      </c>
      <c r="F104" s="182" t="s">
        <v>458</v>
      </c>
      <c r="G104" s="181" t="s">
        <v>31</v>
      </c>
      <c r="H104" s="183" t="n">
        <v>46169</v>
      </c>
      <c r="I104" s="181" t="s">
        <v>328</v>
      </c>
      <c r="J104" s="181" t="s">
        <v>549</v>
      </c>
      <c r="K104" s="181" t="s">
        <v>287</v>
      </c>
      <c r="L104" s="181" t="s">
        <v>430</v>
      </c>
      <c r="M104" s="181" t="n">
        <v>2015</v>
      </c>
      <c r="N104" s="181"/>
      <c r="O104" s="181" t="s">
        <v>271</v>
      </c>
      <c r="P104" s="181"/>
      <c r="Q104" s="181"/>
      <c r="R104" s="181"/>
      <c r="S104" s="184" t="n">
        <v>5.6</v>
      </c>
      <c r="T104" s="184" t="n">
        <f aca="false">M104 * S104</f>
        <v>11284</v>
      </c>
      <c r="U104" s="190"/>
      <c r="V104" s="183" t="n">
        <v>46218</v>
      </c>
      <c r="W104" s="183" t="n">
        <v>46192</v>
      </c>
      <c r="X104" s="181"/>
      <c r="Y104" s="181" t="s">
        <v>455</v>
      </c>
      <c r="Z104" s="181" t="s">
        <v>655</v>
      </c>
      <c r="AA104" s="181"/>
    </row>
    <row r="105" s="191" customFormat="true" ht="15" hidden="false" customHeight="false" outlineLevel="0" collapsed="false">
      <c r="B105" s="181" t="n">
        <v>100</v>
      </c>
      <c r="C105" s="181" t="s">
        <v>9</v>
      </c>
      <c r="D105" s="181" t="s">
        <v>97</v>
      </c>
      <c r="E105" s="181" t="s">
        <v>653</v>
      </c>
      <c r="F105" s="182" t="s">
        <v>458</v>
      </c>
      <c r="G105" s="181" t="s">
        <v>31</v>
      </c>
      <c r="H105" s="183" t="n">
        <v>46169</v>
      </c>
      <c r="I105" s="181" t="s">
        <v>328</v>
      </c>
      <c r="J105" s="181" t="s">
        <v>549</v>
      </c>
      <c r="K105" s="181" t="s">
        <v>287</v>
      </c>
      <c r="L105" s="181" t="s">
        <v>430</v>
      </c>
      <c r="M105" s="181" t="n">
        <v>632</v>
      </c>
      <c r="N105" s="181"/>
      <c r="O105" s="181" t="s">
        <v>271</v>
      </c>
      <c r="P105" s="181"/>
      <c r="Q105" s="181"/>
      <c r="R105" s="181"/>
      <c r="S105" s="184" t="n">
        <v>5.2</v>
      </c>
      <c r="T105" s="184" t="n">
        <f aca="false">M105 * S105</f>
        <v>3286.4</v>
      </c>
      <c r="U105" s="190"/>
      <c r="V105" s="183" t="n">
        <v>46218</v>
      </c>
      <c r="W105" s="183" t="n">
        <v>46192</v>
      </c>
      <c r="X105" s="181"/>
      <c r="Y105" s="181" t="s">
        <v>455</v>
      </c>
      <c r="Z105" s="181" t="s">
        <v>655</v>
      </c>
      <c r="AA105" s="181"/>
    </row>
    <row r="106" s="191" customFormat="true" ht="15" hidden="false" customHeight="false" outlineLevel="0" collapsed="false">
      <c r="B106" s="181" t="n">
        <v>101</v>
      </c>
      <c r="C106" s="181" t="s">
        <v>9</v>
      </c>
      <c r="D106" s="181" t="s">
        <v>97</v>
      </c>
      <c r="E106" s="181" t="s">
        <v>656</v>
      </c>
      <c r="F106" s="182" t="s">
        <v>458</v>
      </c>
      <c r="G106" s="181" t="s">
        <v>31</v>
      </c>
      <c r="H106" s="183" t="n">
        <v>46175</v>
      </c>
      <c r="I106" s="181" t="s">
        <v>328</v>
      </c>
      <c r="J106" s="181" t="s">
        <v>549</v>
      </c>
      <c r="K106" s="181" t="s">
        <v>287</v>
      </c>
      <c r="L106" s="181" t="s">
        <v>430</v>
      </c>
      <c r="M106" s="181" t="n">
        <v>3035</v>
      </c>
      <c r="N106" s="181"/>
      <c r="O106" s="181" t="s">
        <v>271</v>
      </c>
      <c r="P106" s="181"/>
      <c r="Q106" s="181"/>
      <c r="R106" s="181"/>
      <c r="S106" s="184" t="n">
        <v>5.2</v>
      </c>
      <c r="T106" s="184" t="n">
        <f aca="false">M106 * S106</f>
        <v>15782</v>
      </c>
      <c r="U106" s="190" t="s">
        <v>657</v>
      </c>
      <c r="V106" s="183" t="n">
        <v>46209</v>
      </c>
      <c r="W106" s="183" t="n">
        <v>46209</v>
      </c>
      <c r="X106" s="181"/>
      <c r="Y106" s="181" t="s">
        <v>455</v>
      </c>
      <c r="Z106" s="181" t="s">
        <v>658</v>
      </c>
      <c r="AA106" s="181"/>
    </row>
    <row r="107" s="191" customFormat="true" ht="15" hidden="false" customHeight="false" outlineLevel="0" collapsed="false">
      <c r="B107" s="181" t="n">
        <v>102</v>
      </c>
      <c r="C107" s="181" t="s">
        <v>9</v>
      </c>
      <c r="D107" s="181" t="s">
        <v>97</v>
      </c>
      <c r="E107" s="181" t="s">
        <v>656</v>
      </c>
      <c r="F107" s="182" t="s">
        <v>458</v>
      </c>
      <c r="G107" s="181" t="s">
        <v>31</v>
      </c>
      <c r="H107" s="183" t="n">
        <v>46175</v>
      </c>
      <c r="I107" s="181" t="s">
        <v>328</v>
      </c>
      <c r="J107" s="181" t="s">
        <v>549</v>
      </c>
      <c r="K107" s="181" t="s">
        <v>287</v>
      </c>
      <c r="L107" s="181" t="s">
        <v>430</v>
      </c>
      <c r="M107" s="181" t="n">
        <v>982</v>
      </c>
      <c r="N107" s="181"/>
      <c r="O107" s="181" t="s">
        <v>271</v>
      </c>
      <c r="P107" s="181"/>
      <c r="Q107" s="181"/>
      <c r="R107" s="181"/>
      <c r="S107" s="184" t="n">
        <v>5.2</v>
      </c>
      <c r="T107" s="184" t="n">
        <f aca="false">M107 * S107</f>
        <v>5106.4</v>
      </c>
      <c r="U107" s="190" t="s">
        <v>659</v>
      </c>
      <c r="V107" s="183" t="n">
        <v>46209</v>
      </c>
      <c r="W107" s="183" t="n">
        <v>46209</v>
      </c>
      <c r="X107" s="181"/>
      <c r="Y107" s="181" t="s">
        <v>455</v>
      </c>
      <c r="Z107" s="181" t="s">
        <v>660</v>
      </c>
      <c r="AA107" s="181"/>
    </row>
    <row r="108" customFormat="false" ht="15" hidden="false" customHeight="false" outlineLevel="0" collapsed="false">
      <c r="B108" s="192" t="n">
        <v>103</v>
      </c>
      <c r="C108" s="192" t="s">
        <v>8</v>
      </c>
      <c r="D108" s="192" t="s">
        <v>42</v>
      </c>
      <c r="E108" s="192" t="s">
        <v>661</v>
      </c>
      <c r="F108" s="193" t="s">
        <v>458</v>
      </c>
      <c r="G108" s="192" t="s">
        <v>31</v>
      </c>
      <c r="H108" s="194" t="n">
        <v>46188</v>
      </c>
      <c r="I108" s="192" t="s">
        <v>283</v>
      </c>
      <c r="J108" s="192" t="s">
        <v>662</v>
      </c>
      <c r="K108" s="192"/>
      <c r="L108" s="192" t="s">
        <v>663</v>
      </c>
      <c r="M108" s="192" t="n">
        <v>500</v>
      </c>
      <c r="N108" s="192"/>
      <c r="O108" s="192" t="s">
        <v>271</v>
      </c>
      <c r="P108" s="192"/>
      <c r="Q108" s="192"/>
      <c r="R108" s="192"/>
      <c r="S108" s="195" t="n">
        <v>9.2</v>
      </c>
      <c r="T108" s="195" t="n">
        <f aca="false">M108 * S108</f>
        <v>4600</v>
      </c>
      <c r="U108" s="192" t="s">
        <v>664</v>
      </c>
      <c r="V108" s="194" t="n">
        <v>46191</v>
      </c>
      <c r="W108" s="194" t="n">
        <v>46189</v>
      </c>
      <c r="X108" s="192"/>
      <c r="Y108" s="192" t="s">
        <v>455</v>
      </c>
      <c r="Z108" s="192"/>
      <c r="AA108" s="192"/>
    </row>
    <row r="109" customFormat="false" ht="15" hidden="false" customHeight="false" outlineLevel="0" collapsed="false">
      <c r="B109" s="181" t="n">
        <v>104</v>
      </c>
      <c r="C109" s="181" t="s">
        <v>406</v>
      </c>
      <c r="D109" s="181" t="s">
        <v>140</v>
      </c>
      <c r="E109" s="181" t="s">
        <v>665</v>
      </c>
      <c r="F109" s="182" t="s">
        <v>458</v>
      </c>
      <c r="G109" s="181" t="s">
        <v>31</v>
      </c>
      <c r="H109" s="183" t="n">
        <v>46189</v>
      </c>
      <c r="I109" s="181" t="s">
        <v>587</v>
      </c>
      <c r="J109" s="181" t="s">
        <v>588</v>
      </c>
      <c r="K109" s="181" t="s">
        <v>274</v>
      </c>
      <c r="L109" s="181" t="s">
        <v>408</v>
      </c>
      <c r="M109" s="181" t="n">
        <v>5000</v>
      </c>
      <c r="N109" s="181"/>
      <c r="O109" s="181" t="s">
        <v>271</v>
      </c>
      <c r="P109" s="181"/>
      <c r="Q109" s="181"/>
      <c r="R109" s="181"/>
      <c r="S109" s="184" t="n">
        <v>4.6</v>
      </c>
      <c r="T109" s="184" t="n">
        <f aca="false">M109 * S109</f>
        <v>23000</v>
      </c>
      <c r="U109" s="181"/>
      <c r="V109" s="183" t="n">
        <v>46222</v>
      </c>
      <c r="W109" s="183" t="n">
        <v>46218</v>
      </c>
      <c r="X109" s="181"/>
      <c r="Y109" s="181" t="s">
        <v>455</v>
      </c>
      <c r="Z109" s="181"/>
      <c r="AA109" s="181"/>
    </row>
    <row r="110" customFormat="false" ht="15" hidden="false" customHeight="false" outlineLevel="0" collapsed="false">
      <c r="B110" s="181" t="n">
        <v>105</v>
      </c>
      <c r="C110" s="181" t="s">
        <v>11</v>
      </c>
      <c r="D110" s="181" t="s">
        <v>92</v>
      </c>
      <c r="E110" s="181" t="s">
        <v>666</v>
      </c>
      <c r="F110" s="182" t="s">
        <v>458</v>
      </c>
      <c r="G110" s="181" t="s">
        <v>31</v>
      </c>
      <c r="H110" s="183" t="n">
        <v>46185</v>
      </c>
      <c r="I110" s="181" t="s">
        <v>283</v>
      </c>
      <c r="J110" s="181" t="s">
        <v>667</v>
      </c>
      <c r="K110" s="181" t="s">
        <v>268</v>
      </c>
      <c r="L110" s="181"/>
      <c r="M110" s="181" t="n">
        <v>5250</v>
      </c>
      <c r="N110" s="181"/>
      <c r="O110" s="181" t="s">
        <v>271</v>
      </c>
      <c r="P110" s="181" t="n">
        <v>1.8</v>
      </c>
      <c r="Q110" s="181"/>
      <c r="R110" s="181" t="n">
        <v>4.2905</v>
      </c>
      <c r="S110" s="181" t="n">
        <f aca="false">R110*P110</f>
        <v>7.7229</v>
      </c>
      <c r="T110" s="184" t="n">
        <f aca="false">M110 *S110</f>
        <v>40545.225</v>
      </c>
      <c r="U110" s="181"/>
      <c r="V110" s="183" t="n">
        <v>46206</v>
      </c>
      <c r="W110" s="183" t="n">
        <v>46206</v>
      </c>
      <c r="X110" s="181"/>
      <c r="Y110" s="181" t="s">
        <v>455</v>
      </c>
      <c r="Z110" s="181" t="s">
        <v>668</v>
      </c>
      <c r="AA110" s="181"/>
    </row>
    <row r="111" customFormat="false" ht="15" hidden="false" customHeight="false" outlineLevel="0" collapsed="false">
      <c r="B111" s="181" t="n">
        <v>106</v>
      </c>
      <c r="C111" s="181" t="s">
        <v>11</v>
      </c>
      <c r="D111" s="181" t="s">
        <v>92</v>
      </c>
      <c r="E111" s="181" t="s">
        <v>666</v>
      </c>
      <c r="F111" s="182" t="s">
        <v>458</v>
      </c>
      <c r="G111" s="181" t="s">
        <v>31</v>
      </c>
      <c r="H111" s="183" t="n">
        <v>46185</v>
      </c>
      <c r="I111" s="181" t="s">
        <v>283</v>
      </c>
      <c r="J111" s="181" t="s">
        <v>667</v>
      </c>
      <c r="K111" s="181" t="s">
        <v>268</v>
      </c>
      <c r="L111" s="181"/>
      <c r="M111" s="181" t="n">
        <v>875</v>
      </c>
      <c r="N111" s="181"/>
      <c r="O111" s="181" t="s">
        <v>271</v>
      </c>
      <c r="P111" s="181" t="n">
        <v>1.8</v>
      </c>
      <c r="Q111" s="181"/>
      <c r="R111" s="181" t="n">
        <v>4.2905</v>
      </c>
      <c r="S111" s="181" t="n">
        <f aca="false">R111*P111</f>
        <v>7.7229</v>
      </c>
      <c r="T111" s="184" t="n">
        <f aca="false">M111 *S111</f>
        <v>6757.5375</v>
      </c>
      <c r="U111" s="181"/>
      <c r="V111" s="183" t="n">
        <v>46206</v>
      </c>
      <c r="W111" s="183" t="n">
        <v>46206</v>
      </c>
      <c r="X111" s="181"/>
      <c r="Y111" s="181" t="s">
        <v>455</v>
      </c>
      <c r="Z111" s="181" t="s">
        <v>669</v>
      </c>
      <c r="AA111" s="181"/>
    </row>
    <row r="112" customFormat="false" ht="15" hidden="false" customHeight="false" outlineLevel="0" collapsed="false">
      <c r="B112" s="192" t="n">
        <v>107</v>
      </c>
      <c r="C112" s="192" t="s">
        <v>4</v>
      </c>
      <c r="D112" s="192" t="s">
        <v>109</v>
      </c>
      <c r="E112" s="192" t="s">
        <v>670</v>
      </c>
      <c r="F112" s="193" t="s">
        <v>458</v>
      </c>
      <c r="G112" s="192" t="s">
        <v>31</v>
      </c>
      <c r="H112" s="194" t="n">
        <v>46189</v>
      </c>
      <c r="I112" s="192" t="s">
        <v>24</v>
      </c>
      <c r="J112" s="192" t="s">
        <v>671</v>
      </c>
      <c r="K112" s="192" t="s">
        <v>287</v>
      </c>
      <c r="L112" s="192" t="s">
        <v>387</v>
      </c>
      <c r="M112" s="192" t="n">
        <v>4000</v>
      </c>
      <c r="N112" s="192"/>
      <c r="O112" s="192" t="s">
        <v>271</v>
      </c>
      <c r="P112" s="192"/>
      <c r="Q112" s="192"/>
      <c r="R112" s="192"/>
      <c r="S112" s="195" t="n">
        <v>6</v>
      </c>
      <c r="T112" s="195" t="n">
        <f aca="false">M112 *S112</f>
        <v>24000</v>
      </c>
      <c r="U112" s="192" t="s">
        <v>672</v>
      </c>
      <c r="V112" s="194" t="n">
        <v>46210</v>
      </c>
      <c r="W112" s="194" t="n">
        <v>46210</v>
      </c>
      <c r="X112" s="192" t="n">
        <v>0</v>
      </c>
      <c r="Y112" s="192" t="s">
        <v>455</v>
      </c>
      <c r="Z112" s="192"/>
      <c r="AA112" s="192"/>
    </row>
    <row r="113" customFormat="false" ht="15" hidden="false" customHeight="false" outlineLevel="0" collapsed="false">
      <c r="B113" s="181" t="n">
        <v>108</v>
      </c>
      <c r="C113" s="181" t="s">
        <v>4</v>
      </c>
      <c r="D113" s="181" t="s">
        <v>109</v>
      </c>
      <c r="E113" s="181" t="s">
        <v>673</v>
      </c>
      <c r="F113" s="182" t="s">
        <v>458</v>
      </c>
      <c r="G113" s="181" t="s">
        <v>31</v>
      </c>
      <c r="H113" s="183" t="n">
        <v>46198</v>
      </c>
      <c r="I113" s="181" t="s">
        <v>24</v>
      </c>
      <c r="J113" s="181" t="s">
        <v>674</v>
      </c>
      <c r="K113" s="181" t="s">
        <v>274</v>
      </c>
      <c r="L113" s="181" t="s">
        <v>386</v>
      </c>
      <c r="M113" s="181" t="n">
        <v>3000</v>
      </c>
      <c r="N113" s="181"/>
      <c r="O113" s="181" t="s">
        <v>271</v>
      </c>
      <c r="P113" s="181"/>
      <c r="Q113" s="181"/>
      <c r="R113" s="181"/>
      <c r="S113" s="184" t="n">
        <v>6.5</v>
      </c>
      <c r="T113" s="184" t="n">
        <f aca="false">M113 *S113</f>
        <v>19500</v>
      </c>
      <c r="U113" s="181" t="s">
        <v>672</v>
      </c>
      <c r="V113" s="183" t="n">
        <v>46210</v>
      </c>
      <c r="W113" s="183" t="n">
        <v>46210</v>
      </c>
      <c r="X113" s="181" t="n">
        <v>0</v>
      </c>
      <c r="Y113" s="181" t="s">
        <v>455</v>
      </c>
      <c r="Z113" s="181"/>
      <c r="AA113" s="181"/>
    </row>
    <row r="114" customFormat="false" ht="15" hidden="false" customHeight="false" outlineLevel="0" collapsed="false">
      <c r="B114" s="181" t="n">
        <v>109</v>
      </c>
      <c r="C114" s="181" t="s">
        <v>11</v>
      </c>
      <c r="D114" s="181" t="s">
        <v>92</v>
      </c>
      <c r="E114" s="181" t="s">
        <v>675</v>
      </c>
      <c r="F114" s="182" t="s">
        <v>458</v>
      </c>
      <c r="G114" s="181" t="s">
        <v>31</v>
      </c>
      <c r="H114" s="183" t="n">
        <v>46195</v>
      </c>
      <c r="I114" s="181" t="s">
        <v>283</v>
      </c>
      <c r="J114" s="181" t="s">
        <v>354</v>
      </c>
      <c r="K114" s="181" t="s">
        <v>268</v>
      </c>
      <c r="L114" s="181"/>
      <c r="M114" s="181" t="n">
        <v>2000</v>
      </c>
      <c r="N114" s="181"/>
      <c r="O114" s="181" t="s">
        <v>271</v>
      </c>
      <c r="P114" s="181"/>
      <c r="Q114" s="181"/>
      <c r="R114" s="181" t="n">
        <v>2.4</v>
      </c>
      <c r="S114" s="181"/>
      <c r="T114" s="184" t="n">
        <f aca="false">M114 *S114</f>
        <v>0</v>
      </c>
      <c r="U114" s="181"/>
      <c r="V114" s="183" t="n">
        <v>46238</v>
      </c>
      <c r="W114" s="183"/>
      <c r="X114" s="181"/>
      <c r="Y114" s="181" t="s">
        <v>455</v>
      </c>
      <c r="Z114" s="181"/>
      <c r="AA114" s="181"/>
    </row>
    <row r="115" customFormat="false" ht="15" hidden="false" customHeight="false" outlineLevel="0" collapsed="false">
      <c r="B115" s="192" t="n">
        <v>110</v>
      </c>
      <c r="C115" s="192" t="s">
        <v>6</v>
      </c>
      <c r="D115" s="192" t="s">
        <v>50</v>
      </c>
      <c r="E115" s="192" t="s">
        <v>676</v>
      </c>
      <c r="F115" s="193" t="n">
        <v>449825</v>
      </c>
      <c r="G115" s="192" t="s">
        <v>31</v>
      </c>
      <c r="H115" s="194" t="n">
        <v>46188</v>
      </c>
      <c r="I115" s="192" t="s">
        <v>470</v>
      </c>
      <c r="J115" s="192" t="s">
        <v>309</v>
      </c>
      <c r="K115" s="192" t="s">
        <v>268</v>
      </c>
      <c r="L115" s="192" t="s">
        <v>310</v>
      </c>
      <c r="M115" s="192" t="n">
        <v>15840</v>
      </c>
      <c r="N115" s="192"/>
      <c r="O115" s="192" t="s">
        <v>271</v>
      </c>
      <c r="P115" s="192" t="n">
        <v>4.08</v>
      </c>
      <c r="Q115" s="192" t="n">
        <v>15840</v>
      </c>
      <c r="R115" s="192" t="n">
        <v>4.08</v>
      </c>
      <c r="S115" s="195" t="n">
        <v>15.0075</v>
      </c>
      <c r="T115" s="195" t="n">
        <v>64627.2</v>
      </c>
      <c r="U115" s="196"/>
      <c r="V115" s="194" t="n">
        <v>46259</v>
      </c>
      <c r="W115" s="194"/>
      <c r="X115" s="192"/>
      <c r="Y115" s="181" t="s">
        <v>455</v>
      </c>
      <c r="Z115" s="192"/>
      <c r="AA115" s="192"/>
    </row>
    <row r="116" s="191" customFormat="true" ht="15" hidden="false" customHeight="false" outlineLevel="0" collapsed="false">
      <c r="B116" s="181" t="n">
        <v>111</v>
      </c>
      <c r="C116" s="181" t="s">
        <v>71</v>
      </c>
      <c r="D116" s="181" t="s">
        <v>73</v>
      </c>
      <c r="E116" s="181" t="s">
        <v>677</v>
      </c>
      <c r="F116" s="182" t="n">
        <v>1374547</v>
      </c>
      <c r="G116" s="181" t="s">
        <v>31</v>
      </c>
      <c r="H116" s="183" t="n">
        <v>46209</v>
      </c>
      <c r="I116" s="181" t="s">
        <v>17</v>
      </c>
      <c r="J116" s="181" t="s">
        <v>325</v>
      </c>
      <c r="K116" s="181" t="s">
        <v>268</v>
      </c>
      <c r="L116" s="181" t="s">
        <v>326</v>
      </c>
      <c r="M116" s="181" t="n">
        <v>1000</v>
      </c>
      <c r="N116" s="181"/>
      <c r="O116" s="181" t="s">
        <v>271</v>
      </c>
      <c r="P116" s="181" t="n">
        <v>2.95</v>
      </c>
      <c r="Q116" s="181" t="n">
        <v>2750</v>
      </c>
      <c r="R116" s="181" t="n">
        <v>4.214</v>
      </c>
      <c r="S116" s="184" t="n">
        <v>11.5885</v>
      </c>
      <c r="T116" s="184" t="n">
        <v>11588.5</v>
      </c>
      <c r="U116" s="181"/>
      <c r="V116" s="183" t="n">
        <v>46212</v>
      </c>
      <c r="W116" s="183" t="n">
        <v>46212</v>
      </c>
      <c r="X116" s="181" t="n">
        <v>0</v>
      </c>
      <c r="Y116" s="181" t="s">
        <v>455</v>
      </c>
      <c r="Z116" s="181"/>
      <c r="AA116" s="186"/>
    </row>
    <row r="117" customFormat="false" ht="15" hidden="false" customHeight="false" outlineLevel="0" collapsed="false">
      <c r="B117" s="181" t="n">
        <v>112</v>
      </c>
      <c r="C117" s="181" t="s">
        <v>9</v>
      </c>
      <c r="D117" s="181" t="s">
        <v>97</v>
      </c>
      <c r="E117" s="181" t="s">
        <v>678</v>
      </c>
      <c r="F117" s="182" t="s">
        <v>458</v>
      </c>
      <c r="G117" s="181" t="s">
        <v>31</v>
      </c>
      <c r="H117" s="183" t="n">
        <v>46217</v>
      </c>
      <c r="I117" s="181" t="s">
        <v>328</v>
      </c>
      <c r="J117" s="181" t="s">
        <v>549</v>
      </c>
      <c r="K117" s="181" t="s">
        <v>287</v>
      </c>
      <c r="L117" s="181" t="s">
        <v>430</v>
      </c>
      <c r="M117" s="181" t="n">
        <v>5000</v>
      </c>
      <c r="N117" s="181"/>
      <c r="O117" s="181" t="s">
        <v>271</v>
      </c>
      <c r="P117" s="181"/>
      <c r="Q117" s="181"/>
      <c r="R117" s="181"/>
      <c r="S117" s="184" t="n">
        <v>5.6</v>
      </c>
      <c r="T117" s="184" t="n">
        <f aca="false">M117 * S117</f>
        <v>28000</v>
      </c>
      <c r="U117" s="181"/>
      <c r="V117" s="183" t="n">
        <v>46233</v>
      </c>
      <c r="W117" s="183" t="n">
        <v>46234</v>
      </c>
      <c r="X117" s="181" t="n">
        <v>1</v>
      </c>
      <c r="Y117" s="181" t="s">
        <v>455</v>
      </c>
      <c r="Z117" s="181"/>
      <c r="AA117" s="181"/>
    </row>
    <row r="118" customFormat="false" ht="15" hidden="false" customHeight="false" outlineLevel="0" collapsed="false">
      <c r="B118" s="192" t="n">
        <v>113</v>
      </c>
      <c r="C118" s="192" t="s">
        <v>63</v>
      </c>
      <c r="D118" s="192" t="s">
        <v>65</v>
      </c>
      <c r="E118" s="192" t="s">
        <v>679</v>
      </c>
      <c r="F118" s="193" t="s">
        <v>458</v>
      </c>
      <c r="G118" s="192" t="s">
        <v>31</v>
      </c>
      <c r="H118" s="194" t="n">
        <v>46218</v>
      </c>
      <c r="I118" s="192" t="s">
        <v>266</v>
      </c>
      <c r="J118" s="192" t="s">
        <v>565</v>
      </c>
      <c r="K118" s="192" t="s">
        <v>268</v>
      </c>
      <c r="L118" s="192" t="s">
        <v>432</v>
      </c>
      <c r="M118" s="192" t="n">
        <v>2500</v>
      </c>
      <c r="N118" s="192"/>
      <c r="O118" s="192" t="s">
        <v>271</v>
      </c>
      <c r="P118" s="192"/>
      <c r="Q118" s="192"/>
      <c r="R118" s="192"/>
      <c r="S118" s="195" t="n">
        <v>5.8</v>
      </c>
      <c r="T118" s="195" t="n">
        <v>7562.5</v>
      </c>
      <c r="U118" s="192"/>
      <c r="V118" s="194" t="n">
        <v>46232</v>
      </c>
      <c r="W118" s="194" t="n">
        <v>46232</v>
      </c>
      <c r="X118" s="192"/>
      <c r="Y118" s="192" t="s">
        <v>455</v>
      </c>
      <c r="Z118" s="192"/>
      <c r="AA118" s="192"/>
    </row>
    <row r="119" customFormat="false" ht="15" hidden="false" customHeight="false" outlineLevel="0" collapsed="false">
      <c r="B119" s="181" t="n">
        <v>114</v>
      </c>
      <c r="C119" s="181" t="s">
        <v>8</v>
      </c>
      <c r="D119" s="181" t="s">
        <v>42</v>
      </c>
      <c r="E119" s="181" t="s">
        <v>680</v>
      </c>
      <c r="F119" s="182" t="s">
        <v>458</v>
      </c>
      <c r="G119" s="181" t="s">
        <v>31</v>
      </c>
      <c r="H119" s="183" t="n">
        <v>46218</v>
      </c>
      <c r="I119" s="181" t="s">
        <v>283</v>
      </c>
      <c r="J119" s="181" t="s">
        <v>662</v>
      </c>
      <c r="K119" s="181"/>
      <c r="L119" s="181" t="s">
        <v>663</v>
      </c>
      <c r="M119" s="181" t="n">
        <v>2750</v>
      </c>
      <c r="N119" s="181"/>
      <c r="O119" s="181" t="s">
        <v>271</v>
      </c>
      <c r="P119" s="181"/>
      <c r="Q119" s="181"/>
      <c r="R119" s="181"/>
      <c r="S119" s="181" t="n">
        <v>5.2</v>
      </c>
      <c r="T119" s="184" t="n">
        <f aca="false">M119 * S119</f>
        <v>14300</v>
      </c>
      <c r="U119" s="181"/>
      <c r="V119" s="183" t="n">
        <v>46223</v>
      </c>
      <c r="W119" s="183" t="n">
        <v>46223</v>
      </c>
      <c r="X119" s="181"/>
      <c r="Y119" s="181" t="s">
        <v>455</v>
      </c>
      <c r="Z119" s="181"/>
      <c r="AA119" s="181"/>
    </row>
    <row r="120" customFormat="false" ht="15" hidden="false" customHeight="false" outlineLevel="0" collapsed="false">
      <c r="B120" s="181" t="n">
        <v>115</v>
      </c>
      <c r="C120" s="181" t="s">
        <v>11</v>
      </c>
      <c r="D120" s="181" t="s">
        <v>92</v>
      </c>
      <c r="E120" s="181" t="s">
        <v>681</v>
      </c>
      <c r="F120" s="182" t="s">
        <v>458</v>
      </c>
      <c r="G120" s="181" t="s">
        <v>31</v>
      </c>
      <c r="H120" s="183" t="n">
        <v>46195</v>
      </c>
      <c r="I120" s="181" t="s">
        <v>343</v>
      </c>
      <c r="J120" s="181" t="s">
        <v>347</v>
      </c>
      <c r="K120" s="181" t="s">
        <v>268</v>
      </c>
      <c r="L120" s="181"/>
      <c r="M120" s="181" t="n">
        <v>1250</v>
      </c>
      <c r="N120" s="181"/>
      <c r="O120" s="181" t="s">
        <v>271</v>
      </c>
      <c r="P120" s="181" t="n">
        <v>2.3</v>
      </c>
      <c r="Q120" s="181" t="n">
        <v>3536.25</v>
      </c>
      <c r="R120" s="181" t="n">
        <v>4.32</v>
      </c>
      <c r="S120" s="181"/>
      <c r="T120" s="181" t="n">
        <f aca="false">Q120*R120</f>
        <v>15276.6</v>
      </c>
      <c r="U120" s="181"/>
      <c r="V120" s="183" t="n">
        <v>46230</v>
      </c>
      <c r="W120" s="183" t="n">
        <v>46230</v>
      </c>
      <c r="X120" s="181"/>
      <c r="Y120" s="181" t="s">
        <v>455</v>
      </c>
      <c r="Z120" s="181"/>
      <c r="AA120" s="181"/>
    </row>
    <row r="121" customFormat="false" ht="15" hidden="false" customHeight="false" outlineLevel="0" collapsed="false">
      <c r="B121" s="192" t="n">
        <v>116</v>
      </c>
      <c r="C121" s="192" t="s">
        <v>8</v>
      </c>
      <c r="D121" s="192" t="s">
        <v>42</v>
      </c>
      <c r="E121" s="192" t="s">
        <v>682</v>
      </c>
      <c r="F121" s="193" t="s">
        <v>458</v>
      </c>
      <c r="G121" s="192" t="s">
        <v>31</v>
      </c>
      <c r="H121" s="194" t="n">
        <v>46247</v>
      </c>
      <c r="I121" s="192" t="s">
        <v>17</v>
      </c>
      <c r="J121" s="192" t="s">
        <v>19</v>
      </c>
      <c r="K121" s="192" t="s">
        <v>268</v>
      </c>
      <c r="L121" s="192" t="s">
        <v>277</v>
      </c>
      <c r="M121" s="192" t="n">
        <v>350</v>
      </c>
      <c r="N121" s="192"/>
      <c r="O121" s="192" t="s">
        <v>271</v>
      </c>
      <c r="P121" s="192"/>
      <c r="Q121" s="192"/>
      <c r="R121" s="192"/>
      <c r="S121" s="195" t="n">
        <v>13</v>
      </c>
      <c r="T121" s="195" t="n">
        <v>5200</v>
      </c>
      <c r="U121" s="192" t="s">
        <v>683</v>
      </c>
      <c r="V121" s="194" t="n">
        <v>46268</v>
      </c>
      <c r="W121" s="194" t="n">
        <v>46268</v>
      </c>
      <c r="X121" s="192"/>
      <c r="Y121" s="192" t="s">
        <v>455</v>
      </c>
      <c r="Z121" s="192"/>
      <c r="AA121" s="197"/>
    </row>
    <row r="122" customFormat="false" ht="15" hidden="false" customHeight="false" outlineLevel="0" collapsed="false">
      <c r="B122" s="181" t="n">
        <v>117</v>
      </c>
      <c r="C122" s="181" t="s">
        <v>230</v>
      </c>
      <c r="D122" s="181" t="s">
        <v>231</v>
      </c>
      <c r="E122" s="181" t="s">
        <v>684</v>
      </c>
      <c r="F122" s="181" t="s">
        <v>458</v>
      </c>
      <c r="G122" s="181" t="s">
        <v>31</v>
      </c>
      <c r="H122" s="183" t="n">
        <v>46251</v>
      </c>
      <c r="I122" s="181"/>
      <c r="J122" s="198" t="s">
        <v>685</v>
      </c>
      <c r="K122" s="181" t="s">
        <v>268</v>
      </c>
      <c r="L122" s="181"/>
      <c r="M122" s="181" t="n">
        <v>100</v>
      </c>
      <c r="N122" s="181"/>
      <c r="O122" s="181" t="s">
        <v>271</v>
      </c>
      <c r="P122" s="181" t="n">
        <v>4.3</v>
      </c>
      <c r="Q122" s="181" t="n">
        <v>528.9</v>
      </c>
      <c r="R122" s="181" t="n">
        <v>4.3</v>
      </c>
      <c r="S122" s="181" t="n">
        <f aca="false">P122*R122</f>
        <v>18.49</v>
      </c>
      <c r="T122" s="184" t="n">
        <f aca="false">S122*M122</f>
        <v>1849</v>
      </c>
      <c r="U122" s="181" t="n">
        <v>26002237</v>
      </c>
      <c r="V122" s="183" t="n">
        <v>46254</v>
      </c>
      <c r="W122" s="183" t="n">
        <v>46254</v>
      </c>
      <c r="X122" s="181"/>
      <c r="Y122" s="192" t="s">
        <v>455</v>
      </c>
      <c r="Z122" s="181"/>
      <c r="AA122" s="181"/>
    </row>
    <row r="123" s="191" customFormat="true" ht="15" hidden="false" customHeight="false" outlineLevel="0" collapsed="false">
      <c r="B123" s="181" t="n">
        <v>118</v>
      </c>
      <c r="C123" s="181" t="s">
        <v>71</v>
      </c>
      <c r="D123" s="181" t="s">
        <v>73</v>
      </c>
      <c r="E123" s="181" t="s">
        <v>686</v>
      </c>
      <c r="F123" s="182" t="n">
        <v>1376648</v>
      </c>
      <c r="G123" s="181" t="s">
        <v>31</v>
      </c>
      <c r="H123" s="183" t="n">
        <v>46265</v>
      </c>
      <c r="I123" s="181" t="s">
        <v>17</v>
      </c>
      <c r="J123" s="181" t="s">
        <v>325</v>
      </c>
      <c r="K123" s="181" t="s">
        <v>268</v>
      </c>
      <c r="L123" s="181" t="s">
        <v>326</v>
      </c>
      <c r="M123" s="181" t="n">
        <v>2000</v>
      </c>
      <c r="N123" s="181"/>
      <c r="O123" s="181" t="s">
        <v>271</v>
      </c>
      <c r="P123" s="181" t="n">
        <v>2.93</v>
      </c>
      <c r="Q123" s="181" t="n">
        <v>5860</v>
      </c>
      <c r="R123" s="181" t="n">
        <v>4.3</v>
      </c>
      <c r="S123" s="181" t="n">
        <f aca="false">P123*R123</f>
        <v>12.599</v>
      </c>
      <c r="T123" s="184" t="n">
        <f aca="false">S123*M123</f>
        <v>25198</v>
      </c>
      <c r="U123" s="181"/>
      <c r="V123" s="183" t="n">
        <v>46212</v>
      </c>
      <c r="W123" s="183" t="n">
        <v>46212</v>
      </c>
      <c r="X123" s="181" t="n">
        <v>0</v>
      </c>
      <c r="Y123" s="192" t="s">
        <v>455</v>
      </c>
      <c r="Z123" s="181"/>
      <c r="AA123" s="186"/>
    </row>
    <row r="124" customFormat="false" ht="15" hidden="false" customHeight="false" outlineLevel="0" collapsed="false">
      <c r="B124" s="181" t="n">
        <v>119</v>
      </c>
      <c r="C124" s="181" t="s">
        <v>11</v>
      </c>
      <c r="D124" s="181" t="s">
        <v>92</v>
      </c>
      <c r="E124" s="181" t="s">
        <v>687</v>
      </c>
      <c r="F124" s="182" t="s">
        <v>458</v>
      </c>
      <c r="G124" s="181" t="s">
        <v>31</v>
      </c>
      <c r="H124" s="183" t="n">
        <v>46247</v>
      </c>
      <c r="I124" s="181"/>
      <c r="J124" s="181" t="s">
        <v>688</v>
      </c>
      <c r="K124" s="181" t="s">
        <v>268</v>
      </c>
      <c r="L124" s="181"/>
      <c r="M124" s="181" t="n">
        <v>500</v>
      </c>
      <c r="N124" s="181"/>
      <c r="O124" s="181" t="s">
        <v>271</v>
      </c>
      <c r="P124" s="181" t="n">
        <v>2</v>
      </c>
      <c r="Q124" s="181"/>
      <c r="R124" s="181"/>
      <c r="S124" s="181"/>
      <c r="T124" s="181"/>
      <c r="U124" s="181"/>
      <c r="V124" s="183" t="n">
        <v>46266</v>
      </c>
      <c r="W124" s="183" t="n">
        <v>46266</v>
      </c>
      <c r="X124" s="181"/>
      <c r="Y124" s="192" t="s">
        <v>455</v>
      </c>
      <c r="Z124" s="181"/>
      <c r="AA124" s="181"/>
    </row>
    <row r="125" customFormat="false" ht="15" hidden="false" customHeight="false" outlineLevel="0" collapsed="false">
      <c r="B125" s="181" t="n">
        <v>120</v>
      </c>
      <c r="C125" s="181" t="s">
        <v>11</v>
      </c>
      <c r="D125" s="181" t="s">
        <v>92</v>
      </c>
      <c r="E125" s="181" t="s">
        <v>687</v>
      </c>
      <c r="F125" s="182" t="s">
        <v>458</v>
      </c>
      <c r="G125" s="181" t="s">
        <v>31</v>
      </c>
      <c r="H125" s="183" t="n">
        <v>46247</v>
      </c>
      <c r="I125" s="181"/>
      <c r="J125" s="181" t="s">
        <v>689</v>
      </c>
      <c r="K125" s="181" t="s">
        <v>287</v>
      </c>
      <c r="L125" s="181"/>
      <c r="M125" s="181" t="n">
        <v>1000</v>
      </c>
      <c r="N125" s="181"/>
      <c r="O125" s="181" t="s">
        <v>271</v>
      </c>
      <c r="P125" s="181" t="n">
        <v>2.6</v>
      </c>
      <c r="Q125" s="181"/>
      <c r="R125" s="181"/>
      <c r="S125" s="181"/>
      <c r="T125" s="181"/>
      <c r="U125" s="181"/>
      <c r="V125" s="183" t="n">
        <v>46266</v>
      </c>
      <c r="W125" s="183" t="n">
        <v>46266</v>
      </c>
      <c r="X125" s="181"/>
      <c r="Y125" s="192" t="s">
        <v>455</v>
      </c>
      <c r="Z125" s="181"/>
      <c r="AA125" s="181"/>
    </row>
    <row r="126" customFormat="false" ht="15" hidden="false" customHeight="false" outlineLevel="0" collapsed="false">
      <c r="B126" s="181" t="n">
        <v>121</v>
      </c>
      <c r="C126" s="181" t="s">
        <v>11</v>
      </c>
      <c r="D126" s="181" t="s">
        <v>92</v>
      </c>
      <c r="E126" s="181" t="s">
        <v>687</v>
      </c>
      <c r="F126" s="182" t="s">
        <v>458</v>
      </c>
      <c r="G126" s="181" t="s">
        <v>31</v>
      </c>
      <c r="H126" s="183" t="n">
        <v>46247</v>
      </c>
      <c r="I126" s="181"/>
      <c r="J126" s="181" t="s">
        <v>344</v>
      </c>
      <c r="K126" s="181" t="s">
        <v>268</v>
      </c>
      <c r="L126" s="181"/>
      <c r="M126" s="181" t="n">
        <v>1250</v>
      </c>
      <c r="N126" s="181"/>
      <c r="O126" s="181" t="s">
        <v>690</v>
      </c>
      <c r="P126" s="181" t="n">
        <v>2.2</v>
      </c>
      <c r="Q126" s="181"/>
      <c r="R126" s="181"/>
      <c r="S126" s="181"/>
      <c r="T126" s="181"/>
      <c r="U126" s="181"/>
      <c r="V126" s="183" t="n">
        <v>46266</v>
      </c>
      <c r="W126" s="183" t="n">
        <v>46266</v>
      </c>
      <c r="X126" s="181"/>
      <c r="Y126" s="192" t="s">
        <v>455</v>
      </c>
      <c r="Z126" s="181"/>
      <c r="AA126" s="181"/>
    </row>
    <row r="127" customFormat="false" ht="15" hidden="false" customHeight="false" outlineLevel="0" collapsed="false">
      <c r="B127" s="181" t="n">
        <v>68</v>
      </c>
      <c r="C127" s="181" t="s">
        <v>8</v>
      </c>
      <c r="D127" s="181" t="s">
        <v>42</v>
      </c>
      <c r="E127" s="181" t="s">
        <v>691</v>
      </c>
      <c r="F127" s="182" t="s">
        <v>458</v>
      </c>
      <c r="G127" s="181" t="s">
        <v>31</v>
      </c>
      <c r="H127" s="183" t="n">
        <v>46266</v>
      </c>
      <c r="I127" s="181" t="s">
        <v>17</v>
      </c>
      <c r="J127" s="181" t="s">
        <v>598</v>
      </c>
      <c r="K127" s="181" t="s">
        <v>274</v>
      </c>
      <c r="L127" s="181" t="s">
        <v>275</v>
      </c>
      <c r="M127" s="181" t="n">
        <v>1250</v>
      </c>
      <c r="N127" s="181"/>
      <c r="O127" s="181" t="s">
        <v>271</v>
      </c>
      <c r="P127" s="181"/>
      <c r="Q127" s="181"/>
      <c r="R127" s="181"/>
      <c r="S127" s="184" t="n">
        <v>10.6</v>
      </c>
      <c r="T127" s="184" t="n">
        <f aca="false">S127*M127</f>
        <v>13250</v>
      </c>
      <c r="U127" s="181"/>
      <c r="V127" s="183" t="n">
        <v>46295</v>
      </c>
      <c r="W127" s="183"/>
      <c r="X127" s="181"/>
      <c r="Y127" s="192" t="s">
        <v>455</v>
      </c>
      <c r="Z127" s="181"/>
      <c r="AA127" s="181"/>
    </row>
    <row r="128" customFormat="false" ht="15" hidden="false" customHeight="false" outlineLevel="0" collapsed="false">
      <c r="B128" s="181" t="n">
        <v>123</v>
      </c>
      <c r="C128" s="181" t="s">
        <v>8</v>
      </c>
      <c r="D128" s="181" t="s">
        <v>42</v>
      </c>
      <c r="E128" s="181" t="s">
        <v>692</v>
      </c>
      <c r="F128" s="182" t="s">
        <v>458</v>
      </c>
      <c r="G128" s="181" t="s">
        <v>31</v>
      </c>
      <c r="H128" s="183" t="n">
        <v>46266</v>
      </c>
      <c r="I128" s="181" t="s">
        <v>283</v>
      </c>
      <c r="J128" s="181" t="s">
        <v>693</v>
      </c>
      <c r="K128" s="181"/>
      <c r="L128" s="181"/>
      <c r="M128" s="181" t="n">
        <v>1375</v>
      </c>
      <c r="N128" s="181"/>
      <c r="O128" s="181" t="s">
        <v>271</v>
      </c>
      <c r="P128" s="181"/>
      <c r="Q128" s="181"/>
      <c r="R128" s="181"/>
      <c r="S128" s="181" t="n">
        <v>6.3</v>
      </c>
      <c r="T128" s="184" t="n">
        <f aca="false">S128*M128</f>
        <v>8662.5</v>
      </c>
      <c r="U128" s="181"/>
      <c r="V128" s="183" t="n">
        <v>46288</v>
      </c>
      <c r="W128" s="183"/>
      <c r="X128" s="181"/>
      <c r="Y128" s="192" t="s">
        <v>455</v>
      </c>
      <c r="Z128" s="181"/>
      <c r="AA128" s="181"/>
    </row>
    <row r="129" customFormat="false" ht="15" hidden="false" customHeight="false" outlineLevel="0" collapsed="false">
      <c r="B129" s="181" t="n">
        <v>124</v>
      </c>
      <c r="C129" s="181" t="s">
        <v>55</v>
      </c>
      <c r="D129" s="181" t="s">
        <v>56</v>
      </c>
      <c r="E129" s="181" t="s">
        <v>694</v>
      </c>
      <c r="F129" s="199" t="s">
        <v>695</v>
      </c>
      <c r="G129" s="181" t="s">
        <v>31</v>
      </c>
      <c r="H129" s="183" t="n">
        <v>46266</v>
      </c>
      <c r="I129" s="181" t="s">
        <v>305</v>
      </c>
      <c r="J129" s="181" t="s">
        <v>616</v>
      </c>
      <c r="K129" s="181" t="s">
        <v>268</v>
      </c>
      <c r="L129" s="181" t="s">
        <v>316</v>
      </c>
      <c r="M129" s="181" t="n">
        <v>2000</v>
      </c>
      <c r="N129" s="181"/>
      <c r="O129" s="181" t="s">
        <v>271</v>
      </c>
      <c r="P129" s="181" t="n">
        <v>3</v>
      </c>
      <c r="Q129" s="181" t="n">
        <v>6150</v>
      </c>
      <c r="R129" s="181" t="n">
        <v>4.35</v>
      </c>
      <c r="S129" s="184" t="n">
        <v>12.9195</v>
      </c>
      <c r="T129" s="184" t="n">
        <v>25839</v>
      </c>
      <c r="U129" s="181"/>
      <c r="V129" s="183" t="n">
        <v>46269</v>
      </c>
      <c r="W129" s="183" t="n">
        <v>46269</v>
      </c>
      <c r="X129" s="181"/>
      <c r="Y129" s="181" t="s">
        <v>455</v>
      </c>
      <c r="Z129" s="181" t="s">
        <v>696</v>
      </c>
      <c r="AA129" s="181"/>
    </row>
    <row r="130" customFormat="false" ht="15" hidden="false" customHeight="false" outlineLevel="0" collapsed="false">
      <c r="B130" s="181" t="n">
        <v>124</v>
      </c>
      <c r="C130" s="181" t="s">
        <v>55</v>
      </c>
      <c r="D130" s="181" t="s">
        <v>56</v>
      </c>
      <c r="E130" s="181" t="s">
        <v>694</v>
      </c>
      <c r="F130" s="199" t="s">
        <v>695</v>
      </c>
      <c r="G130" s="181" t="s">
        <v>31</v>
      </c>
      <c r="H130" s="183" t="n">
        <v>46266</v>
      </c>
      <c r="I130" s="181" t="s">
        <v>305</v>
      </c>
      <c r="J130" s="181" t="s">
        <v>616</v>
      </c>
      <c r="K130" s="181" t="s">
        <v>268</v>
      </c>
      <c r="L130" s="181" t="s">
        <v>316</v>
      </c>
      <c r="M130" s="181" t="n">
        <v>1000</v>
      </c>
      <c r="N130" s="181"/>
      <c r="O130" s="181" t="s">
        <v>271</v>
      </c>
      <c r="P130" s="181" t="n">
        <v>3</v>
      </c>
      <c r="Q130" s="181" t="n">
        <v>6150</v>
      </c>
      <c r="R130" s="181" t="n">
        <v>4.35</v>
      </c>
      <c r="S130" s="184" t="n">
        <v>12.9195</v>
      </c>
      <c r="T130" s="184" t="n">
        <v>25839</v>
      </c>
      <c r="U130" s="181"/>
      <c r="V130" s="183" t="n">
        <v>46269</v>
      </c>
      <c r="W130" s="183" t="n">
        <v>46270</v>
      </c>
      <c r="X130" s="181" t="n">
        <v>1</v>
      </c>
      <c r="Y130" s="181" t="s">
        <v>455</v>
      </c>
      <c r="Z130" s="181" t="s">
        <v>555</v>
      </c>
      <c r="AA130" s="181"/>
    </row>
    <row r="131" customFormat="false" ht="15" hidden="false" customHeight="false" outlineLevel="0" collapsed="false">
      <c r="B131" s="136" t="n">
        <v>126</v>
      </c>
      <c r="C131" s="136" t="s">
        <v>8</v>
      </c>
      <c r="D131" s="136" t="s">
        <v>42</v>
      </c>
      <c r="E131" s="136" t="s">
        <v>697</v>
      </c>
      <c r="F131" s="171" t="s">
        <v>458</v>
      </c>
      <c r="G131" s="136" t="s">
        <v>31</v>
      </c>
      <c r="H131" s="200" t="n">
        <v>46267</v>
      </c>
      <c r="I131" s="136" t="s">
        <v>24</v>
      </c>
      <c r="J131" s="136" t="s">
        <v>579</v>
      </c>
      <c r="K131" s="136" t="s">
        <v>268</v>
      </c>
      <c r="L131" s="136" t="s">
        <v>304</v>
      </c>
      <c r="M131" s="136" t="n">
        <v>1000</v>
      </c>
      <c r="N131" s="136"/>
      <c r="O131" s="136" t="s">
        <v>271</v>
      </c>
      <c r="P131" s="136"/>
      <c r="Q131" s="136"/>
      <c r="R131" s="136"/>
      <c r="S131" s="136" t="n">
        <v>10.65</v>
      </c>
      <c r="T131" s="136" t="n">
        <f aca="false">S131*M131</f>
        <v>10650</v>
      </c>
      <c r="U131" s="136"/>
      <c r="V131" s="200" t="n">
        <v>46295</v>
      </c>
      <c r="W131" s="200" t="n">
        <v>46295</v>
      </c>
      <c r="X131" s="136"/>
      <c r="Y131" s="136" t="s">
        <v>698</v>
      </c>
      <c r="Z131" s="136"/>
      <c r="AA131" s="136"/>
    </row>
    <row r="132" s="191" customFormat="true" ht="15" hidden="false" customHeight="false" outlineLevel="0" collapsed="false">
      <c r="B132" s="136" t="n">
        <v>128</v>
      </c>
      <c r="C132" s="201" t="s">
        <v>11</v>
      </c>
      <c r="D132" s="201" t="s">
        <v>92</v>
      </c>
      <c r="E132" s="201" t="s">
        <v>699</v>
      </c>
      <c r="F132" s="202" t="s">
        <v>458</v>
      </c>
      <c r="G132" s="201" t="s">
        <v>31</v>
      </c>
      <c r="H132" s="203" t="n">
        <v>46267</v>
      </c>
      <c r="I132" s="201" t="s">
        <v>340</v>
      </c>
      <c r="J132" s="201" t="s">
        <v>700</v>
      </c>
      <c r="K132" s="201" t="s">
        <v>268</v>
      </c>
      <c r="M132" s="201" t="n">
        <v>1000</v>
      </c>
      <c r="O132" s="201" t="s">
        <v>271</v>
      </c>
      <c r="P132" s="191" t="n">
        <v>3</v>
      </c>
      <c r="V132" s="203"/>
      <c r="W132" s="203"/>
    </row>
    <row r="133" s="191" customFormat="true" ht="15" hidden="false" customHeight="false" outlineLevel="0" collapsed="false">
      <c r="B133" s="136" t="n">
        <v>112</v>
      </c>
      <c r="C133" s="136" t="s">
        <v>9</v>
      </c>
      <c r="D133" s="136" t="s">
        <v>97</v>
      </c>
      <c r="E133" s="136" t="s">
        <v>701</v>
      </c>
      <c r="F133" s="171" t="s">
        <v>458</v>
      </c>
      <c r="G133" s="136" t="s">
        <v>31</v>
      </c>
      <c r="H133" s="200" t="n">
        <v>46272</v>
      </c>
      <c r="I133" s="136" t="s">
        <v>328</v>
      </c>
      <c r="J133" s="136" t="s">
        <v>549</v>
      </c>
      <c r="K133" s="136" t="s">
        <v>287</v>
      </c>
      <c r="L133" s="136" t="s">
        <v>430</v>
      </c>
      <c r="M133" s="136" t="n">
        <v>1000</v>
      </c>
      <c r="N133" s="136"/>
      <c r="O133" s="136" t="s">
        <v>271</v>
      </c>
      <c r="P133" s="136"/>
      <c r="Q133" s="136"/>
      <c r="R133" s="136"/>
      <c r="S133" s="204" t="n">
        <v>5.3</v>
      </c>
      <c r="T133" s="204" t="n">
        <f aca="false">M133 * S133</f>
        <v>5300</v>
      </c>
      <c r="U133" s="136"/>
      <c r="V133" s="200" t="n">
        <v>46276</v>
      </c>
      <c r="W133" s="200"/>
      <c r="X133" s="136"/>
      <c r="Y133" s="136" t="s">
        <v>698</v>
      </c>
      <c r="Z133" s="136"/>
      <c r="AA133" s="136"/>
    </row>
    <row r="135" customFormat="false" ht="15" hidden="false" customHeight="false" outlineLevel="0" collapsed="false">
      <c r="B135" s="205" t="n">
        <v>129</v>
      </c>
      <c r="H135" s="206"/>
      <c r="V135" s="206"/>
      <c r="W135" s="206"/>
    </row>
    <row r="136" customFormat="false" ht="15" hidden="false" customHeight="false" outlineLevel="0" collapsed="false">
      <c r="B136" s="205" t="n">
        <v>130</v>
      </c>
      <c r="H136" s="206"/>
      <c r="V136" s="206"/>
      <c r="W136" s="206"/>
    </row>
    <row r="137" customFormat="false" ht="15" hidden="false" customHeight="false" outlineLevel="0" collapsed="false">
      <c r="B137" s="205" t="n">
        <v>131</v>
      </c>
      <c r="H137" s="206"/>
      <c r="V137" s="206"/>
      <c r="W137" s="206"/>
    </row>
    <row r="138" customFormat="false" ht="15" hidden="false" customHeight="false" outlineLevel="0" collapsed="false">
      <c r="B138" s="205" t="n">
        <v>132</v>
      </c>
      <c r="H138" s="206"/>
      <c r="V138" s="206"/>
      <c r="W138" s="206"/>
    </row>
    <row r="139" customFormat="false" ht="15" hidden="false" customHeight="false" outlineLevel="0" collapsed="false">
      <c r="B139" s="205" t="n">
        <v>133</v>
      </c>
      <c r="H139" s="206"/>
      <c r="V139" s="206"/>
      <c r="W139" s="206"/>
    </row>
    <row r="140" customFormat="false" ht="15" hidden="false" customHeight="false" outlineLevel="0" collapsed="false">
      <c r="B140" s="205" t="n">
        <v>134</v>
      </c>
      <c r="H140" s="206"/>
      <c r="V140" s="206"/>
      <c r="W140" s="206"/>
    </row>
    <row r="141" customFormat="false" ht="15" hidden="false" customHeight="false" outlineLevel="0" collapsed="false">
      <c r="B141" s="205" t="n">
        <v>135</v>
      </c>
      <c r="H141" s="206"/>
      <c r="V141" s="206"/>
      <c r="W141" s="206"/>
    </row>
    <row r="142" customFormat="false" ht="15" hidden="false" customHeight="false" outlineLevel="0" collapsed="false">
      <c r="B142" s="205" t="n">
        <v>136</v>
      </c>
      <c r="H142" s="206"/>
      <c r="V142" s="206"/>
      <c r="W142" s="206"/>
    </row>
    <row r="143" customFormat="false" ht="15" hidden="false" customHeight="false" outlineLevel="0" collapsed="false">
      <c r="B143" s="205" t="n">
        <v>137</v>
      </c>
      <c r="H143" s="206"/>
      <c r="V143" s="206"/>
      <c r="W143" s="206"/>
    </row>
    <row r="144" customFormat="false" ht="15" hidden="false" customHeight="false" outlineLevel="0" collapsed="false">
      <c r="B144" s="205" t="n">
        <v>138</v>
      </c>
      <c r="H144" s="206"/>
      <c r="V144" s="206"/>
      <c r="W144" s="206"/>
    </row>
    <row r="145" customFormat="false" ht="15" hidden="false" customHeight="false" outlineLevel="0" collapsed="false">
      <c r="B145" s="205" t="n">
        <v>139</v>
      </c>
      <c r="H145" s="206"/>
      <c r="V145" s="206"/>
      <c r="W145" s="206"/>
    </row>
    <row r="146" customFormat="false" ht="15" hidden="false" customHeight="false" outlineLevel="0" collapsed="false">
      <c r="B146" s="205" t="n">
        <v>140</v>
      </c>
      <c r="H146" s="206"/>
      <c r="V146" s="206"/>
      <c r="W146" s="206"/>
    </row>
    <row r="147" customFormat="false" ht="15" hidden="false" customHeight="false" outlineLevel="0" collapsed="false">
      <c r="B147" s="205" t="n">
        <v>141</v>
      </c>
      <c r="H147" s="206"/>
      <c r="V147" s="206"/>
      <c r="W147" s="206"/>
    </row>
    <row r="148" customFormat="false" ht="15" hidden="false" customHeight="false" outlineLevel="0" collapsed="false">
      <c r="B148" s="205" t="n">
        <v>142</v>
      </c>
      <c r="H148" s="206"/>
      <c r="V148" s="206"/>
      <c r="W148" s="206"/>
    </row>
    <row r="149" customFormat="false" ht="15" hidden="false" customHeight="false" outlineLevel="0" collapsed="false">
      <c r="B149" s="205" t="n">
        <v>143</v>
      </c>
      <c r="H149" s="206"/>
      <c r="V149" s="206"/>
      <c r="W149" s="206"/>
    </row>
    <row r="150" customFormat="false" ht="15" hidden="false" customHeight="false" outlineLevel="0" collapsed="false">
      <c r="B150" s="205" t="n">
        <v>144</v>
      </c>
      <c r="H150" s="206"/>
      <c r="V150" s="206"/>
      <c r="W150" s="206"/>
    </row>
    <row r="151" customFormat="false" ht="15" hidden="false" customHeight="false" outlineLevel="0" collapsed="false">
      <c r="B151" s="205" t="n">
        <v>145</v>
      </c>
      <c r="H151" s="206"/>
      <c r="V151" s="206"/>
      <c r="W151" s="206"/>
    </row>
    <row r="152" customFormat="false" ht="15" hidden="false" customHeight="false" outlineLevel="0" collapsed="false">
      <c r="B152" s="205" t="n">
        <v>146</v>
      </c>
      <c r="H152" s="206"/>
      <c r="V152" s="206"/>
      <c r="W152" s="206"/>
    </row>
    <row r="153" customFormat="false" ht="15" hidden="false" customHeight="false" outlineLevel="0" collapsed="false">
      <c r="B153" s="205" t="n">
        <v>147</v>
      </c>
      <c r="H153" s="206"/>
      <c r="V153" s="206"/>
      <c r="W153" s="206"/>
    </row>
    <row r="154" customFormat="false" ht="15" hidden="false" customHeight="false" outlineLevel="0" collapsed="false">
      <c r="B154" s="205" t="n">
        <v>148</v>
      </c>
      <c r="H154" s="206"/>
      <c r="V154" s="206"/>
      <c r="W154" s="206"/>
    </row>
    <row r="155" customFormat="false" ht="15" hidden="false" customHeight="false" outlineLevel="0" collapsed="false">
      <c r="B155" s="205" t="n">
        <v>149</v>
      </c>
      <c r="H155" s="206"/>
      <c r="V155" s="206"/>
      <c r="W155" s="206"/>
    </row>
    <row r="156" customFormat="false" ht="15" hidden="false" customHeight="false" outlineLevel="0" collapsed="false">
      <c r="B156" s="205" t="n">
        <v>150</v>
      </c>
      <c r="H156" s="206"/>
      <c r="V156" s="206"/>
      <c r="W156" s="206"/>
    </row>
    <row r="157" customFormat="false" ht="15" hidden="false" customHeight="false" outlineLevel="0" collapsed="false">
      <c r="B157" s="205" t="n">
        <v>151</v>
      </c>
      <c r="H157" s="206"/>
      <c r="V157" s="206"/>
      <c r="W157" s="206"/>
    </row>
    <row r="158" customFormat="false" ht="15" hidden="false" customHeight="false" outlineLevel="0" collapsed="false">
      <c r="B158" s="205" t="n">
        <v>152</v>
      </c>
      <c r="H158" s="206"/>
      <c r="V158" s="206"/>
      <c r="W158" s="206"/>
    </row>
    <row r="159" customFormat="false" ht="15" hidden="false" customHeight="false" outlineLevel="0" collapsed="false">
      <c r="B159" s="205" t="n">
        <v>153</v>
      </c>
      <c r="H159" s="206"/>
      <c r="V159" s="206"/>
      <c r="W159" s="206"/>
    </row>
    <row r="160" customFormat="false" ht="15" hidden="false" customHeight="false" outlineLevel="0" collapsed="false">
      <c r="H160" s="206"/>
      <c r="V160" s="206"/>
      <c r="W160" s="206"/>
    </row>
    <row r="161" customFormat="false" ht="15" hidden="false" customHeight="false" outlineLevel="0" collapsed="false">
      <c r="H161" s="206"/>
      <c r="V161" s="206"/>
      <c r="W161" s="206"/>
    </row>
    <row r="162" customFormat="false" ht="15" hidden="false" customHeight="false" outlineLevel="0" collapsed="false">
      <c r="H162" s="206"/>
      <c r="V162" s="206"/>
      <c r="W162" s="206"/>
    </row>
    <row r="163" customFormat="false" ht="15" hidden="false" customHeight="false" outlineLevel="0" collapsed="false">
      <c r="H163" s="206"/>
      <c r="V163" s="206"/>
      <c r="W163" s="206"/>
    </row>
    <row r="164" customFormat="false" ht="15" hidden="false" customHeight="false" outlineLevel="0" collapsed="false">
      <c r="H164" s="206"/>
      <c r="V164" s="206"/>
      <c r="W164" s="206"/>
    </row>
    <row r="165" customFormat="false" ht="15" hidden="false" customHeight="false" outlineLevel="0" collapsed="false">
      <c r="H165" s="206"/>
      <c r="V165" s="206"/>
      <c r="W165" s="206"/>
    </row>
    <row r="166" customFormat="false" ht="15" hidden="false" customHeight="false" outlineLevel="0" collapsed="false">
      <c r="H166" s="206"/>
      <c r="V166" s="206"/>
      <c r="W166" s="206"/>
    </row>
    <row r="167" customFormat="false" ht="15" hidden="false" customHeight="false" outlineLevel="0" collapsed="false">
      <c r="H167" s="206"/>
      <c r="V167" s="206"/>
      <c r="W167" s="206"/>
    </row>
    <row r="168" customFormat="false" ht="15" hidden="false" customHeight="false" outlineLevel="0" collapsed="false">
      <c r="H168" s="206"/>
      <c r="V168" s="206"/>
      <c r="W168" s="206"/>
    </row>
    <row r="169" customFormat="false" ht="15" hidden="false" customHeight="false" outlineLevel="0" collapsed="false">
      <c r="H169" s="206"/>
      <c r="V169" s="206"/>
      <c r="W169" s="206"/>
    </row>
    <row r="170" customFormat="false" ht="15" hidden="false" customHeight="false" outlineLevel="0" collapsed="false">
      <c r="H170" s="206"/>
      <c r="V170" s="206"/>
      <c r="W170" s="206"/>
    </row>
    <row r="171" customFormat="false" ht="15" hidden="false" customHeight="false" outlineLevel="0" collapsed="false">
      <c r="H171" s="206"/>
      <c r="V171" s="206"/>
      <c r="W171" s="206"/>
    </row>
    <row r="172" customFormat="false" ht="15" hidden="false" customHeight="false" outlineLevel="0" collapsed="false">
      <c r="H172" s="206"/>
      <c r="V172" s="206"/>
      <c r="W172" s="206"/>
    </row>
    <row r="173" customFormat="false" ht="15" hidden="false" customHeight="false" outlineLevel="0" collapsed="false">
      <c r="H173" s="206"/>
      <c r="V173" s="206"/>
      <c r="W173" s="206"/>
    </row>
    <row r="174" customFormat="false" ht="15" hidden="false" customHeight="false" outlineLevel="0" collapsed="false">
      <c r="H174" s="206"/>
      <c r="V174" s="206"/>
      <c r="W174" s="206"/>
    </row>
    <row r="175" customFormat="false" ht="15" hidden="false" customHeight="false" outlineLevel="0" collapsed="false">
      <c r="H175" s="206"/>
      <c r="V175" s="206"/>
      <c r="W175" s="206"/>
    </row>
    <row r="176" customFormat="false" ht="15" hidden="false" customHeight="false" outlineLevel="0" collapsed="false">
      <c r="H176" s="206"/>
      <c r="V176" s="206"/>
      <c r="W176" s="206"/>
    </row>
    <row r="177" customFormat="false" ht="15" hidden="false" customHeight="false" outlineLevel="0" collapsed="false">
      <c r="H177" s="206"/>
      <c r="V177" s="206"/>
      <c r="W177" s="206"/>
    </row>
    <row r="178" customFormat="false" ht="15" hidden="false" customHeight="false" outlineLevel="0" collapsed="false">
      <c r="H178" s="206"/>
      <c r="V178" s="206"/>
      <c r="W178" s="206"/>
    </row>
    <row r="179" customFormat="false" ht="15" hidden="false" customHeight="false" outlineLevel="0" collapsed="false">
      <c r="H179" s="206"/>
      <c r="V179" s="206"/>
      <c r="W179" s="206"/>
    </row>
    <row r="180" customFormat="false" ht="15" hidden="false" customHeight="false" outlineLevel="0" collapsed="false">
      <c r="H180" s="206"/>
      <c r="V180" s="206"/>
      <c r="W180" s="206"/>
    </row>
    <row r="181" customFormat="false" ht="15" hidden="false" customHeight="false" outlineLevel="0" collapsed="false">
      <c r="H181" s="206"/>
      <c r="V181" s="206"/>
      <c r="W181" s="206"/>
    </row>
    <row r="182" customFormat="false" ht="15" hidden="false" customHeight="false" outlineLevel="0" collapsed="false">
      <c r="H182" s="206"/>
      <c r="V182" s="206"/>
      <c r="W182" s="206"/>
    </row>
    <row r="183" customFormat="false" ht="15" hidden="false" customHeight="false" outlineLevel="0" collapsed="false">
      <c r="H183" s="206"/>
      <c r="V183" s="206"/>
      <c r="W183" s="206"/>
    </row>
    <row r="184" customFormat="false" ht="15" hidden="false" customHeight="false" outlineLevel="0" collapsed="false">
      <c r="H184" s="206"/>
      <c r="V184" s="206"/>
      <c r="W184" s="206"/>
    </row>
    <row r="185" customFormat="false" ht="15" hidden="false" customHeight="false" outlineLevel="0" collapsed="false">
      <c r="H185" s="206"/>
      <c r="V185" s="206"/>
      <c r="W185" s="206"/>
    </row>
    <row r="186" customFormat="false" ht="15" hidden="false" customHeight="false" outlineLevel="0" collapsed="false">
      <c r="H186" s="206"/>
      <c r="V186" s="206"/>
      <c r="W186" s="206"/>
    </row>
    <row r="187" customFormat="false" ht="15" hidden="false" customHeight="false" outlineLevel="0" collapsed="false">
      <c r="H187" s="206"/>
      <c r="V187" s="206"/>
      <c r="W187" s="206"/>
    </row>
    <row r="188" customFormat="false" ht="15" hidden="false" customHeight="false" outlineLevel="0" collapsed="false">
      <c r="H188" s="206"/>
      <c r="V188" s="206"/>
      <c r="W188" s="206"/>
    </row>
    <row r="189" customFormat="false" ht="15" hidden="false" customHeight="false" outlineLevel="0" collapsed="false">
      <c r="H189" s="206"/>
      <c r="V189" s="206"/>
      <c r="W189" s="206"/>
    </row>
    <row r="190" customFormat="false" ht="15" hidden="false" customHeight="false" outlineLevel="0" collapsed="false">
      <c r="H190" s="206"/>
      <c r="V190" s="206"/>
      <c r="W190" s="206"/>
    </row>
    <row r="191" customFormat="false" ht="15" hidden="false" customHeight="false" outlineLevel="0" collapsed="false">
      <c r="H191" s="206"/>
      <c r="V191" s="206"/>
      <c r="W191" s="206"/>
    </row>
    <row r="192" customFormat="false" ht="15" hidden="false" customHeight="false" outlineLevel="0" collapsed="false">
      <c r="H192" s="206"/>
      <c r="V192" s="206"/>
      <c r="W192" s="206"/>
    </row>
    <row r="193" customFormat="false" ht="15" hidden="false" customHeight="false" outlineLevel="0" collapsed="false">
      <c r="H193" s="206"/>
      <c r="V193" s="206"/>
      <c r="W193" s="206"/>
    </row>
    <row r="194" customFormat="false" ht="15" hidden="false" customHeight="false" outlineLevel="0" collapsed="false">
      <c r="H194" s="206"/>
      <c r="V194" s="206"/>
      <c r="W194" s="206"/>
    </row>
    <row r="195" customFormat="false" ht="15" hidden="false" customHeight="false" outlineLevel="0" collapsed="false">
      <c r="H195" s="206"/>
      <c r="V195" s="206"/>
      <c r="W195" s="206"/>
    </row>
    <row r="196" customFormat="false" ht="15" hidden="false" customHeight="false" outlineLevel="0" collapsed="false">
      <c r="H196" s="206"/>
      <c r="V196" s="206"/>
      <c r="W196" s="206"/>
    </row>
    <row r="197" customFormat="false" ht="15" hidden="false" customHeight="false" outlineLevel="0" collapsed="false">
      <c r="H197" s="206"/>
      <c r="V197" s="206"/>
      <c r="W197" s="206"/>
    </row>
    <row r="198" customFormat="false" ht="15" hidden="false" customHeight="false" outlineLevel="0" collapsed="false">
      <c r="H198" s="206"/>
      <c r="V198" s="206"/>
      <c r="W198" s="206"/>
    </row>
    <row r="199" customFormat="false" ht="15" hidden="false" customHeight="false" outlineLevel="0" collapsed="false">
      <c r="H199" s="206"/>
      <c r="V199" s="206"/>
      <c r="W199" s="206"/>
    </row>
    <row r="200" customFormat="false" ht="15" hidden="false" customHeight="false" outlineLevel="0" collapsed="false">
      <c r="H200" s="206"/>
      <c r="V200" s="206"/>
      <c r="W200" s="206"/>
    </row>
    <row r="201" customFormat="false" ht="15" hidden="false" customHeight="false" outlineLevel="0" collapsed="false">
      <c r="H201" s="206"/>
      <c r="V201" s="206"/>
      <c r="W201" s="206"/>
    </row>
    <row r="202" customFormat="false" ht="15" hidden="false" customHeight="false" outlineLevel="0" collapsed="false">
      <c r="H202" s="206"/>
      <c r="V202" s="206"/>
      <c r="W202" s="206"/>
    </row>
    <row r="203" customFormat="false" ht="15" hidden="false" customHeight="false" outlineLevel="0" collapsed="false">
      <c r="H203" s="206"/>
      <c r="V203" s="206"/>
      <c r="W203" s="206"/>
    </row>
    <row r="204" customFormat="false" ht="15" hidden="false" customHeight="false" outlineLevel="0" collapsed="false">
      <c r="H204" s="206"/>
      <c r="V204" s="206"/>
      <c r="W204" s="206"/>
    </row>
    <row r="205" customFormat="false" ht="15" hidden="false" customHeight="false" outlineLevel="0" collapsed="false">
      <c r="H205" s="206"/>
      <c r="V205" s="206"/>
      <c r="W205" s="206"/>
    </row>
    <row r="206" customFormat="false" ht="15" hidden="false" customHeight="false" outlineLevel="0" collapsed="false">
      <c r="H206" s="206"/>
      <c r="V206" s="206"/>
      <c r="W206" s="206"/>
    </row>
    <row r="207" customFormat="false" ht="15" hidden="false" customHeight="false" outlineLevel="0" collapsed="false">
      <c r="H207" s="206"/>
      <c r="V207" s="206"/>
      <c r="W207" s="206"/>
    </row>
    <row r="208" customFormat="false" ht="15" hidden="false" customHeight="false" outlineLevel="0" collapsed="false">
      <c r="H208" s="206"/>
      <c r="V208" s="206"/>
      <c r="W208" s="206"/>
    </row>
    <row r="209" customFormat="false" ht="15" hidden="false" customHeight="false" outlineLevel="0" collapsed="false">
      <c r="H209" s="206"/>
      <c r="V209" s="206"/>
      <c r="W209" s="206"/>
    </row>
    <row r="210" customFormat="false" ht="15" hidden="false" customHeight="false" outlineLevel="0" collapsed="false">
      <c r="H210" s="206"/>
      <c r="V210" s="206"/>
      <c r="W210" s="206"/>
    </row>
    <row r="211" customFormat="false" ht="15" hidden="false" customHeight="false" outlineLevel="0" collapsed="false">
      <c r="H211" s="206"/>
      <c r="V211" s="206"/>
      <c r="W211" s="206"/>
    </row>
    <row r="212" customFormat="false" ht="15" hidden="false" customHeight="false" outlineLevel="0" collapsed="false">
      <c r="H212" s="206"/>
      <c r="V212" s="206"/>
      <c r="W212" s="206"/>
    </row>
    <row r="213" customFormat="false" ht="15" hidden="false" customHeight="false" outlineLevel="0" collapsed="false">
      <c r="H213" s="206"/>
      <c r="V213" s="206"/>
      <c r="W213" s="206"/>
    </row>
    <row r="214" customFormat="false" ht="15" hidden="false" customHeight="false" outlineLevel="0" collapsed="false">
      <c r="H214" s="206"/>
      <c r="V214" s="206"/>
      <c r="W214" s="206"/>
    </row>
    <row r="215" customFormat="false" ht="15" hidden="false" customHeight="false" outlineLevel="0" collapsed="false">
      <c r="H215" s="206"/>
      <c r="V215" s="206"/>
      <c r="W215" s="206"/>
    </row>
    <row r="216" customFormat="false" ht="15" hidden="false" customHeight="false" outlineLevel="0" collapsed="false">
      <c r="H216" s="206"/>
      <c r="V216" s="206"/>
      <c r="W216" s="206"/>
    </row>
    <row r="217" customFormat="false" ht="15" hidden="false" customHeight="false" outlineLevel="0" collapsed="false">
      <c r="H217" s="206"/>
      <c r="V217" s="206"/>
      <c r="W217" s="206"/>
    </row>
    <row r="218" customFormat="false" ht="15" hidden="false" customHeight="false" outlineLevel="0" collapsed="false">
      <c r="H218" s="206"/>
      <c r="V218" s="206"/>
      <c r="W218" s="206"/>
    </row>
    <row r="219" customFormat="false" ht="15" hidden="false" customHeight="false" outlineLevel="0" collapsed="false">
      <c r="H219" s="206"/>
      <c r="V219" s="206"/>
      <c r="W219" s="206"/>
    </row>
    <row r="220" customFormat="false" ht="15" hidden="false" customHeight="false" outlineLevel="0" collapsed="false">
      <c r="H220" s="206"/>
      <c r="V220" s="206"/>
      <c r="W220" s="206"/>
    </row>
    <row r="221" customFormat="false" ht="15" hidden="false" customHeight="false" outlineLevel="0" collapsed="false">
      <c r="H221" s="206"/>
      <c r="V221" s="206"/>
      <c r="W221" s="206"/>
    </row>
    <row r="222" customFormat="false" ht="15" hidden="false" customHeight="false" outlineLevel="0" collapsed="false">
      <c r="H222" s="206"/>
      <c r="V222" s="206"/>
      <c r="W222" s="206"/>
    </row>
    <row r="223" customFormat="false" ht="15" hidden="false" customHeight="false" outlineLevel="0" collapsed="false">
      <c r="H223" s="206"/>
      <c r="V223" s="206"/>
      <c r="W223" s="206"/>
    </row>
    <row r="224" customFormat="false" ht="15" hidden="false" customHeight="false" outlineLevel="0" collapsed="false">
      <c r="H224" s="206"/>
      <c r="V224" s="206"/>
      <c r="W224" s="206"/>
    </row>
    <row r="225" customFormat="false" ht="15" hidden="false" customHeight="false" outlineLevel="0" collapsed="false">
      <c r="H225" s="206"/>
      <c r="V225" s="206"/>
      <c r="W225" s="206"/>
    </row>
    <row r="226" customFormat="false" ht="15" hidden="false" customHeight="false" outlineLevel="0" collapsed="false">
      <c r="H226" s="206"/>
      <c r="V226" s="206"/>
      <c r="W226" s="206"/>
    </row>
    <row r="227" customFormat="false" ht="15" hidden="false" customHeight="false" outlineLevel="0" collapsed="false">
      <c r="H227" s="206"/>
      <c r="V227" s="206"/>
      <c r="W227" s="206"/>
    </row>
    <row r="228" customFormat="false" ht="15" hidden="false" customHeight="false" outlineLevel="0" collapsed="false">
      <c r="H228" s="206"/>
      <c r="V228" s="206"/>
      <c r="W228" s="206"/>
    </row>
    <row r="229" customFormat="false" ht="15" hidden="false" customHeight="false" outlineLevel="0" collapsed="false">
      <c r="H229" s="206"/>
      <c r="V229" s="206"/>
      <c r="W229" s="206"/>
    </row>
    <row r="230" customFormat="false" ht="15" hidden="false" customHeight="false" outlineLevel="0" collapsed="false">
      <c r="H230" s="206"/>
      <c r="V230" s="206"/>
      <c r="W230" s="206"/>
    </row>
    <row r="231" customFormat="false" ht="15" hidden="false" customHeight="false" outlineLevel="0" collapsed="false">
      <c r="H231" s="206"/>
      <c r="V231" s="206"/>
      <c r="W231" s="206"/>
    </row>
    <row r="232" customFormat="false" ht="15" hidden="false" customHeight="false" outlineLevel="0" collapsed="false">
      <c r="H232" s="206"/>
      <c r="V232" s="206"/>
      <c r="W232" s="206"/>
    </row>
    <row r="233" customFormat="false" ht="15" hidden="false" customHeight="false" outlineLevel="0" collapsed="false">
      <c r="H233" s="206"/>
      <c r="V233" s="206"/>
      <c r="W233" s="206"/>
    </row>
    <row r="234" customFormat="false" ht="15" hidden="false" customHeight="false" outlineLevel="0" collapsed="false">
      <c r="H234" s="206"/>
      <c r="V234" s="206"/>
      <c r="W234" s="206"/>
    </row>
    <row r="235" customFormat="false" ht="15" hidden="false" customHeight="false" outlineLevel="0" collapsed="false">
      <c r="H235" s="206"/>
      <c r="V235" s="206"/>
      <c r="W235" s="206"/>
    </row>
    <row r="236" customFormat="false" ht="15" hidden="false" customHeight="false" outlineLevel="0" collapsed="false">
      <c r="H236" s="206"/>
      <c r="V236" s="206"/>
      <c r="W236" s="206"/>
    </row>
    <row r="237" customFormat="false" ht="15" hidden="false" customHeight="false" outlineLevel="0" collapsed="false">
      <c r="H237" s="206"/>
      <c r="V237" s="206"/>
      <c r="W237" s="206"/>
    </row>
    <row r="238" customFormat="false" ht="15" hidden="false" customHeight="false" outlineLevel="0" collapsed="false">
      <c r="H238" s="206"/>
      <c r="V238" s="206"/>
      <c r="W238" s="206"/>
    </row>
    <row r="239" customFormat="false" ht="15" hidden="false" customHeight="false" outlineLevel="0" collapsed="false">
      <c r="H239" s="206"/>
      <c r="V239" s="206"/>
      <c r="W239" s="206"/>
    </row>
    <row r="240" customFormat="false" ht="15" hidden="false" customHeight="false" outlineLevel="0" collapsed="false">
      <c r="H240" s="206"/>
      <c r="V240" s="206"/>
      <c r="W240" s="206"/>
    </row>
    <row r="241" customFormat="false" ht="15" hidden="false" customHeight="false" outlineLevel="0" collapsed="false">
      <c r="H241" s="206"/>
      <c r="V241" s="206"/>
      <c r="W241" s="206"/>
    </row>
    <row r="242" customFormat="false" ht="15" hidden="false" customHeight="false" outlineLevel="0" collapsed="false">
      <c r="H242" s="206"/>
      <c r="V242" s="206"/>
      <c r="W242" s="206"/>
    </row>
    <row r="243" customFormat="false" ht="15" hidden="false" customHeight="false" outlineLevel="0" collapsed="false">
      <c r="H243" s="206"/>
      <c r="V243" s="206"/>
      <c r="W243" s="206"/>
    </row>
    <row r="244" customFormat="false" ht="15" hidden="false" customHeight="false" outlineLevel="0" collapsed="false">
      <c r="H244" s="206"/>
      <c r="V244" s="206"/>
      <c r="W244" s="206"/>
    </row>
    <row r="245" customFormat="false" ht="15" hidden="false" customHeight="false" outlineLevel="0" collapsed="false">
      <c r="H245" s="206"/>
      <c r="V245" s="206"/>
      <c r="W245" s="206"/>
    </row>
    <row r="246" customFormat="false" ht="15" hidden="false" customHeight="false" outlineLevel="0" collapsed="false">
      <c r="H246" s="206"/>
      <c r="V246" s="206"/>
      <c r="W246" s="206"/>
    </row>
    <row r="247" customFormat="false" ht="15" hidden="false" customHeight="false" outlineLevel="0" collapsed="false">
      <c r="H247" s="206"/>
      <c r="V247" s="206"/>
      <c r="W247" s="206"/>
    </row>
    <row r="248" customFormat="false" ht="15" hidden="false" customHeight="false" outlineLevel="0" collapsed="false">
      <c r="H248" s="206"/>
      <c r="V248" s="206"/>
      <c r="W248" s="206"/>
    </row>
    <row r="249" customFormat="false" ht="15" hidden="false" customHeight="false" outlineLevel="0" collapsed="false">
      <c r="H249" s="206"/>
      <c r="V249" s="206"/>
      <c r="W249" s="206"/>
    </row>
    <row r="250" customFormat="false" ht="15" hidden="false" customHeight="false" outlineLevel="0" collapsed="false">
      <c r="H250" s="206"/>
      <c r="V250" s="206"/>
      <c r="W250" s="206"/>
    </row>
    <row r="251" customFormat="false" ht="15" hidden="false" customHeight="false" outlineLevel="0" collapsed="false">
      <c r="H251" s="206"/>
      <c r="V251" s="206"/>
      <c r="W251" s="206"/>
    </row>
    <row r="252" customFormat="false" ht="15" hidden="false" customHeight="false" outlineLevel="0" collapsed="false">
      <c r="H252" s="206"/>
      <c r="V252" s="206"/>
      <c r="W252" s="206"/>
    </row>
    <row r="253" customFormat="false" ht="15" hidden="false" customHeight="false" outlineLevel="0" collapsed="false">
      <c r="H253" s="206"/>
      <c r="V253" s="206"/>
      <c r="W253" s="206"/>
    </row>
    <row r="254" customFormat="false" ht="15" hidden="false" customHeight="false" outlineLevel="0" collapsed="false">
      <c r="H254" s="206"/>
      <c r="V254" s="206"/>
      <c r="W254" s="206"/>
    </row>
    <row r="255" customFormat="false" ht="15" hidden="false" customHeight="false" outlineLevel="0" collapsed="false">
      <c r="H255" s="206"/>
      <c r="V255" s="206"/>
      <c r="W255" s="206"/>
    </row>
    <row r="256" customFormat="false" ht="15" hidden="false" customHeight="false" outlineLevel="0" collapsed="false">
      <c r="H256" s="206"/>
      <c r="V256" s="206"/>
      <c r="W256" s="206"/>
    </row>
    <row r="257" customFormat="false" ht="15" hidden="false" customHeight="false" outlineLevel="0" collapsed="false">
      <c r="H257" s="206"/>
      <c r="V257" s="206"/>
      <c r="W257" s="206"/>
    </row>
    <row r="258" customFormat="false" ht="15" hidden="false" customHeight="false" outlineLevel="0" collapsed="false">
      <c r="H258" s="206"/>
      <c r="V258" s="206"/>
      <c r="W258" s="206"/>
    </row>
    <row r="259" customFormat="false" ht="15" hidden="false" customHeight="false" outlineLevel="0" collapsed="false">
      <c r="H259" s="206"/>
      <c r="V259" s="206"/>
      <c r="W259" s="206"/>
    </row>
    <row r="260" customFormat="false" ht="15" hidden="false" customHeight="false" outlineLevel="0" collapsed="false">
      <c r="H260" s="206"/>
      <c r="V260" s="206"/>
      <c r="W260" s="206"/>
    </row>
    <row r="261" customFormat="false" ht="15" hidden="false" customHeight="false" outlineLevel="0" collapsed="false">
      <c r="H261" s="206"/>
      <c r="V261" s="206"/>
      <c r="W261" s="206"/>
    </row>
    <row r="262" customFormat="false" ht="15" hidden="false" customHeight="false" outlineLevel="0" collapsed="false">
      <c r="H262" s="206"/>
      <c r="V262" s="206"/>
      <c r="W262" s="206"/>
    </row>
    <row r="263" customFormat="false" ht="15" hidden="false" customHeight="false" outlineLevel="0" collapsed="false">
      <c r="H263" s="206"/>
      <c r="V263" s="206"/>
      <c r="W263" s="206"/>
    </row>
    <row r="264" customFormat="false" ht="15" hidden="false" customHeight="false" outlineLevel="0" collapsed="false">
      <c r="H264" s="206"/>
      <c r="V264" s="206"/>
      <c r="W264" s="206"/>
    </row>
    <row r="265" customFormat="false" ht="15" hidden="false" customHeight="false" outlineLevel="0" collapsed="false">
      <c r="H265" s="206"/>
      <c r="V265" s="206"/>
      <c r="W265" s="206"/>
    </row>
    <row r="266" customFormat="false" ht="15" hidden="false" customHeight="false" outlineLevel="0" collapsed="false">
      <c r="H266" s="206"/>
      <c r="V266" s="206"/>
      <c r="W266" s="206"/>
    </row>
    <row r="267" customFormat="false" ht="15" hidden="false" customHeight="false" outlineLevel="0" collapsed="false">
      <c r="H267" s="206"/>
      <c r="V267" s="206"/>
      <c r="W267" s="206"/>
    </row>
    <row r="268" customFormat="false" ht="15" hidden="false" customHeight="false" outlineLevel="0" collapsed="false">
      <c r="H268" s="206"/>
      <c r="V268" s="206"/>
      <c r="W268" s="206"/>
    </row>
    <row r="269" customFormat="false" ht="15" hidden="false" customHeight="false" outlineLevel="0" collapsed="false">
      <c r="H269" s="206"/>
      <c r="V269" s="206"/>
      <c r="W269" s="206"/>
    </row>
    <row r="270" customFormat="false" ht="15" hidden="false" customHeight="false" outlineLevel="0" collapsed="false">
      <c r="H270" s="206"/>
      <c r="V270" s="206"/>
      <c r="W270" s="206"/>
    </row>
    <row r="271" customFormat="false" ht="15" hidden="false" customHeight="false" outlineLevel="0" collapsed="false">
      <c r="H271" s="206"/>
      <c r="V271" s="206"/>
      <c r="W271" s="206"/>
    </row>
    <row r="272" customFormat="false" ht="15" hidden="false" customHeight="false" outlineLevel="0" collapsed="false">
      <c r="H272" s="206"/>
      <c r="V272" s="206"/>
      <c r="W272" s="206"/>
    </row>
    <row r="273" customFormat="false" ht="15" hidden="false" customHeight="false" outlineLevel="0" collapsed="false">
      <c r="H273" s="206"/>
      <c r="V273" s="206"/>
      <c r="W273" s="206"/>
    </row>
    <row r="274" customFormat="false" ht="15" hidden="false" customHeight="false" outlineLevel="0" collapsed="false">
      <c r="H274" s="206"/>
      <c r="V274" s="206"/>
      <c r="W274" s="206"/>
    </row>
    <row r="275" customFormat="false" ht="15" hidden="false" customHeight="false" outlineLevel="0" collapsed="false">
      <c r="H275" s="206"/>
      <c r="V275" s="206"/>
      <c r="W275" s="206"/>
    </row>
    <row r="276" customFormat="false" ht="15" hidden="false" customHeight="false" outlineLevel="0" collapsed="false">
      <c r="H276" s="206"/>
      <c r="V276" s="206"/>
      <c r="W276" s="206"/>
    </row>
    <row r="277" customFormat="false" ht="15" hidden="false" customHeight="false" outlineLevel="0" collapsed="false">
      <c r="H277" s="206"/>
      <c r="V277" s="206"/>
      <c r="W277" s="206"/>
    </row>
    <row r="278" customFormat="false" ht="15" hidden="false" customHeight="false" outlineLevel="0" collapsed="false">
      <c r="H278" s="206"/>
      <c r="V278" s="206"/>
      <c r="W278" s="206"/>
    </row>
    <row r="279" customFormat="false" ht="15" hidden="false" customHeight="false" outlineLevel="0" collapsed="false">
      <c r="H279" s="206"/>
      <c r="V279" s="206"/>
      <c r="W279" s="206"/>
    </row>
    <row r="280" customFormat="false" ht="15" hidden="false" customHeight="false" outlineLevel="0" collapsed="false">
      <c r="H280" s="206"/>
      <c r="V280" s="206"/>
      <c r="W280" s="206"/>
    </row>
    <row r="281" customFormat="false" ht="15" hidden="false" customHeight="false" outlineLevel="0" collapsed="false">
      <c r="H281" s="206"/>
      <c r="V281" s="206"/>
      <c r="W281" s="206"/>
    </row>
    <row r="282" customFormat="false" ht="15" hidden="false" customHeight="false" outlineLevel="0" collapsed="false">
      <c r="H282" s="206"/>
      <c r="V282" s="206"/>
      <c r="W282" s="206"/>
    </row>
    <row r="283" customFormat="false" ht="15" hidden="false" customHeight="false" outlineLevel="0" collapsed="false">
      <c r="H283" s="206"/>
      <c r="V283" s="206"/>
      <c r="W283" s="206"/>
    </row>
    <row r="284" customFormat="false" ht="15" hidden="false" customHeight="false" outlineLevel="0" collapsed="false">
      <c r="H284" s="206"/>
      <c r="V284" s="206"/>
      <c r="W284" s="206"/>
    </row>
    <row r="285" customFormat="false" ht="15" hidden="false" customHeight="false" outlineLevel="0" collapsed="false">
      <c r="H285" s="206"/>
      <c r="V285" s="206"/>
      <c r="W285" s="206"/>
    </row>
    <row r="286" customFormat="false" ht="15" hidden="false" customHeight="false" outlineLevel="0" collapsed="false">
      <c r="H286" s="206"/>
      <c r="V286" s="206"/>
      <c r="W286" s="206"/>
    </row>
    <row r="287" customFormat="false" ht="15" hidden="false" customHeight="false" outlineLevel="0" collapsed="false">
      <c r="H287" s="206"/>
      <c r="V287" s="206"/>
      <c r="W287" s="206"/>
    </row>
    <row r="288" customFormat="false" ht="15" hidden="false" customHeight="false" outlineLevel="0" collapsed="false">
      <c r="H288" s="206"/>
      <c r="V288" s="206"/>
      <c r="W288" s="206"/>
    </row>
    <row r="289" customFormat="false" ht="15" hidden="false" customHeight="false" outlineLevel="0" collapsed="false">
      <c r="H289" s="206"/>
      <c r="V289" s="206"/>
      <c r="W289" s="206"/>
    </row>
    <row r="290" customFormat="false" ht="15" hidden="false" customHeight="false" outlineLevel="0" collapsed="false">
      <c r="H290" s="206"/>
      <c r="V290" s="206"/>
      <c r="W290" s="206"/>
    </row>
    <row r="291" customFormat="false" ht="15" hidden="false" customHeight="false" outlineLevel="0" collapsed="false">
      <c r="H291" s="206"/>
      <c r="V291" s="206"/>
      <c r="W291" s="206"/>
    </row>
    <row r="292" customFormat="false" ht="15" hidden="false" customHeight="false" outlineLevel="0" collapsed="false">
      <c r="H292" s="206"/>
      <c r="V292" s="206"/>
      <c r="W292" s="206"/>
    </row>
    <row r="293" customFormat="false" ht="15" hidden="false" customHeight="false" outlineLevel="0" collapsed="false">
      <c r="H293" s="206"/>
      <c r="V293" s="206"/>
      <c r="W293" s="206"/>
    </row>
    <row r="294" customFormat="false" ht="15" hidden="false" customHeight="false" outlineLevel="0" collapsed="false">
      <c r="H294" s="206"/>
      <c r="V294" s="206"/>
      <c r="W294" s="206"/>
    </row>
    <row r="295" customFormat="false" ht="15" hidden="false" customHeight="false" outlineLevel="0" collapsed="false">
      <c r="H295" s="206"/>
      <c r="V295" s="206"/>
      <c r="W295" s="206"/>
    </row>
    <row r="296" customFormat="false" ht="15" hidden="false" customHeight="false" outlineLevel="0" collapsed="false">
      <c r="H296" s="206"/>
      <c r="V296" s="206"/>
      <c r="W296" s="206"/>
    </row>
    <row r="297" customFormat="false" ht="15" hidden="false" customHeight="false" outlineLevel="0" collapsed="false">
      <c r="H297" s="206"/>
      <c r="V297" s="206"/>
      <c r="W297" s="206"/>
    </row>
    <row r="298" customFormat="false" ht="15" hidden="false" customHeight="false" outlineLevel="0" collapsed="false">
      <c r="H298" s="206"/>
      <c r="V298" s="206"/>
      <c r="W298" s="206"/>
    </row>
    <row r="299" customFormat="false" ht="15" hidden="false" customHeight="false" outlineLevel="0" collapsed="false">
      <c r="H299" s="206"/>
      <c r="V299" s="206"/>
      <c r="W299" s="206"/>
    </row>
    <row r="300" customFormat="false" ht="15" hidden="false" customHeight="false" outlineLevel="0" collapsed="false">
      <c r="H300" s="206"/>
      <c r="V300" s="206"/>
      <c r="W300" s="206"/>
    </row>
    <row r="301" customFormat="false" ht="15" hidden="false" customHeight="false" outlineLevel="0" collapsed="false">
      <c r="H301" s="206"/>
      <c r="V301" s="206"/>
      <c r="W301" s="206"/>
    </row>
    <row r="302" customFormat="false" ht="15" hidden="false" customHeight="false" outlineLevel="0" collapsed="false">
      <c r="H302" s="206"/>
      <c r="V302" s="206"/>
      <c r="W302" s="206"/>
    </row>
    <row r="303" customFormat="false" ht="15" hidden="false" customHeight="false" outlineLevel="0" collapsed="false">
      <c r="H303" s="206"/>
      <c r="V303" s="206"/>
      <c r="W303" s="206"/>
    </row>
    <row r="304" customFormat="false" ht="15" hidden="false" customHeight="false" outlineLevel="0" collapsed="false">
      <c r="H304" s="206"/>
    </row>
    <row r="305" customFormat="false" ht="15" hidden="false" customHeight="false" outlineLevel="0" collapsed="false">
      <c r="H305" s="206"/>
    </row>
    <row r="306" customFormat="false" ht="15" hidden="false" customHeight="false" outlineLevel="0" collapsed="false">
      <c r="H306" s="206"/>
    </row>
    <row r="307" customFormat="false" ht="15" hidden="false" customHeight="false" outlineLevel="0" collapsed="false">
      <c r="H307" s="206"/>
    </row>
    <row r="308" customFormat="false" ht="15" hidden="false" customHeight="false" outlineLevel="0" collapsed="false">
      <c r="H308" s="206"/>
    </row>
    <row r="309" customFormat="false" ht="15" hidden="false" customHeight="false" outlineLevel="0" collapsed="false">
      <c r="H309" s="206"/>
    </row>
  </sheetData>
  <autoFilter ref="C5:AA159"/>
  <mergeCells count="1">
    <mergeCell ref="B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3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8.5390625" defaultRowHeight="15" zeroHeight="false" outlineLevelRow="0" outlineLevelCol="0"/>
  <cols>
    <col collapsed="false" customWidth="true" hidden="false" outlineLevel="0" max="3" min="3" style="0" width="11.71"/>
    <col collapsed="false" customWidth="true" hidden="false" outlineLevel="0" max="4" min="4" style="0" width="15"/>
    <col collapsed="false" customWidth="true" hidden="false" outlineLevel="0" max="5" min="5" style="0" width="13.57"/>
    <col collapsed="false" customWidth="true" hidden="false" outlineLevel="0" max="6" min="6" style="0" width="17.14"/>
  </cols>
  <sheetData>
    <row r="3" customFormat="false" ht="15" hidden="false" customHeight="false" outlineLevel="0" collapsed="false">
      <c r="C3" s="0" t="s">
        <v>702</v>
      </c>
    </row>
    <row r="6" customFormat="false" ht="52.5" hidden="false" customHeight="true" outlineLevel="0" collapsed="false">
      <c r="C6" s="207" t="s">
        <v>703</v>
      </c>
      <c r="D6" s="208" t="s">
        <v>31</v>
      </c>
      <c r="E6" s="208" t="s">
        <v>704</v>
      </c>
      <c r="F6" s="207" t="s">
        <v>705</v>
      </c>
    </row>
    <row r="7" customFormat="false" ht="15" hidden="false" customHeight="false" outlineLevel="0" collapsed="false">
      <c r="C7" s="209" t="s">
        <v>706</v>
      </c>
      <c r="D7" s="210" t="n">
        <v>207965.51</v>
      </c>
      <c r="E7" s="210" t="n">
        <v>18552.64</v>
      </c>
      <c r="F7" s="211" t="n">
        <f aca="false">SUM(D7:E7)</f>
        <v>226518.15</v>
      </c>
    </row>
    <row r="8" customFormat="false" ht="15" hidden="false" customHeight="false" outlineLevel="0" collapsed="false">
      <c r="C8" s="209" t="s">
        <v>707</v>
      </c>
      <c r="D8" s="210" t="n">
        <v>412934.33</v>
      </c>
      <c r="E8" s="210" t="n">
        <v>34972.13</v>
      </c>
      <c r="F8" s="211" t="n">
        <f aca="false">SUM(D8:E8)</f>
        <v>447906.46</v>
      </c>
    </row>
    <row r="9" customFormat="false" ht="15" hidden="false" customHeight="false" outlineLevel="0" collapsed="false">
      <c r="C9" s="209" t="s">
        <v>708</v>
      </c>
      <c r="D9" s="210" t="n">
        <v>338108.13</v>
      </c>
      <c r="E9" s="210" t="n">
        <v>20218.8</v>
      </c>
      <c r="F9" s="211" t="n">
        <f aca="false">SUM(D9:E9)</f>
        <v>358326.93</v>
      </c>
    </row>
    <row r="10" customFormat="false" ht="15" hidden="false" customHeight="false" outlineLevel="0" collapsed="false">
      <c r="C10" s="209" t="s">
        <v>709</v>
      </c>
      <c r="D10" s="210" t="n">
        <v>333169.05</v>
      </c>
      <c r="E10" s="212" t="n">
        <v>39194.82</v>
      </c>
      <c r="F10" s="211" t="n">
        <f aca="false">SUM(D10:E10)</f>
        <v>372363.87</v>
      </c>
    </row>
    <row r="11" customFormat="false" ht="15" hidden="false" customHeight="false" outlineLevel="0" collapsed="false">
      <c r="C11" s="209" t="s">
        <v>710</v>
      </c>
      <c r="D11" s="210" t="n">
        <v>458361.24</v>
      </c>
      <c r="E11" s="210" t="n">
        <v>13137</v>
      </c>
      <c r="F11" s="211" t="n">
        <f aca="false">SUM(D11:E11)</f>
        <v>471498.24</v>
      </c>
    </row>
    <row r="12" customFormat="false" ht="15" hidden="false" customHeight="false" outlineLevel="0" collapsed="false">
      <c r="C12" s="209" t="s">
        <v>711</v>
      </c>
      <c r="D12" s="210" t="n">
        <v>180709.7</v>
      </c>
      <c r="E12" s="210" t="n">
        <v>37768.47</v>
      </c>
      <c r="F12" s="211" t="n">
        <f aca="false">SUM(D12:E12)</f>
        <v>218478.17</v>
      </c>
    </row>
    <row r="13" customFormat="false" ht="35.25" hidden="false" customHeight="true" outlineLevel="0" collapsed="false">
      <c r="C13" s="213" t="s">
        <v>712</v>
      </c>
      <c r="D13" s="214" t="n">
        <f aca="false">SUM(D7:D12)</f>
        <v>1931247.96</v>
      </c>
      <c r="E13" s="214" t="n">
        <f aca="false">SUM(E7:E12)</f>
        <v>163843.86</v>
      </c>
      <c r="F13" s="215" t="n">
        <f aca="false">SUM(F7:F12)</f>
        <v>2095091.82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X3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48" activePane="bottomRight" state="frozen"/>
      <selection pane="topLeft" activeCell="A1" activeCellId="0" sqref="A1"/>
      <selection pane="topRight" activeCell="B1" activeCellId="0" sqref="B1"/>
      <selection pane="bottomLeft" activeCell="A48" activeCellId="0" sqref="A48"/>
      <selection pane="bottomRight" activeCell="B3" activeCellId="0" sqref="B3"/>
    </sheetView>
  </sheetViews>
  <sheetFormatPr defaultColWidth="8.5390625" defaultRowHeight="15" zeroHeight="false" outlineLevelRow="0" outlineLevelCol="0"/>
  <cols>
    <col collapsed="false" customWidth="true" hidden="false" outlineLevel="0" max="3" min="3" style="0" width="28.42"/>
    <col collapsed="false" customWidth="true" hidden="false" outlineLevel="0" max="5" min="5" style="0" width="20"/>
    <col collapsed="false" customWidth="true" hidden="false" outlineLevel="0" max="6" min="6" style="0" width="15.14"/>
    <col collapsed="false" customWidth="true" hidden="false" outlineLevel="0" max="7" min="7" style="0" width="15.43"/>
    <col collapsed="false" customWidth="true" hidden="false" outlineLevel="0" max="8" min="8" style="0" width="10.43"/>
    <col collapsed="false" customWidth="true" hidden="false" outlineLevel="0" max="9" min="9" style="0" width="14.43"/>
    <col collapsed="false" customWidth="true" hidden="false" outlineLevel="0" max="10" min="10" style="0" width="17.71"/>
    <col collapsed="false" customWidth="true" hidden="false" outlineLevel="0" max="18" min="18" style="0" width="19.57"/>
    <col collapsed="false" customWidth="true" hidden="false" outlineLevel="0" max="20" min="19" style="0" width="10.43"/>
    <col collapsed="false" customWidth="true" hidden="false" outlineLevel="0" max="22" min="22" style="0" width="14.57"/>
    <col collapsed="false" customWidth="true" hidden="false" outlineLevel="0" max="23" min="23" style="0" width="13.71"/>
  </cols>
  <sheetData>
    <row r="1" customFormat="false" ht="46.5" hidden="false" customHeight="true" outlineLevel="0" collapsed="false">
      <c r="B1" s="216" t="e">
        <f aca="false">#VALUE!</f>
        <v>#VALUE!</v>
      </c>
      <c r="C1" s="216"/>
      <c r="D1" s="216"/>
    </row>
    <row r="3" customFormat="false" ht="23.25" hidden="false" customHeight="false" outlineLevel="0" collapsed="false">
      <c r="B3" s="97" t="s">
        <v>713</v>
      </c>
      <c r="C3" s="97"/>
      <c r="D3" s="97"/>
      <c r="E3" s="97"/>
    </row>
    <row r="5" customFormat="false" ht="75" hidden="false" customHeight="true" outlineLevel="0" collapsed="false">
      <c r="B5" s="217" t="s">
        <v>193</v>
      </c>
      <c r="C5" s="217" t="s">
        <v>28</v>
      </c>
      <c r="D5" s="217" t="s">
        <v>434</v>
      </c>
      <c r="E5" s="217" t="s">
        <v>435</v>
      </c>
      <c r="F5" s="217" t="s">
        <v>436</v>
      </c>
      <c r="G5" s="217" t="s">
        <v>437</v>
      </c>
      <c r="H5" s="217" t="s">
        <v>438</v>
      </c>
      <c r="I5" s="217" t="s">
        <v>15</v>
      </c>
      <c r="J5" s="217" t="s">
        <v>257</v>
      </c>
      <c r="K5" s="217" t="s">
        <v>714</v>
      </c>
      <c r="L5" s="217" t="s">
        <v>442</v>
      </c>
      <c r="M5" s="217" t="s">
        <v>443</v>
      </c>
      <c r="N5" s="217" t="s">
        <v>444</v>
      </c>
      <c r="O5" s="217" t="s">
        <v>445</v>
      </c>
      <c r="P5" s="217" t="s">
        <v>446</v>
      </c>
      <c r="Q5" s="217" t="s">
        <v>447</v>
      </c>
      <c r="R5" s="217" t="s">
        <v>448</v>
      </c>
      <c r="S5" s="217" t="s">
        <v>449</v>
      </c>
      <c r="T5" s="217" t="s">
        <v>450</v>
      </c>
      <c r="U5" s="217" t="s">
        <v>451</v>
      </c>
      <c r="V5" s="217" t="s">
        <v>452</v>
      </c>
      <c r="W5" s="217" t="s">
        <v>264</v>
      </c>
      <c r="X5" s="217" t="s">
        <v>453</v>
      </c>
    </row>
    <row r="6" customFormat="false" ht="15" hidden="false" customHeight="false" outlineLevel="0" collapsed="false">
      <c r="B6" s="218" t="n">
        <v>1</v>
      </c>
      <c r="C6" s="218" t="s">
        <v>178</v>
      </c>
      <c r="D6" s="218"/>
      <c r="E6" s="218" t="s">
        <v>715</v>
      </c>
      <c r="F6" s="219" t="s">
        <v>716</v>
      </c>
      <c r="G6" s="218" t="s">
        <v>164</v>
      </c>
      <c r="H6" s="220" t="n">
        <v>45981</v>
      </c>
      <c r="I6" s="218" t="s">
        <v>717</v>
      </c>
      <c r="J6" s="218" t="s">
        <v>718</v>
      </c>
      <c r="K6" s="218" t="n">
        <v>25.5</v>
      </c>
      <c r="L6" s="218" t="s">
        <v>271</v>
      </c>
      <c r="M6" s="218"/>
      <c r="N6" s="218"/>
      <c r="O6" s="218"/>
      <c r="P6" s="218" t="n">
        <v>31.8</v>
      </c>
      <c r="Q6" s="218"/>
      <c r="R6" s="218" t="s">
        <v>719</v>
      </c>
      <c r="S6" s="220" t="n">
        <v>45999</v>
      </c>
      <c r="T6" s="220" t="n">
        <v>45999</v>
      </c>
      <c r="U6" s="218"/>
      <c r="V6" s="218" t="s">
        <v>455</v>
      </c>
      <c r="W6" s="218"/>
      <c r="X6" s="218"/>
    </row>
    <row r="7" customFormat="false" ht="15" hidden="false" customHeight="false" outlineLevel="0" collapsed="false">
      <c r="B7" s="218" t="n">
        <v>2</v>
      </c>
      <c r="C7" s="218" t="s">
        <v>178</v>
      </c>
      <c r="D7" s="218"/>
      <c r="E7" s="218" t="s">
        <v>715</v>
      </c>
      <c r="F7" s="219" t="s">
        <v>716</v>
      </c>
      <c r="G7" s="218" t="s">
        <v>164</v>
      </c>
      <c r="H7" s="220" t="n">
        <v>45981</v>
      </c>
      <c r="I7" s="218" t="s">
        <v>720</v>
      </c>
      <c r="J7" s="218" t="s">
        <v>718</v>
      </c>
      <c r="K7" s="218" t="n">
        <v>25.5</v>
      </c>
      <c r="L7" s="218" t="s">
        <v>271</v>
      </c>
      <c r="M7" s="218"/>
      <c r="N7" s="218"/>
      <c r="O7" s="218"/>
      <c r="P7" s="218" t="n">
        <v>31.8</v>
      </c>
      <c r="Q7" s="218"/>
      <c r="R7" s="218" t="s">
        <v>719</v>
      </c>
      <c r="S7" s="220" t="n">
        <v>45999</v>
      </c>
      <c r="T7" s="220" t="n">
        <v>45999</v>
      </c>
      <c r="U7" s="218"/>
      <c r="V7" s="218" t="s">
        <v>455</v>
      </c>
      <c r="W7" s="218"/>
      <c r="X7" s="218"/>
    </row>
    <row r="8" customFormat="false" ht="15" hidden="false" customHeight="false" outlineLevel="0" collapsed="false">
      <c r="B8" s="218" t="n">
        <v>3</v>
      </c>
      <c r="C8" s="218" t="s">
        <v>178</v>
      </c>
      <c r="D8" s="218"/>
      <c r="E8" s="218" t="s">
        <v>715</v>
      </c>
      <c r="F8" s="219" t="s">
        <v>716</v>
      </c>
      <c r="G8" s="218" t="s">
        <v>164</v>
      </c>
      <c r="H8" s="220" t="n">
        <v>45981</v>
      </c>
      <c r="I8" s="218" t="s">
        <v>721</v>
      </c>
      <c r="J8" s="218" t="s">
        <v>722</v>
      </c>
      <c r="K8" s="218" t="n">
        <v>25.5</v>
      </c>
      <c r="L8" s="218" t="s">
        <v>271</v>
      </c>
      <c r="M8" s="218"/>
      <c r="N8" s="218"/>
      <c r="O8" s="218"/>
      <c r="P8" s="218" t="n">
        <v>29.13</v>
      </c>
      <c r="Q8" s="218"/>
      <c r="R8" s="218" t="s">
        <v>719</v>
      </c>
      <c r="S8" s="220" t="n">
        <v>45999</v>
      </c>
      <c r="T8" s="220" t="n">
        <v>45999</v>
      </c>
      <c r="U8" s="218"/>
      <c r="V8" s="218" t="s">
        <v>455</v>
      </c>
      <c r="W8" s="218"/>
      <c r="X8" s="218"/>
    </row>
    <row r="9" customFormat="false" ht="15" hidden="false" customHeight="false" outlineLevel="0" collapsed="false">
      <c r="B9" s="218" t="n">
        <v>4</v>
      </c>
      <c r="C9" s="218" t="s">
        <v>161</v>
      </c>
      <c r="D9" s="218"/>
      <c r="E9" s="218" t="s">
        <v>723</v>
      </c>
      <c r="F9" s="219" t="s">
        <v>458</v>
      </c>
      <c r="G9" s="218" t="s">
        <v>164</v>
      </c>
      <c r="H9" s="220" t="n">
        <v>45995</v>
      </c>
      <c r="I9" s="218" t="s">
        <v>724</v>
      </c>
      <c r="J9" s="218" t="s">
        <v>473</v>
      </c>
      <c r="K9" s="218" t="n">
        <v>125</v>
      </c>
      <c r="L9" s="218" t="s">
        <v>271</v>
      </c>
      <c r="M9" s="218" t="n">
        <v>15.32</v>
      </c>
      <c r="N9" s="218" t="n">
        <v>1915</v>
      </c>
      <c r="O9" s="218" t="n">
        <v>4.35</v>
      </c>
      <c r="P9" s="218"/>
      <c r="Q9" s="218"/>
      <c r="R9" s="218" t="s">
        <v>725</v>
      </c>
      <c r="S9" s="220" t="n">
        <v>46031</v>
      </c>
      <c r="T9" s="220" t="n">
        <v>46031</v>
      </c>
      <c r="U9" s="218"/>
      <c r="V9" s="218" t="s">
        <v>455</v>
      </c>
      <c r="W9" s="218"/>
      <c r="X9" s="218"/>
    </row>
    <row r="10" customFormat="false" ht="15" hidden="false" customHeight="false" outlineLevel="0" collapsed="false">
      <c r="B10" s="218" t="n">
        <v>5</v>
      </c>
      <c r="C10" s="218" t="s">
        <v>170</v>
      </c>
      <c r="D10" s="218"/>
      <c r="E10" s="218" t="s">
        <v>726</v>
      </c>
      <c r="F10" s="219" t="n">
        <v>72502703</v>
      </c>
      <c r="G10" s="218" t="s">
        <v>164</v>
      </c>
      <c r="H10" s="220" t="n">
        <v>45995</v>
      </c>
      <c r="I10" s="218" t="s">
        <v>727</v>
      </c>
      <c r="J10" s="218" t="s">
        <v>274</v>
      </c>
      <c r="K10" s="218" t="n">
        <v>50</v>
      </c>
      <c r="L10" s="218" t="s">
        <v>271</v>
      </c>
      <c r="M10" s="218"/>
      <c r="N10" s="218"/>
      <c r="O10" s="218"/>
      <c r="P10" s="218" t="n">
        <v>16</v>
      </c>
      <c r="Q10" s="218"/>
      <c r="R10" s="219" t="s">
        <v>728</v>
      </c>
      <c r="S10" s="220" t="n">
        <v>45996</v>
      </c>
      <c r="T10" s="220" t="n">
        <v>45996</v>
      </c>
      <c r="U10" s="218"/>
      <c r="V10" s="218" t="s">
        <v>455</v>
      </c>
      <c r="W10" s="218"/>
      <c r="X10" s="218"/>
    </row>
    <row r="11" customFormat="false" ht="15" hidden="false" customHeight="false" outlineLevel="0" collapsed="false">
      <c r="B11" s="218" t="n">
        <v>6</v>
      </c>
      <c r="C11" s="218" t="s">
        <v>178</v>
      </c>
      <c r="D11" s="218"/>
      <c r="E11" s="218" t="s">
        <v>729</v>
      </c>
      <c r="F11" s="219" t="s">
        <v>730</v>
      </c>
      <c r="G11" s="218" t="s">
        <v>164</v>
      </c>
      <c r="H11" s="220" t="n">
        <v>46029</v>
      </c>
      <c r="I11" s="218" t="s">
        <v>731</v>
      </c>
      <c r="J11" s="218" t="s">
        <v>722</v>
      </c>
      <c r="K11" s="218" t="n">
        <v>51.5</v>
      </c>
      <c r="L11" s="218" t="s">
        <v>271</v>
      </c>
      <c r="M11" s="218"/>
      <c r="N11" s="218"/>
      <c r="O11" s="218"/>
      <c r="P11" s="218" t="n">
        <v>22.5</v>
      </c>
      <c r="Q11" s="218"/>
      <c r="R11" s="218" t="s">
        <v>732</v>
      </c>
      <c r="S11" s="220" t="n">
        <v>46037</v>
      </c>
      <c r="T11" s="220" t="n">
        <v>46037</v>
      </c>
      <c r="U11" s="218"/>
      <c r="V11" s="218" t="s">
        <v>455</v>
      </c>
      <c r="W11" s="218"/>
      <c r="X11" s="218"/>
    </row>
    <row r="12" customFormat="false" ht="15" hidden="false" customHeight="false" outlineLevel="0" collapsed="false">
      <c r="B12" s="218" t="n">
        <v>7</v>
      </c>
      <c r="C12" s="218" t="s">
        <v>178</v>
      </c>
      <c r="D12" s="218"/>
      <c r="E12" s="218" t="s">
        <v>729</v>
      </c>
      <c r="F12" s="219" t="s">
        <v>730</v>
      </c>
      <c r="G12" s="218" t="s">
        <v>164</v>
      </c>
      <c r="H12" s="220" t="n">
        <v>46029</v>
      </c>
      <c r="I12" s="218" t="s">
        <v>733</v>
      </c>
      <c r="J12" s="218" t="s">
        <v>734</v>
      </c>
      <c r="K12" s="218" t="n">
        <v>51.5</v>
      </c>
      <c r="L12" s="218" t="s">
        <v>271</v>
      </c>
      <c r="M12" s="218"/>
      <c r="N12" s="218"/>
      <c r="O12" s="218"/>
      <c r="P12" s="218" t="n">
        <v>30</v>
      </c>
      <c r="Q12" s="218"/>
      <c r="R12" s="218" t="s">
        <v>732</v>
      </c>
      <c r="S12" s="220" t="n">
        <v>46037</v>
      </c>
      <c r="T12" s="220" t="n">
        <v>46037</v>
      </c>
      <c r="U12" s="218"/>
      <c r="V12" s="218" t="s">
        <v>455</v>
      </c>
      <c r="W12" s="218"/>
      <c r="X12" s="218"/>
    </row>
    <row r="13" customFormat="false" ht="15" hidden="false" customHeight="false" outlineLevel="0" collapsed="false">
      <c r="B13" s="218" t="n">
        <v>8</v>
      </c>
      <c r="C13" s="218" t="s">
        <v>178</v>
      </c>
      <c r="D13" s="218"/>
      <c r="E13" s="218" t="s">
        <v>729</v>
      </c>
      <c r="F13" s="219" t="s">
        <v>730</v>
      </c>
      <c r="G13" s="218" t="s">
        <v>164</v>
      </c>
      <c r="H13" s="220" t="n">
        <v>46029</v>
      </c>
      <c r="I13" s="218" t="s">
        <v>735</v>
      </c>
      <c r="J13" s="218" t="s">
        <v>274</v>
      </c>
      <c r="K13" s="218" t="n">
        <v>50</v>
      </c>
      <c r="L13" s="218" t="s">
        <v>271</v>
      </c>
      <c r="M13" s="218"/>
      <c r="N13" s="218"/>
      <c r="O13" s="218"/>
      <c r="P13" s="218" t="n">
        <v>14.1</v>
      </c>
      <c r="Q13" s="218"/>
      <c r="R13" s="218" t="s">
        <v>736</v>
      </c>
      <c r="S13" s="220" t="n">
        <v>46037</v>
      </c>
      <c r="T13" s="220" t="n">
        <v>46037</v>
      </c>
      <c r="U13" s="218"/>
      <c r="V13" s="218" t="s">
        <v>455</v>
      </c>
      <c r="W13" s="218"/>
      <c r="X13" s="218"/>
    </row>
    <row r="14" customFormat="false" ht="15" hidden="false" customHeight="false" outlineLevel="0" collapsed="false">
      <c r="B14" s="218" t="n">
        <v>9</v>
      </c>
      <c r="C14" s="218" t="s">
        <v>170</v>
      </c>
      <c r="D14" s="218"/>
      <c r="E14" s="218" t="s">
        <v>737</v>
      </c>
      <c r="F14" s="219" t="n">
        <v>72600058</v>
      </c>
      <c r="G14" s="218" t="s">
        <v>164</v>
      </c>
      <c r="H14" s="220" t="n">
        <v>46035</v>
      </c>
      <c r="I14" s="218" t="s">
        <v>738</v>
      </c>
      <c r="J14" s="218" t="s">
        <v>739</v>
      </c>
      <c r="K14" s="218" t="n">
        <v>30</v>
      </c>
      <c r="L14" s="218" t="s">
        <v>271</v>
      </c>
      <c r="M14" s="218"/>
      <c r="N14" s="218"/>
      <c r="O14" s="218"/>
      <c r="P14" s="218" t="n">
        <v>55</v>
      </c>
      <c r="Q14" s="218"/>
      <c r="R14" s="219" t="s">
        <v>740</v>
      </c>
      <c r="S14" s="220" t="n">
        <v>46036</v>
      </c>
      <c r="T14" s="220" t="n">
        <v>46037</v>
      </c>
      <c r="U14" s="218"/>
      <c r="V14" s="218" t="s">
        <v>455</v>
      </c>
      <c r="W14" s="218" t="s">
        <v>482</v>
      </c>
      <c r="X14" s="218"/>
    </row>
    <row r="15" customFormat="false" ht="15" hidden="false" customHeight="false" outlineLevel="0" collapsed="false">
      <c r="B15" s="218" t="n">
        <v>10</v>
      </c>
      <c r="C15" s="218" t="s">
        <v>178</v>
      </c>
      <c r="D15" s="218"/>
      <c r="E15" s="218" t="s">
        <v>741</v>
      </c>
      <c r="F15" s="219" t="s">
        <v>458</v>
      </c>
      <c r="G15" s="218" t="s">
        <v>164</v>
      </c>
      <c r="H15" s="220" t="n">
        <v>46052</v>
      </c>
      <c r="I15" s="218" t="s">
        <v>742</v>
      </c>
      <c r="J15" s="218" t="s">
        <v>743</v>
      </c>
      <c r="K15" s="218" t="n">
        <v>80</v>
      </c>
      <c r="L15" s="218" t="s">
        <v>271</v>
      </c>
      <c r="M15" s="218"/>
      <c r="N15" s="218"/>
      <c r="O15" s="218"/>
      <c r="P15" s="218" t="n">
        <v>49.9</v>
      </c>
      <c r="Q15" s="218"/>
      <c r="R15" s="218" t="s">
        <v>744</v>
      </c>
      <c r="S15" s="220" t="n">
        <v>46058</v>
      </c>
      <c r="T15" s="220" t="n">
        <v>46058</v>
      </c>
      <c r="U15" s="218"/>
      <c r="V15" s="218" t="s">
        <v>455</v>
      </c>
      <c r="W15" s="218"/>
      <c r="X15" s="218"/>
    </row>
    <row r="16" customFormat="false" ht="15" hidden="false" customHeight="false" outlineLevel="0" collapsed="false">
      <c r="B16" s="218" t="n">
        <v>11</v>
      </c>
      <c r="C16" s="218" t="s">
        <v>178</v>
      </c>
      <c r="D16" s="218"/>
      <c r="E16" s="218" t="s">
        <v>745</v>
      </c>
      <c r="F16" s="219" t="s">
        <v>746</v>
      </c>
      <c r="G16" s="218" t="s">
        <v>164</v>
      </c>
      <c r="H16" s="220" t="n">
        <v>46059</v>
      </c>
      <c r="I16" s="218" t="s">
        <v>733</v>
      </c>
      <c r="J16" s="218" t="s">
        <v>734</v>
      </c>
      <c r="K16" s="218" t="n">
        <v>25</v>
      </c>
      <c r="L16" s="218" t="s">
        <v>271</v>
      </c>
      <c r="M16" s="218"/>
      <c r="N16" s="218"/>
      <c r="O16" s="218"/>
      <c r="P16" s="218" t="n">
        <v>30</v>
      </c>
      <c r="Q16" s="218"/>
      <c r="R16" s="218" t="s">
        <v>747</v>
      </c>
      <c r="S16" s="220" t="n">
        <v>46069</v>
      </c>
      <c r="T16" s="220" t="n">
        <v>46069</v>
      </c>
      <c r="U16" s="218"/>
      <c r="V16" s="218" t="s">
        <v>455</v>
      </c>
      <c r="W16" s="218"/>
      <c r="X16" s="218"/>
    </row>
    <row r="17" customFormat="false" ht="15" hidden="false" customHeight="false" outlineLevel="0" collapsed="false">
      <c r="B17" s="218" t="n">
        <v>12</v>
      </c>
      <c r="C17" s="218" t="s">
        <v>178</v>
      </c>
      <c r="D17" s="218"/>
      <c r="E17" s="218" t="s">
        <v>745</v>
      </c>
      <c r="F17" s="219" t="s">
        <v>746</v>
      </c>
      <c r="G17" s="218" t="s">
        <v>164</v>
      </c>
      <c r="H17" s="220" t="n">
        <v>46059</v>
      </c>
      <c r="I17" s="218" t="s">
        <v>748</v>
      </c>
      <c r="J17" s="218" t="s">
        <v>749</v>
      </c>
      <c r="K17" s="218" t="n">
        <v>25</v>
      </c>
      <c r="L17" s="218" t="s">
        <v>271</v>
      </c>
      <c r="M17" s="218"/>
      <c r="N17" s="218"/>
      <c r="O17" s="218"/>
      <c r="P17" s="218" t="n">
        <v>21.55</v>
      </c>
      <c r="Q17" s="218"/>
      <c r="R17" s="218" t="s">
        <v>747</v>
      </c>
      <c r="S17" s="220" t="n">
        <v>46069</v>
      </c>
      <c r="T17" s="220" t="n">
        <v>46069</v>
      </c>
      <c r="U17" s="218"/>
      <c r="V17" s="218" t="s">
        <v>455</v>
      </c>
      <c r="W17" s="218"/>
      <c r="X17" s="218"/>
    </row>
    <row r="18" customFormat="false" ht="15" hidden="false" customHeight="false" outlineLevel="0" collapsed="false">
      <c r="B18" s="218" t="n">
        <v>13</v>
      </c>
      <c r="C18" s="218" t="s">
        <v>161</v>
      </c>
      <c r="D18" s="218"/>
      <c r="E18" s="218" t="s">
        <v>750</v>
      </c>
      <c r="F18" s="219" t="s">
        <v>458</v>
      </c>
      <c r="G18" s="218" t="s">
        <v>164</v>
      </c>
      <c r="H18" s="220" t="n">
        <v>46063</v>
      </c>
      <c r="I18" s="218" t="s">
        <v>724</v>
      </c>
      <c r="J18" s="218" t="s">
        <v>473</v>
      </c>
      <c r="K18" s="218" t="n">
        <v>250</v>
      </c>
      <c r="L18" s="218" t="s">
        <v>271</v>
      </c>
      <c r="M18" s="218" t="n">
        <v>14.64</v>
      </c>
      <c r="N18" s="218" t="n">
        <v>3660</v>
      </c>
      <c r="O18" s="218" t="n">
        <v>4.35</v>
      </c>
      <c r="P18" s="218" t="n">
        <v>63.684</v>
      </c>
      <c r="Q18" s="218"/>
      <c r="R18" s="218" t="s">
        <v>751</v>
      </c>
      <c r="S18" s="220" t="n">
        <v>46073</v>
      </c>
      <c r="T18" s="220" t="n">
        <v>46070</v>
      </c>
      <c r="U18" s="218"/>
      <c r="V18" s="218" t="s">
        <v>455</v>
      </c>
      <c r="W18" s="218"/>
      <c r="X18" s="218"/>
    </row>
    <row r="19" customFormat="false" ht="15" hidden="false" customHeight="false" outlineLevel="0" collapsed="false">
      <c r="B19" s="218" t="n">
        <v>14</v>
      </c>
      <c r="C19" s="218" t="s">
        <v>186</v>
      </c>
      <c r="D19" s="218"/>
      <c r="E19" s="218" t="s">
        <v>752</v>
      </c>
      <c r="F19" s="219" t="s">
        <v>458</v>
      </c>
      <c r="G19" s="218" t="s">
        <v>164</v>
      </c>
      <c r="H19" s="220" t="n">
        <v>46063</v>
      </c>
      <c r="I19" s="218" t="s">
        <v>753</v>
      </c>
      <c r="J19" s="218" t="s">
        <v>375</v>
      </c>
      <c r="K19" s="218" t="n">
        <v>72</v>
      </c>
      <c r="L19" s="218" t="s">
        <v>271</v>
      </c>
      <c r="M19" s="218"/>
      <c r="N19" s="218" t="n">
        <v>0</v>
      </c>
      <c r="O19" s="218"/>
      <c r="P19" s="218" t="n">
        <v>49.29</v>
      </c>
      <c r="Q19" s="218"/>
      <c r="R19" s="218" t="s">
        <v>754</v>
      </c>
      <c r="S19" s="220" t="n">
        <v>46064</v>
      </c>
      <c r="T19" s="220" t="n">
        <v>46064</v>
      </c>
      <c r="U19" s="218" t="e">
        <f aca="false">#REF!</f>
        <v>#REF!</v>
      </c>
      <c r="V19" s="218" t="s">
        <v>455</v>
      </c>
      <c r="W19" s="218"/>
      <c r="X19" s="218"/>
    </row>
    <row r="20" customFormat="false" ht="15" hidden="false" customHeight="false" outlineLevel="0" collapsed="false">
      <c r="B20" s="218" t="n">
        <v>15</v>
      </c>
      <c r="C20" s="218" t="s">
        <v>186</v>
      </c>
      <c r="D20" s="218"/>
      <c r="E20" s="218" t="s">
        <v>752</v>
      </c>
      <c r="F20" s="219" t="s">
        <v>458</v>
      </c>
      <c r="G20" s="218" t="s">
        <v>164</v>
      </c>
      <c r="H20" s="220" t="n">
        <v>46063</v>
      </c>
      <c r="I20" s="218" t="s">
        <v>755</v>
      </c>
      <c r="J20" s="218" t="s">
        <v>756</v>
      </c>
      <c r="K20" s="218" t="n">
        <v>100</v>
      </c>
      <c r="L20" s="218" t="s">
        <v>271</v>
      </c>
      <c r="M20" s="218"/>
      <c r="N20" s="218" t="n">
        <v>0</v>
      </c>
      <c r="O20" s="218"/>
      <c r="P20" s="218" t="n">
        <v>33.75</v>
      </c>
      <c r="Q20" s="218"/>
      <c r="R20" s="218" t="s">
        <v>757</v>
      </c>
      <c r="S20" s="220" t="n">
        <v>46077</v>
      </c>
      <c r="T20" s="220" t="n">
        <v>46073</v>
      </c>
      <c r="U20" s="218" t="e">
        <f aca="false">#REF!</f>
        <v>#REF!</v>
      </c>
      <c r="V20" s="218" t="s">
        <v>455</v>
      </c>
      <c r="W20" s="218"/>
      <c r="X20" s="218"/>
    </row>
    <row r="21" customFormat="false" ht="15" hidden="false" customHeight="false" outlineLevel="0" collapsed="false">
      <c r="B21" s="218" t="n">
        <v>16</v>
      </c>
      <c r="C21" s="218" t="s">
        <v>178</v>
      </c>
      <c r="D21" s="218"/>
      <c r="E21" s="218" t="s">
        <v>758</v>
      </c>
      <c r="F21" s="219" t="s">
        <v>759</v>
      </c>
      <c r="G21" s="218" t="s">
        <v>164</v>
      </c>
      <c r="H21" s="220" t="n">
        <v>46063</v>
      </c>
      <c r="I21" s="218" t="s">
        <v>742</v>
      </c>
      <c r="J21" s="218" t="s">
        <v>743</v>
      </c>
      <c r="K21" s="218" t="n">
        <v>20</v>
      </c>
      <c r="L21" s="218" t="s">
        <v>271</v>
      </c>
      <c r="M21" s="218"/>
      <c r="N21" s="218"/>
      <c r="O21" s="218"/>
      <c r="P21" s="218" t="n">
        <v>49.9</v>
      </c>
      <c r="Q21" s="218"/>
      <c r="R21" s="218" t="s">
        <v>760</v>
      </c>
      <c r="S21" s="220" t="n">
        <v>46071</v>
      </c>
      <c r="T21" s="220" t="n">
        <v>46071</v>
      </c>
      <c r="U21" s="218"/>
      <c r="V21" s="218" t="s">
        <v>455</v>
      </c>
      <c r="W21" s="218"/>
      <c r="X21" s="218"/>
    </row>
    <row r="22" customFormat="false" ht="15" hidden="false" customHeight="false" outlineLevel="0" collapsed="false">
      <c r="B22" s="218" t="n">
        <v>17</v>
      </c>
      <c r="C22" s="218" t="s">
        <v>178</v>
      </c>
      <c r="D22" s="218"/>
      <c r="E22" s="218" t="s">
        <v>758</v>
      </c>
      <c r="F22" s="219" t="s">
        <v>759</v>
      </c>
      <c r="G22" s="218" t="s">
        <v>164</v>
      </c>
      <c r="H22" s="220" t="n">
        <v>46063</v>
      </c>
      <c r="I22" s="218" t="s">
        <v>742</v>
      </c>
      <c r="J22" s="218" t="s">
        <v>743</v>
      </c>
      <c r="K22" s="218" t="n">
        <v>100</v>
      </c>
      <c r="L22" s="218" t="s">
        <v>271</v>
      </c>
      <c r="M22" s="218"/>
      <c r="N22" s="218"/>
      <c r="O22" s="218"/>
      <c r="P22" s="218" t="n">
        <v>49.9</v>
      </c>
      <c r="Q22" s="218"/>
      <c r="R22" s="218" t="s">
        <v>760</v>
      </c>
      <c r="S22" s="220" t="n">
        <v>46071</v>
      </c>
      <c r="T22" s="220" t="n">
        <v>46071</v>
      </c>
      <c r="U22" s="218"/>
      <c r="V22" s="218" t="s">
        <v>455</v>
      </c>
      <c r="W22" s="218"/>
      <c r="X22" s="218"/>
    </row>
    <row r="23" customFormat="false" ht="15" hidden="false" customHeight="false" outlineLevel="0" collapsed="false">
      <c r="B23" s="218" t="n">
        <v>18</v>
      </c>
      <c r="C23" s="218" t="s">
        <v>178</v>
      </c>
      <c r="D23" s="218"/>
      <c r="E23" s="218" t="s">
        <v>761</v>
      </c>
      <c r="F23" s="219" t="s">
        <v>458</v>
      </c>
      <c r="G23" s="218" t="s">
        <v>164</v>
      </c>
      <c r="H23" s="220" t="n">
        <v>46066</v>
      </c>
      <c r="I23" s="218" t="s">
        <v>762</v>
      </c>
      <c r="J23" s="218" t="s">
        <v>756</v>
      </c>
      <c r="K23" s="218" t="n">
        <v>25</v>
      </c>
      <c r="L23" s="218" t="s">
        <v>271</v>
      </c>
      <c r="M23" s="218"/>
      <c r="N23" s="218"/>
      <c r="O23" s="218"/>
      <c r="P23" s="218" t="n">
        <v>29.9</v>
      </c>
      <c r="Q23" s="218"/>
      <c r="R23" s="218" t="s">
        <v>747</v>
      </c>
      <c r="S23" s="220" t="n">
        <v>46069</v>
      </c>
      <c r="T23" s="220" t="n">
        <v>46069</v>
      </c>
      <c r="U23" s="218"/>
      <c r="V23" s="218" t="s">
        <v>455</v>
      </c>
      <c r="W23" s="218"/>
      <c r="X23" s="218"/>
    </row>
    <row r="24" customFormat="false" ht="15" hidden="false" customHeight="false" outlineLevel="0" collapsed="false">
      <c r="B24" s="218" t="n">
        <v>19</v>
      </c>
      <c r="C24" s="218" t="s">
        <v>178</v>
      </c>
      <c r="D24" s="218"/>
      <c r="E24" s="218" t="s">
        <v>763</v>
      </c>
      <c r="F24" s="219" t="s">
        <v>764</v>
      </c>
      <c r="G24" s="218" t="s">
        <v>164</v>
      </c>
      <c r="H24" s="220" t="n">
        <v>46084</v>
      </c>
      <c r="I24" s="218" t="s">
        <v>765</v>
      </c>
      <c r="J24" s="218" t="s">
        <v>766</v>
      </c>
      <c r="K24" s="218" t="n">
        <v>50</v>
      </c>
      <c r="L24" s="218" t="s">
        <v>271</v>
      </c>
      <c r="M24" s="218"/>
      <c r="N24" s="218"/>
      <c r="O24" s="218"/>
      <c r="P24" s="218" t="n">
        <v>76.1</v>
      </c>
      <c r="Q24" s="218"/>
      <c r="R24" s="218" t="s">
        <v>767</v>
      </c>
      <c r="S24" s="220" t="n">
        <v>46092</v>
      </c>
      <c r="T24" s="220"/>
      <c r="U24" s="218"/>
      <c r="V24" s="218" t="s">
        <v>455</v>
      </c>
      <c r="W24" s="218"/>
      <c r="X24" s="218"/>
    </row>
    <row r="25" customFormat="false" ht="15" hidden="false" customHeight="false" outlineLevel="0" collapsed="false">
      <c r="B25" s="218" t="n">
        <v>20</v>
      </c>
      <c r="C25" s="218" t="s">
        <v>178</v>
      </c>
      <c r="D25" s="218"/>
      <c r="E25" s="218" t="s">
        <v>763</v>
      </c>
      <c r="F25" s="219" t="s">
        <v>764</v>
      </c>
      <c r="G25" s="218" t="s">
        <v>164</v>
      </c>
      <c r="H25" s="220" t="n">
        <v>46084</v>
      </c>
      <c r="I25" s="218" t="s">
        <v>748</v>
      </c>
      <c r="J25" s="218" t="s">
        <v>749</v>
      </c>
      <c r="K25" s="218" t="n">
        <v>25</v>
      </c>
      <c r="L25" s="218" t="s">
        <v>271</v>
      </c>
      <c r="M25" s="218"/>
      <c r="N25" s="218"/>
      <c r="O25" s="218"/>
      <c r="P25" s="218"/>
      <c r="Q25" s="218"/>
      <c r="R25" s="218" t="s">
        <v>768</v>
      </c>
      <c r="S25" s="220" t="n">
        <v>46092</v>
      </c>
      <c r="T25" s="220"/>
      <c r="U25" s="218"/>
      <c r="V25" s="218" t="s">
        <v>455</v>
      </c>
      <c r="W25" s="218"/>
      <c r="X25" s="218"/>
    </row>
    <row r="26" customFormat="false" ht="15" hidden="false" customHeight="false" outlineLevel="0" collapsed="false">
      <c r="B26" s="218" t="n">
        <v>21</v>
      </c>
      <c r="C26" s="218" t="s">
        <v>186</v>
      </c>
      <c r="D26" s="218"/>
      <c r="E26" s="218" t="s">
        <v>769</v>
      </c>
      <c r="F26" s="219" t="s">
        <v>458</v>
      </c>
      <c r="G26" s="218" t="s">
        <v>164</v>
      </c>
      <c r="H26" s="220" t="n">
        <v>46084</v>
      </c>
      <c r="I26" s="218" t="s">
        <v>770</v>
      </c>
      <c r="J26" s="218" t="s">
        <v>739</v>
      </c>
      <c r="K26" s="218" t="n">
        <v>7</v>
      </c>
      <c r="L26" s="218" t="s">
        <v>271</v>
      </c>
      <c r="M26" s="218"/>
      <c r="N26" s="218" t="n">
        <v>0</v>
      </c>
      <c r="O26" s="218"/>
      <c r="P26" s="218" t="n">
        <v>29</v>
      </c>
      <c r="Q26" s="218"/>
      <c r="R26" s="218" t="s">
        <v>771</v>
      </c>
      <c r="S26" s="220"/>
      <c r="T26" s="220"/>
      <c r="U26" s="218" t="e">
        <f aca="false">#REF!</f>
        <v>#REF!</v>
      </c>
      <c r="V26" s="218" t="s">
        <v>455</v>
      </c>
      <c r="W26" s="218"/>
      <c r="X26" s="218"/>
    </row>
    <row r="27" customFormat="false" ht="15" hidden="false" customHeight="false" outlineLevel="0" collapsed="false">
      <c r="B27" s="218" t="n">
        <v>22</v>
      </c>
      <c r="C27" s="218" t="s">
        <v>186</v>
      </c>
      <c r="D27" s="218"/>
      <c r="E27" s="218" t="s">
        <v>769</v>
      </c>
      <c r="F27" s="219" t="s">
        <v>458</v>
      </c>
      <c r="G27" s="218" t="s">
        <v>164</v>
      </c>
      <c r="H27" s="220" t="n">
        <v>46084</v>
      </c>
      <c r="I27" s="218" t="s">
        <v>772</v>
      </c>
      <c r="J27" s="218" t="s">
        <v>718</v>
      </c>
      <c r="K27" s="218" t="n">
        <v>15</v>
      </c>
      <c r="L27" s="218" t="s">
        <v>271</v>
      </c>
      <c r="M27" s="218"/>
      <c r="N27" s="218"/>
      <c r="O27" s="218"/>
      <c r="P27" s="218" t="n">
        <v>32.5</v>
      </c>
      <c r="Q27" s="218"/>
      <c r="R27" s="218" t="s">
        <v>771</v>
      </c>
      <c r="S27" s="220"/>
      <c r="T27" s="220"/>
      <c r="U27" s="218" t="e">
        <f aca="false">#REF!</f>
        <v>#REF!</v>
      </c>
      <c r="V27" s="218" t="s">
        <v>455</v>
      </c>
      <c r="W27" s="218"/>
      <c r="X27" s="218"/>
    </row>
    <row r="28" customFormat="false" ht="15" hidden="false" customHeight="false" outlineLevel="0" collapsed="false">
      <c r="B28" s="218" t="n">
        <v>23</v>
      </c>
      <c r="C28" s="218" t="s">
        <v>178</v>
      </c>
      <c r="D28" s="218"/>
      <c r="E28" s="218" t="s">
        <v>773</v>
      </c>
      <c r="F28" s="219" t="s">
        <v>774</v>
      </c>
      <c r="G28" s="218" t="s">
        <v>164</v>
      </c>
      <c r="H28" s="220" t="n">
        <v>46084</v>
      </c>
      <c r="I28" s="218" t="s">
        <v>735</v>
      </c>
      <c r="J28" s="218" t="s">
        <v>274</v>
      </c>
      <c r="K28" s="218" t="n">
        <v>50</v>
      </c>
      <c r="L28" s="218" t="s">
        <v>271</v>
      </c>
      <c r="M28" s="218"/>
      <c r="N28" s="218"/>
      <c r="O28" s="218"/>
      <c r="P28" s="218"/>
      <c r="Q28" s="218"/>
      <c r="R28" s="218" t="s">
        <v>775</v>
      </c>
      <c r="S28" s="220" t="n">
        <v>46086</v>
      </c>
      <c r="T28" s="220"/>
      <c r="U28" s="218"/>
      <c r="V28" s="218" t="s">
        <v>455</v>
      </c>
      <c r="W28" s="218"/>
      <c r="X28" s="218"/>
    </row>
    <row r="29" customFormat="false" ht="15" hidden="false" customHeight="false" outlineLevel="0" collapsed="false">
      <c r="B29" s="218" t="n">
        <v>24</v>
      </c>
      <c r="C29" s="218" t="s">
        <v>186</v>
      </c>
      <c r="D29" s="218"/>
      <c r="E29" s="218" t="s">
        <v>776</v>
      </c>
      <c r="F29" s="219" t="s">
        <v>458</v>
      </c>
      <c r="G29" s="218" t="s">
        <v>164</v>
      </c>
      <c r="H29" s="220" t="n">
        <v>46085</v>
      </c>
      <c r="I29" s="218" t="s">
        <v>777</v>
      </c>
      <c r="J29" s="218" t="s">
        <v>778</v>
      </c>
      <c r="K29" s="218" t="n">
        <v>25</v>
      </c>
      <c r="L29" s="218" t="s">
        <v>271</v>
      </c>
      <c r="M29" s="218"/>
      <c r="N29" s="218"/>
      <c r="O29" s="218"/>
      <c r="P29" s="218"/>
      <c r="Q29" s="218"/>
      <c r="R29" s="218" t="s">
        <v>779</v>
      </c>
      <c r="S29" s="220"/>
      <c r="T29" s="220"/>
      <c r="U29" s="218"/>
      <c r="V29" s="218" t="s">
        <v>455</v>
      </c>
      <c r="W29" s="218"/>
      <c r="X29" s="218"/>
    </row>
    <row r="30" customFormat="false" ht="15" hidden="false" customHeight="false" outlineLevel="0" collapsed="false">
      <c r="B30" s="218" t="n">
        <v>25</v>
      </c>
      <c r="C30" s="218" t="s">
        <v>161</v>
      </c>
      <c r="D30" s="218"/>
      <c r="E30" s="218" t="s">
        <v>780</v>
      </c>
      <c r="F30" s="219" t="s">
        <v>458</v>
      </c>
      <c r="G30" s="218" t="s">
        <v>164</v>
      </c>
      <c r="H30" s="220" t="n">
        <v>46085</v>
      </c>
      <c r="I30" s="218" t="s">
        <v>781</v>
      </c>
      <c r="J30" s="218" t="s">
        <v>287</v>
      </c>
      <c r="K30" s="218" t="n">
        <v>25</v>
      </c>
      <c r="L30" s="218" t="s">
        <v>271</v>
      </c>
      <c r="M30" s="218"/>
      <c r="N30" s="218"/>
      <c r="O30" s="218"/>
      <c r="P30" s="218"/>
      <c r="Q30" s="218"/>
      <c r="R30" s="218" t="s">
        <v>782</v>
      </c>
      <c r="S30" s="220" t="n">
        <v>46094</v>
      </c>
      <c r="T30" s="220" t="n">
        <v>46094</v>
      </c>
      <c r="U30" s="218"/>
      <c r="V30" s="218" t="s">
        <v>455</v>
      </c>
      <c r="W30" s="218"/>
      <c r="X30" s="218"/>
    </row>
    <row r="31" customFormat="false" ht="15" hidden="false" customHeight="false" outlineLevel="0" collapsed="false">
      <c r="B31" s="218" t="n">
        <v>26</v>
      </c>
      <c r="C31" s="218" t="s">
        <v>170</v>
      </c>
      <c r="D31" s="218"/>
      <c r="E31" s="218" t="s">
        <v>783</v>
      </c>
      <c r="F31" s="219" t="n">
        <v>72600653</v>
      </c>
      <c r="G31" s="218" t="s">
        <v>164</v>
      </c>
      <c r="H31" s="220" t="n">
        <v>46099</v>
      </c>
      <c r="I31" s="218" t="s">
        <v>738</v>
      </c>
      <c r="J31" s="218" t="s">
        <v>739</v>
      </c>
      <c r="K31" s="218" t="n">
        <v>15</v>
      </c>
      <c r="L31" s="218" t="s">
        <v>271</v>
      </c>
      <c r="M31" s="218"/>
      <c r="N31" s="218"/>
      <c r="O31" s="218"/>
      <c r="P31" s="218" t="n">
        <v>55</v>
      </c>
      <c r="Q31" s="218"/>
      <c r="R31" s="219" t="n">
        <v>90260711</v>
      </c>
      <c r="S31" s="220" t="n">
        <v>46101</v>
      </c>
      <c r="T31" s="220" t="n">
        <v>46100</v>
      </c>
      <c r="U31" s="218"/>
      <c r="V31" s="218" t="s">
        <v>455</v>
      </c>
      <c r="W31" s="218"/>
      <c r="X31" s="218"/>
    </row>
    <row r="32" customFormat="false" ht="15" hidden="false" customHeight="false" outlineLevel="0" collapsed="false">
      <c r="B32" s="218" t="n">
        <v>27</v>
      </c>
      <c r="C32" s="218" t="s">
        <v>186</v>
      </c>
      <c r="D32" s="218"/>
      <c r="E32" s="218" t="s">
        <v>784</v>
      </c>
      <c r="F32" s="219" t="s">
        <v>458</v>
      </c>
      <c r="G32" s="218" t="s">
        <v>164</v>
      </c>
      <c r="H32" s="220" t="n">
        <v>46099</v>
      </c>
      <c r="I32" s="218" t="s">
        <v>785</v>
      </c>
      <c r="J32" s="218" t="s">
        <v>778</v>
      </c>
      <c r="K32" s="218" t="n">
        <v>25</v>
      </c>
      <c r="L32" s="218" t="s">
        <v>271</v>
      </c>
      <c r="M32" s="218"/>
      <c r="N32" s="218"/>
      <c r="O32" s="218"/>
      <c r="P32" s="218"/>
      <c r="Q32" s="218"/>
      <c r="R32" s="218"/>
      <c r="S32" s="220"/>
      <c r="T32" s="220"/>
      <c r="U32" s="218"/>
      <c r="V32" s="218" t="s">
        <v>455</v>
      </c>
      <c r="W32" s="218"/>
      <c r="X32" s="218"/>
    </row>
    <row r="33" customFormat="false" ht="15" hidden="false" customHeight="false" outlineLevel="0" collapsed="false">
      <c r="B33" s="218" t="n">
        <v>28</v>
      </c>
      <c r="C33" s="218" t="s">
        <v>186</v>
      </c>
      <c r="D33" s="218"/>
      <c r="E33" s="218" t="s">
        <v>786</v>
      </c>
      <c r="F33" s="219" t="s">
        <v>458</v>
      </c>
      <c r="G33" s="218" t="s">
        <v>787</v>
      </c>
      <c r="H33" s="220" t="n">
        <v>46099</v>
      </c>
      <c r="I33" s="218" t="s">
        <v>788</v>
      </c>
      <c r="J33" s="218"/>
      <c r="K33" s="218" t="n">
        <v>125</v>
      </c>
      <c r="L33" s="218" t="s">
        <v>271</v>
      </c>
      <c r="M33" s="218"/>
      <c r="N33" s="218"/>
      <c r="O33" s="218"/>
      <c r="P33" s="218" t="n">
        <v>20.79</v>
      </c>
      <c r="Q33" s="218"/>
      <c r="R33" s="218" t="s">
        <v>789</v>
      </c>
      <c r="S33" s="220"/>
      <c r="T33" s="220"/>
      <c r="U33" s="218"/>
      <c r="V33" s="218" t="s">
        <v>455</v>
      </c>
      <c r="W33" s="218"/>
      <c r="X33" s="218"/>
    </row>
    <row r="34" customFormat="false" ht="15" hidden="false" customHeight="false" outlineLevel="0" collapsed="false">
      <c r="B34" s="218" t="n">
        <v>29</v>
      </c>
      <c r="C34" s="218" t="s">
        <v>178</v>
      </c>
      <c r="D34" s="218"/>
      <c r="E34" s="218" t="s">
        <v>790</v>
      </c>
      <c r="F34" s="219" t="s">
        <v>458</v>
      </c>
      <c r="G34" s="218" t="s">
        <v>164</v>
      </c>
      <c r="H34" s="220" t="n">
        <v>46105</v>
      </c>
      <c r="I34" s="218" t="s">
        <v>791</v>
      </c>
      <c r="J34" s="218" t="s">
        <v>778</v>
      </c>
      <c r="K34" s="218" t="n">
        <v>25</v>
      </c>
      <c r="L34" s="218" t="s">
        <v>271</v>
      </c>
      <c r="M34" s="218"/>
      <c r="N34" s="218"/>
      <c r="O34" s="218"/>
      <c r="P34" s="218" t="n">
        <v>27.8</v>
      </c>
      <c r="Q34" s="218"/>
      <c r="R34" s="218" t="s">
        <v>792</v>
      </c>
      <c r="S34" s="220" t="n">
        <v>46115</v>
      </c>
      <c r="T34" s="220"/>
      <c r="U34" s="218"/>
      <c r="V34" s="218" t="s">
        <v>455</v>
      </c>
      <c r="W34" s="218"/>
      <c r="X34" s="218"/>
    </row>
    <row r="35" customFormat="false" ht="15" hidden="false" customHeight="false" outlineLevel="0" collapsed="false">
      <c r="B35" s="218" t="n">
        <v>30</v>
      </c>
      <c r="C35" s="218" t="s">
        <v>178</v>
      </c>
      <c r="D35" s="218"/>
      <c r="E35" s="218" t="s">
        <v>793</v>
      </c>
      <c r="F35" s="219" t="s">
        <v>458</v>
      </c>
      <c r="G35" s="218" t="s">
        <v>164</v>
      </c>
      <c r="H35" s="220" t="n">
        <v>46107</v>
      </c>
      <c r="I35" s="218" t="s">
        <v>794</v>
      </c>
      <c r="J35" s="218" t="s">
        <v>373</v>
      </c>
      <c r="K35" s="218" t="n">
        <v>100</v>
      </c>
      <c r="L35" s="218" t="s">
        <v>271</v>
      </c>
      <c r="M35" s="218"/>
      <c r="N35" s="218"/>
      <c r="O35" s="218"/>
      <c r="P35" s="218" t="n">
        <v>47</v>
      </c>
      <c r="Q35" s="218"/>
      <c r="R35" s="218"/>
      <c r="S35" s="220" t="n">
        <v>46113</v>
      </c>
      <c r="T35" s="220"/>
      <c r="U35" s="218"/>
      <c r="V35" s="218" t="s">
        <v>455</v>
      </c>
      <c r="W35" s="218"/>
      <c r="X35" s="218"/>
    </row>
    <row r="36" customFormat="false" ht="15" hidden="false" customHeight="false" outlineLevel="0" collapsed="false">
      <c r="B36" s="218" t="n">
        <v>31</v>
      </c>
      <c r="C36" s="218" t="s">
        <v>178</v>
      </c>
      <c r="D36" s="218"/>
      <c r="E36" s="218" t="s">
        <v>793</v>
      </c>
      <c r="F36" s="219" t="s">
        <v>458</v>
      </c>
      <c r="G36" s="218" t="s">
        <v>164</v>
      </c>
      <c r="H36" s="220" t="n">
        <v>46107</v>
      </c>
      <c r="I36" s="218" t="s">
        <v>794</v>
      </c>
      <c r="J36" s="218" t="s">
        <v>373</v>
      </c>
      <c r="K36" s="218" t="n">
        <v>125</v>
      </c>
      <c r="L36" s="218" t="s">
        <v>271</v>
      </c>
      <c r="M36" s="218"/>
      <c r="N36" s="218"/>
      <c r="O36" s="218"/>
      <c r="P36" s="218" t="n">
        <v>47</v>
      </c>
      <c r="Q36" s="218"/>
      <c r="R36" s="218"/>
      <c r="S36" s="220" t="n">
        <v>46120</v>
      </c>
      <c r="T36" s="220"/>
      <c r="U36" s="218"/>
      <c r="V36" s="218" t="s">
        <v>455</v>
      </c>
      <c r="W36" s="218"/>
      <c r="X36" s="218"/>
    </row>
    <row r="37" customFormat="false" ht="15" hidden="false" customHeight="false" outlineLevel="0" collapsed="false">
      <c r="B37" s="218" t="n">
        <v>32</v>
      </c>
      <c r="C37" s="218" t="s">
        <v>178</v>
      </c>
      <c r="D37" s="218"/>
      <c r="E37" s="218" t="s">
        <v>793</v>
      </c>
      <c r="F37" s="219" t="s">
        <v>458</v>
      </c>
      <c r="G37" s="218" t="s">
        <v>164</v>
      </c>
      <c r="H37" s="220" t="n">
        <v>46107</v>
      </c>
      <c r="I37" s="218" t="s">
        <v>795</v>
      </c>
      <c r="J37" s="218" t="s">
        <v>796</v>
      </c>
      <c r="K37" s="218" t="n">
        <v>25</v>
      </c>
      <c r="L37" s="218" t="s">
        <v>271</v>
      </c>
      <c r="M37" s="218"/>
      <c r="N37" s="218"/>
      <c r="O37" s="218"/>
      <c r="P37" s="218" t="n">
        <v>57.1</v>
      </c>
      <c r="Q37" s="218"/>
      <c r="R37" s="218" t="s">
        <v>797</v>
      </c>
      <c r="S37" s="220" t="n">
        <v>46120</v>
      </c>
      <c r="T37" s="220"/>
      <c r="U37" s="218"/>
      <c r="V37" s="218" t="s">
        <v>455</v>
      </c>
      <c r="W37" s="218"/>
      <c r="X37" s="218"/>
    </row>
    <row r="38" customFormat="false" ht="15" hidden="false" customHeight="false" outlineLevel="0" collapsed="false">
      <c r="B38" s="218" t="n">
        <v>33</v>
      </c>
      <c r="C38" s="218" t="s">
        <v>178</v>
      </c>
      <c r="D38" s="218"/>
      <c r="E38" s="218" t="s">
        <v>798</v>
      </c>
      <c r="F38" s="219" t="s">
        <v>458</v>
      </c>
      <c r="G38" s="218" t="s">
        <v>164</v>
      </c>
      <c r="H38" s="220" t="n">
        <v>46107</v>
      </c>
      <c r="I38" s="218" t="s">
        <v>794</v>
      </c>
      <c r="J38" s="218" t="s">
        <v>373</v>
      </c>
      <c r="K38" s="218" t="n">
        <v>50</v>
      </c>
      <c r="L38" s="218" t="s">
        <v>271</v>
      </c>
      <c r="M38" s="218"/>
      <c r="N38" s="218"/>
      <c r="O38" s="218"/>
      <c r="P38" s="218"/>
      <c r="Q38" s="218"/>
      <c r="R38" s="218" t="s">
        <v>799</v>
      </c>
      <c r="S38" s="220" t="n">
        <v>46120</v>
      </c>
      <c r="T38" s="220"/>
      <c r="U38" s="218"/>
      <c r="V38" s="218" t="s">
        <v>455</v>
      </c>
      <c r="W38" s="218"/>
      <c r="X38" s="218"/>
    </row>
    <row r="39" customFormat="false" ht="15" hidden="false" customHeight="false" outlineLevel="0" collapsed="false">
      <c r="B39" s="218" t="n">
        <v>34</v>
      </c>
      <c r="C39" s="218" t="s">
        <v>186</v>
      </c>
      <c r="D39" s="218"/>
      <c r="E39" s="218" t="s">
        <v>800</v>
      </c>
      <c r="F39" s="219" t="s">
        <v>458</v>
      </c>
      <c r="G39" s="218" t="s">
        <v>164</v>
      </c>
      <c r="H39" s="220" t="n">
        <v>46107</v>
      </c>
      <c r="I39" s="218" t="s">
        <v>801</v>
      </c>
      <c r="J39" s="218" t="s">
        <v>796</v>
      </c>
      <c r="K39" s="218" t="n">
        <v>25</v>
      </c>
      <c r="L39" s="218" t="s">
        <v>271</v>
      </c>
      <c r="M39" s="218"/>
      <c r="N39" s="218"/>
      <c r="O39" s="218"/>
      <c r="P39" s="218"/>
      <c r="Q39" s="218"/>
      <c r="R39" s="218"/>
      <c r="S39" s="220"/>
      <c r="T39" s="220"/>
      <c r="U39" s="218"/>
      <c r="V39" s="218" t="s">
        <v>455</v>
      </c>
      <c r="W39" s="218"/>
      <c r="X39" s="218"/>
    </row>
    <row r="40" customFormat="false" ht="15" hidden="false" customHeight="false" outlineLevel="0" collapsed="false">
      <c r="B40" s="218" t="n">
        <v>35</v>
      </c>
      <c r="C40" s="218" t="s">
        <v>186</v>
      </c>
      <c r="D40" s="218"/>
      <c r="E40" s="218" t="s">
        <v>800</v>
      </c>
      <c r="F40" s="219" t="s">
        <v>458</v>
      </c>
      <c r="G40" s="218" t="s">
        <v>164</v>
      </c>
      <c r="H40" s="220" t="n">
        <v>46107</v>
      </c>
      <c r="I40" s="218" t="s">
        <v>802</v>
      </c>
      <c r="J40" s="218" t="s">
        <v>803</v>
      </c>
      <c r="K40" s="218" t="n">
        <v>60</v>
      </c>
      <c r="L40" s="218" t="s">
        <v>271</v>
      </c>
      <c r="M40" s="218"/>
      <c r="N40" s="218"/>
      <c r="O40" s="218"/>
      <c r="P40" s="218"/>
      <c r="Q40" s="218"/>
      <c r="R40" s="218"/>
      <c r="S40" s="220"/>
      <c r="T40" s="220"/>
      <c r="U40" s="218"/>
      <c r="V40" s="218" t="s">
        <v>455</v>
      </c>
      <c r="W40" s="218"/>
      <c r="X40" s="218"/>
    </row>
    <row r="41" customFormat="false" ht="15" hidden="false" customHeight="false" outlineLevel="0" collapsed="false">
      <c r="B41" s="218" t="n">
        <v>36</v>
      </c>
      <c r="C41" s="218" t="s">
        <v>186</v>
      </c>
      <c r="D41" s="218"/>
      <c r="E41" s="218" t="s">
        <v>800</v>
      </c>
      <c r="F41" s="219" t="s">
        <v>458</v>
      </c>
      <c r="G41" s="218" t="s">
        <v>164</v>
      </c>
      <c r="H41" s="220" t="n">
        <v>46107</v>
      </c>
      <c r="I41" s="218" t="s">
        <v>804</v>
      </c>
      <c r="J41" s="218" t="s">
        <v>756</v>
      </c>
      <c r="K41" s="218" t="n">
        <v>50</v>
      </c>
      <c r="L41" s="218" t="s">
        <v>271</v>
      </c>
      <c r="M41" s="218"/>
      <c r="N41" s="218"/>
      <c r="O41" s="218"/>
      <c r="P41" s="218"/>
      <c r="Q41" s="218"/>
      <c r="R41" s="218"/>
      <c r="S41" s="220"/>
      <c r="T41" s="220"/>
      <c r="U41" s="218"/>
      <c r="V41" s="218" t="s">
        <v>455</v>
      </c>
      <c r="W41" s="218"/>
      <c r="X41" s="218"/>
    </row>
    <row r="42" customFormat="false" ht="15" hidden="false" customHeight="false" outlineLevel="0" collapsed="false">
      <c r="B42" s="218" t="n">
        <v>37</v>
      </c>
      <c r="C42" s="218" t="s">
        <v>186</v>
      </c>
      <c r="D42" s="218"/>
      <c r="E42" s="218" t="s">
        <v>800</v>
      </c>
      <c r="F42" s="219" t="s">
        <v>458</v>
      </c>
      <c r="G42" s="218" t="s">
        <v>164</v>
      </c>
      <c r="H42" s="220" t="n">
        <v>46107</v>
      </c>
      <c r="I42" s="218" t="s">
        <v>805</v>
      </c>
      <c r="J42" s="218" t="s">
        <v>375</v>
      </c>
      <c r="K42" s="218" t="n">
        <v>25</v>
      </c>
      <c r="L42" s="218" t="s">
        <v>271</v>
      </c>
      <c r="M42" s="218"/>
      <c r="N42" s="218"/>
      <c r="O42" s="218"/>
      <c r="P42" s="218"/>
      <c r="Q42" s="218"/>
      <c r="R42" s="218"/>
      <c r="S42" s="220"/>
      <c r="T42" s="220"/>
      <c r="U42" s="218"/>
      <c r="V42" s="218" t="s">
        <v>455</v>
      </c>
      <c r="W42" s="218"/>
      <c r="X42" s="218"/>
    </row>
    <row r="43" customFormat="false" ht="15" hidden="false" customHeight="false" outlineLevel="0" collapsed="false">
      <c r="B43" s="218" t="n">
        <v>38</v>
      </c>
      <c r="C43" s="218" t="s">
        <v>186</v>
      </c>
      <c r="D43" s="218"/>
      <c r="E43" s="218" t="s">
        <v>800</v>
      </c>
      <c r="F43" s="219" t="s">
        <v>458</v>
      </c>
      <c r="G43" s="218" t="s">
        <v>164</v>
      </c>
      <c r="H43" s="220" t="n">
        <v>46107</v>
      </c>
      <c r="I43" s="218" t="s">
        <v>753</v>
      </c>
      <c r="J43" s="218" t="s">
        <v>375</v>
      </c>
      <c r="K43" s="218" t="n">
        <v>25</v>
      </c>
      <c r="L43" s="218" t="s">
        <v>271</v>
      </c>
      <c r="M43" s="218"/>
      <c r="N43" s="218"/>
      <c r="O43" s="218"/>
      <c r="P43" s="218"/>
      <c r="Q43" s="218"/>
      <c r="R43" s="218"/>
      <c r="S43" s="220"/>
      <c r="T43" s="220"/>
      <c r="U43" s="218"/>
      <c r="V43" s="218" t="s">
        <v>455</v>
      </c>
      <c r="W43" s="218"/>
      <c r="X43" s="218"/>
    </row>
    <row r="44" customFormat="false" ht="15" hidden="false" customHeight="false" outlineLevel="0" collapsed="false">
      <c r="B44" s="218" t="n">
        <v>39</v>
      </c>
      <c r="C44" s="218" t="s">
        <v>186</v>
      </c>
      <c r="D44" s="218"/>
      <c r="E44" s="218" t="s">
        <v>806</v>
      </c>
      <c r="F44" s="219" t="s">
        <v>458</v>
      </c>
      <c r="G44" s="218" t="s">
        <v>164</v>
      </c>
      <c r="H44" s="220" t="n">
        <v>46111</v>
      </c>
      <c r="I44" s="218" t="s">
        <v>807</v>
      </c>
      <c r="J44" s="218" t="s">
        <v>808</v>
      </c>
      <c r="K44" s="218" t="n">
        <v>25</v>
      </c>
      <c r="L44" s="218" t="s">
        <v>271</v>
      </c>
      <c r="M44" s="218"/>
      <c r="N44" s="218"/>
      <c r="O44" s="218"/>
      <c r="P44" s="218"/>
      <c r="Q44" s="218"/>
      <c r="R44" s="218"/>
      <c r="S44" s="220"/>
      <c r="T44" s="220"/>
      <c r="U44" s="218"/>
      <c r="V44" s="218" t="s">
        <v>455</v>
      </c>
      <c r="W44" s="218"/>
      <c r="X44" s="218"/>
    </row>
    <row r="45" customFormat="false" ht="15" hidden="false" customHeight="false" outlineLevel="0" collapsed="false">
      <c r="B45" s="218" t="n">
        <v>40</v>
      </c>
      <c r="C45" s="218" t="s">
        <v>186</v>
      </c>
      <c r="D45" s="218"/>
      <c r="E45" s="218" t="s">
        <v>806</v>
      </c>
      <c r="F45" s="219" t="s">
        <v>458</v>
      </c>
      <c r="G45" s="218" t="s">
        <v>164</v>
      </c>
      <c r="H45" s="220" t="n">
        <v>46111</v>
      </c>
      <c r="I45" s="218" t="s">
        <v>809</v>
      </c>
      <c r="J45" s="218" t="s">
        <v>718</v>
      </c>
      <c r="K45" s="218" t="n">
        <v>25</v>
      </c>
      <c r="L45" s="218" t="s">
        <v>271</v>
      </c>
      <c r="M45" s="218"/>
      <c r="N45" s="218"/>
      <c r="O45" s="218"/>
      <c r="P45" s="218"/>
      <c r="Q45" s="218"/>
      <c r="R45" s="218"/>
      <c r="S45" s="220"/>
      <c r="T45" s="220"/>
      <c r="U45" s="218"/>
      <c r="V45" s="218" t="s">
        <v>455</v>
      </c>
      <c r="W45" s="218"/>
      <c r="X45" s="218"/>
    </row>
    <row r="46" customFormat="false" ht="15" hidden="false" customHeight="false" outlineLevel="0" collapsed="false">
      <c r="B46" s="218" t="n">
        <v>41</v>
      </c>
      <c r="C46" s="218" t="s">
        <v>186</v>
      </c>
      <c r="D46" s="218"/>
      <c r="E46" s="218" t="s">
        <v>806</v>
      </c>
      <c r="F46" s="219" t="s">
        <v>458</v>
      </c>
      <c r="G46" s="218" t="s">
        <v>164</v>
      </c>
      <c r="H46" s="220" t="n">
        <v>46111</v>
      </c>
      <c r="I46" s="218" t="s">
        <v>810</v>
      </c>
      <c r="J46" s="218" t="s">
        <v>287</v>
      </c>
      <c r="K46" s="218" t="n">
        <v>25</v>
      </c>
      <c r="L46" s="218" t="s">
        <v>271</v>
      </c>
      <c r="M46" s="218"/>
      <c r="N46" s="218"/>
      <c r="O46" s="218"/>
      <c r="P46" s="218"/>
      <c r="Q46" s="218"/>
      <c r="R46" s="218"/>
      <c r="S46" s="220"/>
      <c r="T46" s="220"/>
      <c r="U46" s="218"/>
      <c r="V46" s="218" t="s">
        <v>455</v>
      </c>
      <c r="W46" s="218"/>
      <c r="X46" s="218"/>
    </row>
    <row r="47" customFormat="false" ht="15" hidden="false" customHeight="false" outlineLevel="0" collapsed="false">
      <c r="B47" s="218" t="n">
        <v>42</v>
      </c>
      <c r="C47" s="218" t="s">
        <v>186</v>
      </c>
      <c r="D47" s="218"/>
      <c r="E47" s="218" t="s">
        <v>811</v>
      </c>
      <c r="F47" s="219" t="s">
        <v>458</v>
      </c>
      <c r="G47" s="218" t="s">
        <v>164</v>
      </c>
      <c r="H47" s="220" t="n">
        <v>46114</v>
      </c>
      <c r="I47" s="218" t="s">
        <v>755</v>
      </c>
      <c r="J47" s="218" t="s">
        <v>756</v>
      </c>
      <c r="K47" s="218" t="n">
        <v>95</v>
      </c>
      <c r="L47" s="218" t="s">
        <v>271</v>
      </c>
      <c r="M47" s="218"/>
      <c r="N47" s="218"/>
      <c r="O47" s="218"/>
      <c r="P47" s="218"/>
      <c r="Q47" s="218"/>
      <c r="R47" s="218"/>
      <c r="S47" s="220"/>
      <c r="T47" s="220"/>
      <c r="U47" s="218"/>
      <c r="V47" s="218" t="s">
        <v>455</v>
      </c>
      <c r="W47" s="218"/>
      <c r="X47" s="218"/>
    </row>
    <row r="48" customFormat="false" ht="15" hidden="false" customHeight="false" outlineLevel="0" collapsed="false">
      <c r="B48" s="218" t="n">
        <v>43</v>
      </c>
      <c r="C48" s="218" t="s">
        <v>186</v>
      </c>
      <c r="D48" s="218"/>
      <c r="E48" s="218" t="s">
        <v>812</v>
      </c>
      <c r="F48" s="219" t="s">
        <v>458</v>
      </c>
      <c r="G48" s="218" t="s">
        <v>164</v>
      </c>
      <c r="H48" s="220" t="n">
        <v>46114</v>
      </c>
      <c r="I48" s="218" t="s">
        <v>801</v>
      </c>
      <c r="J48" s="218" t="s">
        <v>796</v>
      </c>
      <c r="K48" s="218" t="n">
        <v>25</v>
      </c>
      <c r="L48" s="218" t="s">
        <v>271</v>
      </c>
      <c r="M48" s="218"/>
      <c r="N48" s="218"/>
      <c r="O48" s="218"/>
      <c r="P48" s="218"/>
      <c r="Q48" s="218"/>
      <c r="R48" s="218"/>
      <c r="S48" s="220"/>
      <c r="T48" s="220"/>
      <c r="U48" s="218"/>
      <c r="V48" s="218" t="s">
        <v>455</v>
      </c>
      <c r="W48" s="218"/>
      <c r="X48" s="218"/>
    </row>
    <row r="49" customFormat="false" ht="15" hidden="false" customHeight="false" outlineLevel="0" collapsed="false">
      <c r="B49" s="218" t="n">
        <v>44</v>
      </c>
      <c r="C49" s="218" t="s">
        <v>186</v>
      </c>
      <c r="D49" s="218"/>
      <c r="E49" s="218" t="s">
        <v>812</v>
      </c>
      <c r="F49" s="219" t="s">
        <v>458</v>
      </c>
      <c r="G49" s="218" t="s">
        <v>164</v>
      </c>
      <c r="H49" s="220" t="n">
        <v>46114</v>
      </c>
      <c r="I49" s="218" t="s">
        <v>804</v>
      </c>
      <c r="J49" s="218" t="s">
        <v>756</v>
      </c>
      <c r="K49" s="218" t="n">
        <v>25</v>
      </c>
      <c r="L49" s="218" t="s">
        <v>271</v>
      </c>
      <c r="M49" s="218"/>
      <c r="N49" s="218"/>
      <c r="O49" s="218"/>
      <c r="P49" s="218"/>
      <c r="Q49" s="218"/>
      <c r="R49" s="218"/>
      <c r="S49" s="220"/>
      <c r="T49" s="220"/>
      <c r="U49" s="218"/>
      <c r="V49" s="218" t="s">
        <v>455</v>
      </c>
      <c r="W49" s="218"/>
      <c r="X49" s="218"/>
    </row>
    <row r="50" customFormat="false" ht="15" hidden="false" customHeight="false" outlineLevel="0" collapsed="false">
      <c r="B50" s="218" t="n">
        <v>45</v>
      </c>
      <c r="C50" s="218" t="s">
        <v>186</v>
      </c>
      <c r="D50" s="218"/>
      <c r="E50" s="218" t="s">
        <v>812</v>
      </c>
      <c r="F50" s="219" t="s">
        <v>458</v>
      </c>
      <c r="G50" s="218" t="s">
        <v>164</v>
      </c>
      <c r="H50" s="220" t="n">
        <v>46114</v>
      </c>
      <c r="I50" s="218" t="s">
        <v>805</v>
      </c>
      <c r="J50" s="218" t="s">
        <v>375</v>
      </c>
      <c r="K50" s="218" t="n">
        <v>25</v>
      </c>
      <c r="L50" s="218" t="s">
        <v>271</v>
      </c>
      <c r="M50" s="218"/>
      <c r="N50" s="218"/>
      <c r="O50" s="218"/>
      <c r="P50" s="218"/>
      <c r="Q50" s="218"/>
      <c r="R50" s="218"/>
      <c r="S50" s="220"/>
      <c r="T50" s="220"/>
      <c r="U50" s="218"/>
      <c r="V50" s="218" t="s">
        <v>455</v>
      </c>
      <c r="W50" s="218"/>
      <c r="X50" s="218"/>
    </row>
    <row r="51" customFormat="false" ht="15" hidden="false" customHeight="false" outlineLevel="0" collapsed="false">
      <c r="B51" s="218" t="n">
        <v>46</v>
      </c>
      <c r="C51" s="218" t="s">
        <v>186</v>
      </c>
      <c r="D51" s="218"/>
      <c r="E51" s="218" t="s">
        <v>813</v>
      </c>
      <c r="F51" s="219" t="s">
        <v>458</v>
      </c>
      <c r="G51" s="218" t="s">
        <v>164</v>
      </c>
      <c r="H51" s="220" t="n">
        <v>46114</v>
      </c>
      <c r="I51" s="218" t="s">
        <v>814</v>
      </c>
      <c r="J51" s="218" t="s">
        <v>796</v>
      </c>
      <c r="K51" s="218" t="n">
        <v>25</v>
      </c>
      <c r="L51" s="218" t="s">
        <v>271</v>
      </c>
      <c r="M51" s="218"/>
      <c r="N51" s="218"/>
      <c r="O51" s="218"/>
      <c r="P51" s="218"/>
      <c r="Q51" s="218"/>
      <c r="R51" s="218"/>
      <c r="S51" s="220"/>
      <c r="T51" s="220"/>
      <c r="U51" s="218"/>
      <c r="V51" s="218" t="s">
        <v>455</v>
      </c>
      <c r="W51" s="218"/>
      <c r="X51" s="218"/>
    </row>
    <row r="52" customFormat="false" ht="15" hidden="false" customHeight="false" outlineLevel="0" collapsed="false">
      <c r="B52" s="218" t="n">
        <v>47</v>
      </c>
      <c r="C52" s="218" t="s">
        <v>178</v>
      </c>
      <c r="D52" s="218"/>
      <c r="E52" s="218" t="s">
        <v>815</v>
      </c>
      <c r="F52" s="219" t="s">
        <v>458</v>
      </c>
      <c r="G52" s="218" t="s">
        <v>164</v>
      </c>
      <c r="H52" s="220" t="n">
        <v>46114</v>
      </c>
      <c r="I52" s="218" t="s">
        <v>816</v>
      </c>
      <c r="J52" s="218" t="s">
        <v>373</v>
      </c>
      <c r="K52" s="218" t="n">
        <v>50</v>
      </c>
      <c r="L52" s="218" t="s">
        <v>271</v>
      </c>
      <c r="M52" s="218"/>
      <c r="N52" s="218"/>
      <c r="O52" s="218"/>
      <c r="P52" s="218"/>
      <c r="Q52" s="218"/>
      <c r="R52" s="218" t="s">
        <v>817</v>
      </c>
      <c r="S52" s="220" t="n">
        <v>46128</v>
      </c>
      <c r="T52" s="220"/>
      <c r="U52" s="218"/>
      <c r="V52" s="218" t="s">
        <v>455</v>
      </c>
      <c r="W52" s="218"/>
      <c r="X52" s="218"/>
    </row>
    <row r="53" customFormat="false" ht="15" hidden="false" customHeight="false" outlineLevel="0" collapsed="false">
      <c r="B53" s="218" t="n">
        <v>48</v>
      </c>
      <c r="C53" s="218" t="s">
        <v>178</v>
      </c>
      <c r="D53" s="218"/>
      <c r="E53" s="218" t="s">
        <v>818</v>
      </c>
      <c r="F53" s="219" t="s">
        <v>458</v>
      </c>
      <c r="G53" s="218" t="s">
        <v>164</v>
      </c>
      <c r="H53" s="220" t="n">
        <v>46114</v>
      </c>
      <c r="I53" s="218" t="s">
        <v>733</v>
      </c>
      <c r="J53" s="218" t="s">
        <v>819</v>
      </c>
      <c r="K53" s="218" t="n">
        <v>25</v>
      </c>
      <c r="L53" s="218" t="s">
        <v>271</v>
      </c>
      <c r="M53" s="218"/>
      <c r="N53" s="218"/>
      <c r="O53" s="218"/>
      <c r="P53" s="218"/>
      <c r="Q53" s="218"/>
      <c r="R53" s="218"/>
      <c r="S53" s="220" t="n">
        <v>46128</v>
      </c>
      <c r="T53" s="220"/>
      <c r="U53" s="218"/>
      <c r="V53" s="218" t="s">
        <v>455</v>
      </c>
      <c r="W53" s="218"/>
      <c r="X53" s="218"/>
    </row>
    <row r="54" customFormat="false" ht="15" hidden="false" customHeight="false" outlineLevel="0" collapsed="false">
      <c r="B54" s="218" t="n">
        <v>49</v>
      </c>
      <c r="C54" s="218" t="s">
        <v>178</v>
      </c>
      <c r="D54" s="218"/>
      <c r="E54" s="218" t="s">
        <v>818</v>
      </c>
      <c r="F54" s="219" t="s">
        <v>458</v>
      </c>
      <c r="G54" s="218" t="s">
        <v>164</v>
      </c>
      <c r="H54" s="220" t="n">
        <v>46114</v>
      </c>
      <c r="I54" s="218" t="s">
        <v>748</v>
      </c>
      <c r="J54" s="218" t="s">
        <v>820</v>
      </c>
      <c r="K54" s="218" t="n">
        <v>25</v>
      </c>
      <c r="L54" s="218" t="s">
        <v>271</v>
      </c>
      <c r="M54" s="218"/>
      <c r="N54" s="218"/>
      <c r="O54" s="218"/>
      <c r="P54" s="218"/>
      <c r="Q54" s="218"/>
      <c r="R54" s="218"/>
      <c r="S54" s="220" t="n">
        <v>46128</v>
      </c>
      <c r="T54" s="220"/>
      <c r="U54" s="218"/>
      <c r="V54" s="218" t="s">
        <v>455</v>
      </c>
      <c r="W54" s="218"/>
      <c r="X54" s="218"/>
    </row>
    <row r="55" customFormat="false" ht="15" hidden="false" customHeight="false" outlineLevel="0" collapsed="false">
      <c r="B55" s="218" t="n">
        <v>50</v>
      </c>
      <c r="C55" s="218" t="s">
        <v>178</v>
      </c>
      <c r="D55" s="218"/>
      <c r="E55" s="218" t="s">
        <v>818</v>
      </c>
      <c r="F55" s="219" t="s">
        <v>458</v>
      </c>
      <c r="G55" s="218" t="s">
        <v>164</v>
      </c>
      <c r="H55" s="220" t="n">
        <v>46114</v>
      </c>
      <c r="I55" s="218" t="s">
        <v>821</v>
      </c>
      <c r="J55" s="218" t="s">
        <v>375</v>
      </c>
      <c r="K55" s="218" t="n">
        <v>25</v>
      </c>
      <c r="L55" s="218" t="s">
        <v>271</v>
      </c>
      <c r="M55" s="218"/>
      <c r="N55" s="218"/>
      <c r="O55" s="218"/>
      <c r="P55" s="218"/>
      <c r="Q55" s="218"/>
      <c r="R55" s="218"/>
      <c r="S55" s="220" t="n">
        <v>46128</v>
      </c>
      <c r="T55" s="220"/>
      <c r="U55" s="218"/>
      <c r="V55" s="218" t="s">
        <v>455</v>
      </c>
      <c r="W55" s="218"/>
      <c r="X55" s="218"/>
    </row>
    <row r="56" customFormat="false" ht="15" hidden="false" customHeight="false" outlineLevel="0" collapsed="false">
      <c r="B56" s="218" t="n">
        <v>51</v>
      </c>
      <c r="C56" s="218" t="s">
        <v>178</v>
      </c>
      <c r="D56" s="218"/>
      <c r="E56" s="218" t="s">
        <v>822</v>
      </c>
      <c r="F56" s="219" t="s">
        <v>458</v>
      </c>
      <c r="G56" s="218" t="s">
        <v>164</v>
      </c>
      <c r="H56" s="220" t="n">
        <v>46120</v>
      </c>
      <c r="I56" s="218" t="s">
        <v>733</v>
      </c>
      <c r="J56" s="218" t="s">
        <v>819</v>
      </c>
      <c r="K56" s="218" t="n">
        <v>50</v>
      </c>
      <c r="L56" s="218" t="s">
        <v>271</v>
      </c>
      <c r="M56" s="218"/>
      <c r="N56" s="218"/>
      <c r="O56" s="218"/>
      <c r="P56" s="218"/>
      <c r="Q56" s="218"/>
      <c r="R56" s="218"/>
      <c r="S56" s="220" t="n">
        <v>46128</v>
      </c>
      <c r="T56" s="220"/>
      <c r="U56" s="218"/>
      <c r="V56" s="218" t="s">
        <v>455</v>
      </c>
      <c r="W56" s="218"/>
      <c r="X56" s="218"/>
    </row>
    <row r="57" customFormat="false" ht="15" hidden="false" customHeight="false" outlineLevel="0" collapsed="false">
      <c r="B57" s="218" t="n">
        <v>52</v>
      </c>
      <c r="C57" s="218" t="s">
        <v>178</v>
      </c>
      <c r="D57" s="218"/>
      <c r="E57" s="218" t="s">
        <v>822</v>
      </c>
      <c r="F57" s="219" t="s">
        <v>458</v>
      </c>
      <c r="G57" s="218" t="s">
        <v>164</v>
      </c>
      <c r="H57" s="220" t="n">
        <v>46120</v>
      </c>
      <c r="I57" s="218" t="s">
        <v>748</v>
      </c>
      <c r="J57" s="218" t="s">
        <v>820</v>
      </c>
      <c r="K57" s="218" t="n">
        <v>50</v>
      </c>
      <c r="L57" s="218" t="s">
        <v>271</v>
      </c>
      <c r="M57" s="218"/>
      <c r="N57" s="218"/>
      <c r="O57" s="218"/>
      <c r="P57" s="218"/>
      <c r="Q57" s="218"/>
      <c r="R57" s="218"/>
      <c r="S57" s="220" t="n">
        <v>46128</v>
      </c>
      <c r="T57" s="220"/>
      <c r="U57" s="218"/>
      <c r="V57" s="218" t="s">
        <v>455</v>
      </c>
      <c r="W57" s="218"/>
      <c r="X57" s="218"/>
    </row>
    <row r="58" customFormat="false" ht="15" hidden="false" customHeight="false" outlineLevel="0" collapsed="false">
      <c r="B58" s="218" t="n">
        <v>53</v>
      </c>
      <c r="C58" s="218" t="s">
        <v>178</v>
      </c>
      <c r="D58" s="218"/>
      <c r="E58" s="218" t="s">
        <v>822</v>
      </c>
      <c r="F58" s="219" t="s">
        <v>458</v>
      </c>
      <c r="G58" s="218" t="s">
        <v>164</v>
      </c>
      <c r="H58" s="220" t="n">
        <v>46120</v>
      </c>
      <c r="I58" s="218" t="s">
        <v>823</v>
      </c>
      <c r="J58" s="218" t="s">
        <v>824</v>
      </c>
      <c r="K58" s="218" t="n">
        <v>25</v>
      </c>
      <c r="L58" s="218" t="s">
        <v>271</v>
      </c>
      <c r="M58" s="218"/>
      <c r="N58" s="218"/>
      <c r="O58" s="218"/>
      <c r="P58" s="218"/>
      <c r="Q58" s="218"/>
      <c r="R58" s="218"/>
      <c r="S58" s="220" t="n">
        <v>46133</v>
      </c>
      <c r="T58" s="220"/>
      <c r="U58" s="218"/>
      <c r="V58" s="218" t="s">
        <v>455</v>
      </c>
      <c r="W58" s="218"/>
      <c r="X58" s="218"/>
    </row>
    <row r="59" customFormat="false" ht="15" hidden="false" customHeight="false" outlineLevel="0" collapsed="false">
      <c r="B59" s="218" t="n">
        <v>54</v>
      </c>
      <c r="C59" s="218" t="s">
        <v>186</v>
      </c>
      <c r="D59" s="218"/>
      <c r="E59" s="218" t="s">
        <v>825</v>
      </c>
      <c r="F59" s="219" t="s">
        <v>458</v>
      </c>
      <c r="G59" s="218" t="s">
        <v>164</v>
      </c>
      <c r="H59" s="220" t="n">
        <v>46120</v>
      </c>
      <c r="I59" s="218" t="s">
        <v>807</v>
      </c>
      <c r="J59" s="218" t="s">
        <v>808</v>
      </c>
      <c r="K59" s="218" t="n">
        <v>25</v>
      </c>
      <c r="L59" s="218" t="s">
        <v>271</v>
      </c>
      <c r="M59" s="218"/>
      <c r="N59" s="218"/>
      <c r="O59" s="218"/>
      <c r="P59" s="218"/>
      <c r="Q59" s="218"/>
      <c r="R59" s="218"/>
      <c r="S59" s="220"/>
      <c r="T59" s="220"/>
      <c r="U59" s="218"/>
      <c r="V59" s="218" t="s">
        <v>455</v>
      </c>
      <c r="W59" s="218"/>
      <c r="X59" s="218"/>
    </row>
    <row r="60" customFormat="false" ht="15" hidden="false" customHeight="false" outlineLevel="0" collapsed="false">
      <c r="B60" s="218" t="n">
        <v>55</v>
      </c>
      <c r="C60" s="218" t="s">
        <v>186</v>
      </c>
      <c r="D60" s="218"/>
      <c r="E60" s="218" t="s">
        <v>825</v>
      </c>
      <c r="F60" s="219" t="s">
        <v>458</v>
      </c>
      <c r="G60" s="218" t="s">
        <v>164</v>
      </c>
      <c r="H60" s="220" t="n">
        <v>46120</v>
      </c>
      <c r="I60" s="218" t="s">
        <v>809</v>
      </c>
      <c r="J60" s="218" t="s">
        <v>718</v>
      </c>
      <c r="K60" s="218" t="n">
        <v>25</v>
      </c>
      <c r="L60" s="218" t="s">
        <v>271</v>
      </c>
      <c r="M60" s="218"/>
      <c r="N60" s="218"/>
      <c r="O60" s="218"/>
      <c r="P60" s="218"/>
      <c r="Q60" s="218"/>
      <c r="R60" s="218"/>
      <c r="S60" s="220"/>
      <c r="T60" s="220"/>
      <c r="U60" s="218"/>
      <c r="V60" s="218" t="s">
        <v>455</v>
      </c>
      <c r="W60" s="218"/>
      <c r="X60" s="218"/>
    </row>
    <row r="61" customFormat="false" ht="15" hidden="false" customHeight="false" outlineLevel="0" collapsed="false">
      <c r="B61" s="218" t="n">
        <v>56</v>
      </c>
      <c r="C61" s="218" t="s">
        <v>186</v>
      </c>
      <c r="D61" s="218"/>
      <c r="E61" s="218" t="s">
        <v>825</v>
      </c>
      <c r="F61" s="219" t="s">
        <v>458</v>
      </c>
      <c r="G61" s="218" t="s">
        <v>164</v>
      </c>
      <c r="H61" s="220" t="n">
        <v>46120</v>
      </c>
      <c r="I61" s="218" t="s">
        <v>810</v>
      </c>
      <c r="J61" s="218" t="s">
        <v>287</v>
      </c>
      <c r="K61" s="218" t="n">
        <v>25</v>
      </c>
      <c r="L61" s="218" t="s">
        <v>271</v>
      </c>
      <c r="M61" s="218"/>
      <c r="N61" s="218"/>
      <c r="O61" s="218"/>
      <c r="P61" s="218"/>
      <c r="Q61" s="218"/>
      <c r="R61" s="218"/>
      <c r="S61" s="220"/>
      <c r="T61" s="220"/>
      <c r="U61" s="218"/>
      <c r="V61" s="218" t="s">
        <v>455</v>
      </c>
      <c r="W61" s="218"/>
      <c r="X61" s="218"/>
    </row>
    <row r="62" customFormat="false" ht="14.25" hidden="false" customHeight="true" outlineLevel="0" collapsed="false">
      <c r="B62" s="218" t="n">
        <v>57</v>
      </c>
      <c r="C62" s="218" t="s">
        <v>186</v>
      </c>
      <c r="D62" s="218"/>
      <c r="E62" s="218" t="s">
        <v>826</v>
      </c>
      <c r="F62" s="219" t="s">
        <v>458</v>
      </c>
      <c r="G62" s="218" t="s">
        <v>164</v>
      </c>
      <c r="H62" s="220" t="n">
        <v>46122</v>
      </c>
      <c r="I62" s="218" t="s">
        <v>827</v>
      </c>
      <c r="J62" s="218" t="s">
        <v>718</v>
      </c>
      <c r="K62" s="218" t="n">
        <v>15</v>
      </c>
      <c r="L62" s="218" t="s">
        <v>271</v>
      </c>
      <c r="M62" s="218"/>
      <c r="N62" s="218"/>
      <c r="O62" s="218"/>
      <c r="P62" s="218" t="n">
        <v>38.7</v>
      </c>
      <c r="Q62" s="218"/>
      <c r="R62" s="218" t="s">
        <v>828</v>
      </c>
      <c r="S62" s="220" t="n">
        <v>46142</v>
      </c>
      <c r="T62" s="220" t="n">
        <v>46142</v>
      </c>
      <c r="U62" s="218"/>
      <c r="V62" s="218" t="s">
        <v>455</v>
      </c>
      <c r="W62" s="218"/>
      <c r="X62" s="218"/>
    </row>
    <row r="63" customFormat="false" ht="14.25" hidden="false" customHeight="true" outlineLevel="0" collapsed="false">
      <c r="B63" s="218" t="n">
        <v>58</v>
      </c>
      <c r="C63" s="218" t="s">
        <v>178</v>
      </c>
      <c r="D63" s="218"/>
      <c r="E63" s="218" t="s">
        <v>829</v>
      </c>
      <c r="F63" s="219" t="s">
        <v>830</v>
      </c>
      <c r="G63" s="218" t="s">
        <v>164</v>
      </c>
      <c r="H63" s="220" t="n">
        <v>46127</v>
      </c>
      <c r="I63" s="218" t="s">
        <v>831</v>
      </c>
      <c r="J63" s="218" t="s">
        <v>796</v>
      </c>
      <c r="K63" s="218" t="n">
        <v>25</v>
      </c>
      <c r="L63" s="218" t="s">
        <v>271</v>
      </c>
      <c r="M63" s="218"/>
      <c r="N63" s="218"/>
      <c r="O63" s="218"/>
      <c r="P63" s="218"/>
      <c r="Q63" s="218"/>
      <c r="R63" s="218" t="s">
        <v>832</v>
      </c>
      <c r="S63" s="220" t="n">
        <v>46139</v>
      </c>
      <c r="T63" s="220" t="n">
        <v>46139</v>
      </c>
      <c r="U63" s="218"/>
      <c r="V63" s="218" t="s">
        <v>455</v>
      </c>
      <c r="W63" s="218"/>
      <c r="X63" s="218"/>
    </row>
    <row r="64" customFormat="false" ht="14.25" hidden="false" customHeight="true" outlineLevel="0" collapsed="false">
      <c r="B64" s="218" t="n">
        <v>59</v>
      </c>
      <c r="C64" s="218" t="s">
        <v>178</v>
      </c>
      <c r="D64" s="218"/>
      <c r="E64" s="218" t="s">
        <v>829</v>
      </c>
      <c r="F64" s="219" t="s">
        <v>830</v>
      </c>
      <c r="G64" s="218" t="s">
        <v>164</v>
      </c>
      <c r="H64" s="220" t="n">
        <v>46127</v>
      </c>
      <c r="I64" s="218" t="s">
        <v>765</v>
      </c>
      <c r="J64" s="218" t="s">
        <v>833</v>
      </c>
      <c r="K64" s="218" t="n">
        <v>50</v>
      </c>
      <c r="L64" s="218" t="s">
        <v>271</v>
      </c>
      <c r="M64" s="218"/>
      <c r="N64" s="218"/>
      <c r="O64" s="218"/>
      <c r="P64" s="218"/>
      <c r="Q64" s="218"/>
      <c r="R64" s="218" t="s">
        <v>834</v>
      </c>
      <c r="S64" s="220" t="n">
        <v>46149</v>
      </c>
      <c r="T64" s="220" t="n">
        <v>46149</v>
      </c>
      <c r="U64" s="218"/>
      <c r="V64" s="218" t="s">
        <v>455</v>
      </c>
      <c r="W64" s="218"/>
      <c r="X64" s="218"/>
    </row>
    <row r="65" customFormat="false" ht="15" hidden="false" customHeight="false" outlineLevel="0" collapsed="false">
      <c r="B65" s="218" t="n">
        <v>60</v>
      </c>
      <c r="C65" s="218" t="s">
        <v>178</v>
      </c>
      <c r="D65" s="218"/>
      <c r="E65" s="218" t="s">
        <v>829</v>
      </c>
      <c r="F65" s="219" t="s">
        <v>830</v>
      </c>
      <c r="G65" s="218" t="s">
        <v>164</v>
      </c>
      <c r="H65" s="220" t="n">
        <v>46127</v>
      </c>
      <c r="I65" s="218" t="s">
        <v>791</v>
      </c>
      <c r="J65" s="218" t="s">
        <v>778</v>
      </c>
      <c r="K65" s="218" t="n">
        <v>25</v>
      </c>
      <c r="L65" s="218" t="s">
        <v>271</v>
      </c>
      <c r="M65" s="218"/>
      <c r="N65" s="218"/>
      <c r="O65" s="218"/>
      <c r="P65" s="218"/>
      <c r="Q65" s="218"/>
      <c r="R65" s="218" t="s">
        <v>832</v>
      </c>
      <c r="S65" s="220" t="n">
        <v>46139</v>
      </c>
      <c r="T65" s="220" t="n">
        <v>46139</v>
      </c>
      <c r="U65" s="218"/>
      <c r="V65" s="218" t="s">
        <v>455</v>
      </c>
      <c r="W65" s="218"/>
      <c r="X65" s="218"/>
    </row>
    <row r="66" customFormat="false" ht="15" hidden="false" customHeight="false" outlineLevel="0" collapsed="false">
      <c r="B66" s="218" t="n">
        <v>61</v>
      </c>
      <c r="C66" s="218" t="s">
        <v>186</v>
      </c>
      <c r="D66" s="218"/>
      <c r="E66" s="218" t="s">
        <v>835</v>
      </c>
      <c r="F66" s="219" t="s">
        <v>458</v>
      </c>
      <c r="G66" s="218" t="s">
        <v>164</v>
      </c>
      <c r="H66" s="220" t="n">
        <v>46128</v>
      </c>
      <c r="I66" s="218" t="s">
        <v>805</v>
      </c>
      <c r="J66" s="218" t="s">
        <v>375</v>
      </c>
      <c r="K66" s="218" t="n">
        <v>50</v>
      </c>
      <c r="L66" s="218" t="s">
        <v>271</v>
      </c>
      <c r="M66" s="218"/>
      <c r="N66" s="218"/>
      <c r="O66" s="218"/>
      <c r="P66" s="218"/>
      <c r="Q66" s="218"/>
      <c r="R66" s="218"/>
      <c r="S66" s="220"/>
      <c r="T66" s="220"/>
      <c r="U66" s="218"/>
      <c r="V66" s="218" t="s">
        <v>455</v>
      </c>
      <c r="W66" s="218"/>
      <c r="X66" s="218"/>
    </row>
    <row r="67" customFormat="false" ht="15" hidden="false" customHeight="false" outlineLevel="0" collapsed="false">
      <c r="B67" s="218" t="n">
        <v>62</v>
      </c>
      <c r="C67" s="218" t="s">
        <v>178</v>
      </c>
      <c r="D67" s="218"/>
      <c r="E67" s="218" t="s">
        <v>836</v>
      </c>
      <c r="F67" s="219" t="s">
        <v>458</v>
      </c>
      <c r="G67" s="218" t="s">
        <v>164</v>
      </c>
      <c r="H67" s="220" t="n">
        <v>46133</v>
      </c>
      <c r="I67" s="218" t="s">
        <v>762</v>
      </c>
      <c r="J67" s="218" t="s">
        <v>837</v>
      </c>
      <c r="K67" s="218" t="n">
        <v>50</v>
      </c>
      <c r="L67" s="218" t="s">
        <v>271</v>
      </c>
      <c r="M67" s="218"/>
      <c r="N67" s="218"/>
      <c r="O67" s="218"/>
      <c r="P67" s="218" t="n">
        <v>26.1</v>
      </c>
      <c r="Q67" s="218"/>
      <c r="R67" s="218" t="s">
        <v>838</v>
      </c>
      <c r="S67" s="220" t="n">
        <v>46147</v>
      </c>
      <c r="T67" s="220" t="n">
        <v>46147</v>
      </c>
      <c r="U67" s="218"/>
      <c r="V67" s="218" t="s">
        <v>455</v>
      </c>
      <c r="W67" s="218"/>
      <c r="X67" s="218"/>
    </row>
    <row r="68" customFormat="false" ht="15" hidden="false" customHeight="false" outlineLevel="0" collapsed="false">
      <c r="B68" s="218" t="n">
        <v>63</v>
      </c>
      <c r="C68" s="218" t="s">
        <v>186</v>
      </c>
      <c r="D68" s="218"/>
      <c r="E68" s="218" t="s">
        <v>839</v>
      </c>
      <c r="F68" s="219" t="s">
        <v>458</v>
      </c>
      <c r="G68" s="218" t="s">
        <v>164</v>
      </c>
      <c r="H68" s="220" t="n">
        <v>46136</v>
      </c>
      <c r="I68" s="218" t="s">
        <v>840</v>
      </c>
      <c r="J68" s="218" t="s">
        <v>375</v>
      </c>
      <c r="K68" s="218" t="n">
        <v>10</v>
      </c>
      <c r="L68" s="218" t="s">
        <v>271</v>
      </c>
      <c r="M68" s="218"/>
      <c r="N68" s="218"/>
      <c r="O68" s="218"/>
      <c r="P68" s="218"/>
      <c r="Q68" s="218"/>
      <c r="R68" s="218"/>
      <c r="S68" s="220"/>
      <c r="T68" s="220"/>
      <c r="U68" s="218"/>
      <c r="V68" s="218" t="s">
        <v>455</v>
      </c>
      <c r="W68" s="218"/>
      <c r="X68" s="218"/>
    </row>
    <row r="69" customFormat="false" ht="15" hidden="false" customHeight="false" outlineLevel="0" collapsed="false">
      <c r="B69" s="218" t="n">
        <v>64</v>
      </c>
      <c r="C69" s="218" t="s">
        <v>186</v>
      </c>
      <c r="D69" s="218"/>
      <c r="E69" s="218" t="s">
        <v>841</v>
      </c>
      <c r="F69" s="219" t="s">
        <v>458</v>
      </c>
      <c r="G69" s="218" t="s">
        <v>164</v>
      </c>
      <c r="H69" s="220" t="n">
        <v>46139</v>
      </c>
      <c r="I69" s="218" t="s">
        <v>842</v>
      </c>
      <c r="J69" s="218" t="s">
        <v>718</v>
      </c>
      <c r="K69" s="218" t="n">
        <v>25</v>
      </c>
      <c r="L69" s="218" t="s">
        <v>271</v>
      </c>
      <c r="M69" s="218"/>
      <c r="N69" s="218"/>
      <c r="O69" s="218"/>
      <c r="P69" s="218"/>
      <c r="Q69" s="218"/>
      <c r="R69" s="218"/>
      <c r="S69" s="220"/>
      <c r="T69" s="220"/>
      <c r="U69" s="218"/>
      <c r="V69" s="218" t="s">
        <v>455</v>
      </c>
      <c r="W69" s="218"/>
      <c r="X69" s="218"/>
    </row>
    <row r="70" customFormat="false" ht="15" hidden="false" customHeight="false" outlineLevel="0" collapsed="false">
      <c r="B70" s="218" t="n">
        <v>65</v>
      </c>
      <c r="C70" s="218" t="s">
        <v>186</v>
      </c>
      <c r="D70" s="218"/>
      <c r="E70" s="218" t="s">
        <v>841</v>
      </c>
      <c r="F70" s="219" t="s">
        <v>458</v>
      </c>
      <c r="G70" s="218" t="s">
        <v>164</v>
      </c>
      <c r="H70" s="220" t="n">
        <v>46139</v>
      </c>
      <c r="I70" s="218" t="s">
        <v>843</v>
      </c>
      <c r="J70" s="218" t="s">
        <v>844</v>
      </c>
      <c r="K70" s="218" t="n">
        <v>25</v>
      </c>
      <c r="L70" s="218" t="s">
        <v>271</v>
      </c>
      <c r="M70" s="218"/>
      <c r="N70" s="218"/>
      <c r="O70" s="218"/>
      <c r="P70" s="218"/>
      <c r="Q70" s="218"/>
      <c r="R70" s="218"/>
      <c r="S70" s="220"/>
      <c r="T70" s="220"/>
      <c r="U70" s="218"/>
      <c r="V70" s="218" t="s">
        <v>455</v>
      </c>
      <c r="W70" s="218"/>
      <c r="X70" s="218"/>
    </row>
    <row r="71" customFormat="false" ht="15" hidden="false" customHeight="false" outlineLevel="0" collapsed="false">
      <c r="B71" s="218" t="n">
        <v>66</v>
      </c>
      <c r="C71" s="218" t="s">
        <v>186</v>
      </c>
      <c r="D71" s="218"/>
      <c r="E71" s="218" t="s">
        <v>845</v>
      </c>
      <c r="F71" s="219" t="s">
        <v>458</v>
      </c>
      <c r="G71" s="218" t="s">
        <v>164</v>
      </c>
      <c r="H71" s="220" t="n">
        <v>46139</v>
      </c>
      <c r="I71" s="218" t="s">
        <v>804</v>
      </c>
      <c r="J71" s="218" t="s">
        <v>756</v>
      </c>
      <c r="K71" s="218" t="n">
        <v>50</v>
      </c>
      <c r="L71" s="218" t="s">
        <v>271</v>
      </c>
      <c r="M71" s="218"/>
      <c r="N71" s="218"/>
      <c r="O71" s="218"/>
      <c r="P71" s="218"/>
      <c r="Q71" s="218"/>
      <c r="R71" s="218"/>
      <c r="S71" s="220"/>
      <c r="T71" s="220"/>
      <c r="U71" s="218"/>
      <c r="V71" s="218" t="s">
        <v>455</v>
      </c>
      <c r="W71" s="218"/>
      <c r="X71" s="218"/>
    </row>
    <row r="72" customFormat="false" ht="15" hidden="false" customHeight="false" outlineLevel="0" collapsed="false">
      <c r="B72" s="218" t="n">
        <v>67</v>
      </c>
      <c r="C72" s="218" t="s">
        <v>170</v>
      </c>
      <c r="D72" s="218"/>
      <c r="E72" s="218" t="s">
        <v>846</v>
      </c>
      <c r="F72" s="219" t="n">
        <v>72601069</v>
      </c>
      <c r="G72" s="218" t="s">
        <v>164</v>
      </c>
      <c r="H72" s="220" t="n">
        <v>46141</v>
      </c>
      <c r="I72" s="218" t="s">
        <v>727</v>
      </c>
      <c r="J72" s="218" t="s">
        <v>274</v>
      </c>
      <c r="K72" s="218" t="n">
        <v>25</v>
      </c>
      <c r="L72" s="218" t="s">
        <v>271</v>
      </c>
      <c r="M72" s="218"/>
      <c r="N72" s="218"/>
      <c r="O72" s="218"/>
      <c r="P72" s="218" t="n">
        <v>16</v>
      </c>
      <c r="Q72" s="218"/>
      <c r="R72" s="219" t="n">
        <v>90261177</v>
      </c>
      <c r="S72" s="220" t="n">
        <v>46148</v>
      </c>
      <c r="T72" s="220" t="n">
        <v>46148</v>
      </c>
      <c r="U72" s="218"/>
      <c r="V72" s="218" t="s">
        <v>455</v>
      </c>
      <c r="W72" s="218"/>
      <c r="X72" s="218"/>
    </row>
    <row r="73" customFormat="false" ht="15" hidden="false" customHeight="false" outlineLevel="0" collapsed="false">
      <c r="B73" s="218" t="n">
        <v>68</v>
      </c>
      <c r="C73" s="221" t="s">
        <v>170</v>
      </c>
      <c r="D73" s="218"/>
      <c r="E73" s="218" t="s">
        <v>847</v>
      </c>
      <c r="F73" s="219" t="n">
        <v>72601068</v>
      </c>
      <c r="G73" s="218" t="s">
        <v>164</v>
      </c>
      <c r="H73" s="220" t="n">
        <v>46142</v>
      </c>
      <c r="I73" s="218" t="s">
        <v>848</v>
      </c>
      <c r="J73" s="218" t="s">
        <v>849</v>
      </c>
      <c r="K73" s="218" t="n">
        <v>50</v>
      </c>
      <c r="L73" s="218" t="s">
        <v>271</v>
      </c>
      <c r="M73" s="218"/>
      <c r="N73" s="218"/>
      <c r="O73" s="218"/>
      <c r="P73" s="218" t="n">
        <v>73.63</v>
      </c>
      <c r="Q73" s="218"/>
      <c r="R73" s="219" t="n">
        <v>90261318</v>
      </c>
      <c r="S73" s="220" t="n">
        <v>46170</v>
      </c>
      <c r="T73" s="220" t="n">
        <v>46162</v>
      </c>
      <c r="U73" s="218"/>
      <c r="V73" s="218" t="s">
        <v>455</v>
      </c>
      <c r="W73" s="218"/>
      <c r="X73" s="218"/>
    </row>
    <row r="74" customFormat="false" ht="15" hidden="false" customHeight="false" outlineLevel="0" collapsed="false">
      <c r="B74" s="218" t="n">
        <v>69</v>
      </c>
      <c r="C74" s="218" t="s">
        <v>186</v>
      </c>
      <c r="D74" s="218"/>
      <c r="E74" s="218" t="s">
        <v>850</v>
      </c>
      <c r="F74" s="219" t="s">
        <v>458</v>
      </c>
      <c r="G74" s="218" t="s">
        <v>164</v>
      </c>
      <c r="H74" s="220" t="n">
        <v>46142</v>
      </c>
      <c r="I74" s="218" t="s">
        <v>802</v>
      </c>
      <c r="J74" s="218" t="s">
        <v>756</v>
      </c>
      <c r="K74" s="218" t="n">
        <v>25</v>
      </c>
      <c r="L74" s="218" t="s">
        <v>271</v>
      </c>
      <c r="M74" s="218"/>
      <c r="N74" s="218"/>
      <c r="O74" s="218"/>
      <c r="P74" s="218" t="n">
        <v>33.54</v>
      </c>
      <c r="Q74" s="218"/>
      <c r="R74" s="218" t="s">
        <v>851</v>
      </c>
      <c r="S74" s="220" t="n">
        <v>46142</v>
      </c>
      <c r="T74" s="220" t="n">
        <v>46142</v>
      </c>
      <c r="U74" s="218"/>
      <c r="V74" s="218" t="s">
        <v>455</v>
      </c>
      <c r="W74" s="218"/>
      <c r="X74" s="218"/>
    </row>
    <row r="75" customFormat="false" ht="15" hidden="false" customHeight="false" outlineLevel="0" collapsed="false">
      <c r="B75" s="218" t="n">
        <v>70</v>
      </c>
      <c r="C75" s="218" t="s">
        <v>178</v>
      </c>
      <c r="D75" s="218"/>
      <c r="E75" s="218" t="s">
        <v>852</v>
      </c>
      <c r="F75" s="219" t="s">
        <v>458</v>
      </c>
      <c r="G75" s="218" t="s">
        <v>164</v>
      </c>
      <c r="H75" s="220" t="n">
        <v>46157</v>
      </c>
      <c r="I75" s="218" t="s">
        <v>853</v>
      </c>
      <c r="J75" s="218" t="s">
        <v>722</v>
      </c>
      <c r="K75" s="218" t="n">
        <v>25</v>
      </c>
      <c r="L75" s="218" t="s">
        <v>271</v>
      </c>
      <c r="M75" s="218"/>
      <c r="N75" s="218"/>
      <c r="O75" s="218"/>
      <c r="P75" s="218" t="n">
        <v>29.13</v>
      </c>
      <c r="Q75" s="218"/>
      <c r="R75" s="218" t="s">
        <v>854</v>
      </c>
      <c r="S75" s="220" t="n">
        <v>46168</v>
      </c>
      <c r="T75" s="220" t="n">
        <v>46168</v>
      </c>
      <c r="U75" s="218"/>
      <c r="V75" s="218" t="s">
        <v>455</v>
      </c>
      <c r="W75" s="218"/>
      <c r="X75" s="218"/>
    </row>
    <row r="76" customFormat="false" ht="15" hidden="false" customHeight="false" outlineLevel="0" collapsed="false">
      <c r="B76" s="218" t="n">
        <v>71</v>
      </c>
      <c r="C76" s="218" t="s">
        <v>178</v>
      </c>
      <c r="D76" s="218"/>
      <c r="E76" s="218" t="s">
        <v>855</v>
      </c>
      <c r="F76" s="219" t="s">
        <v>458</v>
      </c>
      <c r="G76" s="218" t="s">
        <v>164</v>
      </c>
      <c r="H76" s="220" t="n">
        <v>46157</v>
      </c>
      <c r="I76" s="218" t="s">
        <v>856</v>
      </c>
      <c r="J76" s="218" t="s">
        <v>373</v>
      </c>
      <c r="K76" s="218" t="n">
        <v>50</v>
      </c>
      <c r="L76" s="218" t="s">
        <v>271</v>
      </c>
      <c r="M76" s="218"/>
      <c r="N76" s="218"/>
      <c r="O76" s="218"/>
      <c r="P76" s="218"/>
      <c r="Q76" s="218"/>
      <c r="R76" s="218"/>
      <c r="S76" s="220" t="n">
        <v>46154</v>
      </c>
      <c r="T76" s="220"/>
      <c r="U76" s="218"/>
      <c r="V76" s="218" t="s">
        <v>455</v>
      </c>
      <c r="W76" s="218"/>
      <c r="X76" s="218"/>
    </row>
    <row r="77" customFormat="false" ht="15" hidden="false" customHeight="false" outlineLevel="0" collapsed="false">
      <c r="B77" s="218" t="n">
        <v>72</v>
      </c>
      <c r="C77" s="218" t="s">
        <v>186</v>
      </c>
      <c r="D77" s="218"/>
      <c r="E77" s="218" t="s">
        <v>857</v>
      </c>
      <c r="F77" s="219" t="s">
        <v>458</v>
      </c>
      <c r="G77" s="218" t="s">
        <v>164</v>
      </c>
      <c r="H77" s="220" t="n">
        <v>46174</v>
      </c>
      <c r="I77" s="218" t="s">
        <v>772</v>
      </c>
      <c r="J77" s="218" t="s">
        <v>718</v>
      </c>
      <c r="K77" s="218" t="n">
        <v>20</v>
      </c>
      <c r="L77" s="218" t="s">
        <v>271</v>
      </c>
      <c r="M77" s="218"/>
      <c r="N77" s="218"/>
      <c r="O77" s="218"/>
      <c r="P77" s="218" t="n">
        <v>32.5</v>
      </c>
      <c r="Q77" s="218" t="n">
        <f aca="false">K77*P77</f>
        <v>650</v>
      </c>
      <c r="R77" s="218" t="s">
        <v>858</v>
      </c>
      <c r="S77" s="220" t="n">
        <v>46175</v>
      </c>
      <c r="T77" s="220" t="n">
        <v>46175</v>
      </c>
      <c r="U77" s="218"/>
      <c r="V77" s="218" t="s">
        <v>455</v>
      </c>
      <c r="W77" s="218"/>
      <c r="X77" s="218"/>
    </row>
    <row r="78" customFormat="false" ht="15" hidden="false" customHeight="false" outlineLevel="0" collapsed="false">
      <c r="B78" s="218" t="n">
        <v>73</v>
      </c>
      <c r="C78" s="218" t="s">
        <v>186</v>
      </c>
      <c r="D78" s="218"/>
      <c r="E78" s="218" t="s">
        <v>859</v>
      </c>
      <c r="F78" s="219" t="s">
        <v>458</v>
      </c>
      <c r="G78" s="218" t="s">
        <v>164</v>
      </c>
      <c r="H78" s="220" t="n">
        <v>46175</v>
      </c>
      <c r="I78" s="218" t="s">
        <v>860</v>
      </c>
      <c r="J78" s="218" t="s">
        <v>796</v>
      </c>
      <c r="K78" s="218" t="n">
        <v>25</v>
      </c>
      <c r="L78" s="218" t="s">
        <v>271</v>
      </c>
      <c r="M78" s="218"/>
      <c r="N78" s="218"/>
      <c r="O78" s="218"/>
      <c r="P78" s="218" t="n">
        <v>35.72</v>
      </c>
      <c r="Q78" s="218" t="n">
        <f aca="false">K78*P78</f>
        <v>893</v>
      </c>
      <c r="R78" s="218" t="s">
        <v>861</v>
      </c>
      <c r="S78" s="220" t="n">
        <v>46176</v>
      </c>
      <c r="T78" s="220" t="n">
        <v>46176</v>
      </c>
      <c r="U78" s="218"/>
      <c r="V78" s="218" t="s">
        <v>455</v>
      </c>
      <c r="W78" s="218"/>
      <c r="X78" s="218"/>
    </row>
    <row r="79" customFormat="false" ht="15" hidden="false" customHeight="false" outlineLevel="0" collapsed="false">
      <c r="B79" s="218" t="n">
        <v>74</v>
      </c>
      <c r="C79" s="218" t="s">
        <v>186</v>
      </c>
      <c r="D79" s="218"/>
      <c r="E79" s="218" t="s">
        <v>859</v>
      </c>
      <c r="F79" s="219" t="s">
        <v>458</v>
      </c>
      <c r="G79" s="218" t="s">
        <v>164</v>
      </c>
      <c r="H79" s="220" t="n">
        <v>46175</v>
      </c>
      <c r="I79" s="218" t="s">
        <v>862</v>
      </c>
      <c r="J79" s="218" t="s">
        <v>863</v>
      </c>
      <c r="K79" s="218" t="n">
        <v>25</v>
      </c>
      <c r="L79" s="218" t="s">
        <v>271</v>
      </c>
      <c r="M79" s="218"/>
      <c r="N79" s="218"/>
      <c r="O79" s="218"/>
      <c r="P79" s="218" t="n">
        <v>32.49</v>
      </c>
      <c r="Q79" s="218" t="n">
        <f aca="false">K79*P79</f>
        <v>812.25</v>
      </c>
      <c r="R79" s="218" t="s">
        <v>864</v>
      </c>
      <c r="S79" s="220" t="n">
        <v>46183</v>
      </c>
      <c r="T79" s="220" t="n">
        <v>46183</v>
      </c>
      <c r="U79" s="218"/>
      <c r="V79" s="218" t="s">
        <v>455</v>
      </c>
      <c r="W79" s="218"/>
      <c r="X79" s="218"/>
    </row>
    <row r="80" customFormat="false" ht="15" hidden="false" customHeight="false" outlineLevel="0" collapsed="false">
      <c r="B80" s="218" t="n">
        <v>75</v>
      </c>
      <c r="C80" s="222" t="s">
        <v>178</v>
      </c>
      <c r="D80" s="222"/>
      <c r="E80" s="222" t="s">
        <v>865</v>
      </c>
      <c r="F80" s="223" t="s">
        <v>458</v>
      </c>
      <c r="G80" s="222" t="s">
        <v>164</v>
      </c>
      <c r="H80" s="224" t="n">
        <v>46183</v>
      </c>
      <c r="I80" s="222" t="s">
        <v>866</v>
      </c>
      <c r="J80" s="222" t="s">
        <v>722</v>
      </c>
      <c r="K80" s="222" t="n">
        <v>50</v>
      </c>
      <c r="L80" s="222" t="s">
        <v>271</v>
      </c>
      <c r="M80" s="222"/>
      <c r="N80" s="222"/>
      <c r="O80" s="222"/>
      <c r="P80" s="222" t="n">
        <v>22.5</v>
      </c>
      <c r="Q80" s="222" t="n">
        <f aca="false">K80*P80</f>
        <v>1125</v>
      </c>
      <c r="R80" s="222"/>
      <c r="S80" s="224" t="n">
        <v>46197</v>
      </c>
      <c r="T80" s="224"/>
      <c r="U80" s="222"/>
      <c r="V80" s="222" t="s">
        <v>698</v>
      </c>
      <c r="W80" s="222"/>
      <c r="X80" s="222"/>
    </row>
    <row r="81" customFormat="false" ht="15" hidden="false" customHeight="false" outlineLevel="0" collapsed="false">
      <c r="B81" s="218" t="n">
        <v>76</v>
      </c>
      <c r="C81" s="222" t="s">
        <v>178</v>
      </c>
      <c r="D81" s="222"/>
      <c r="E81" s="222" t="s">
        <v>865</v>
      </c>
      <c r="F81" s="223" t="s">
        <v>458</v>
      </c>
      <c r="G81" s="222" t="s">
        <v>164</v>
      </c>
      <c r="H81" s="224" t="n">
        <v>46183</v>
      </c>
      <c r="I81" s="222" t="s">
        <v>867</v>
      </c>
      <c r="J81" s="222" t="s">
        <v>756</v>
      </c>
      <c r="K81" s="222" t="n">
        <v>25</v>
      </c>
      <c r="L81" s="222" t="s">
        <v>271</v>
      </c>
      <c r="M81" s="222"/>
      <c r="N81" s="222"/>
      <c r="O81" s="222"/>
      <c r="P81" s="222" t="n">
        <v>27.1</v>
      </c>
      <c r="Q81" s="222" t="n">
        <f aca="false">K81*P81</f>
        <v>677.5</v>
      </c>
      <c r="R81" s="222"/>
      <c r="S81" s="224" t="n">
        <v>46197</v>
      </c>
      <c r="T81" s="224"/>
      <c r="U81" s="222"/>
      <c r="V81" s="222" t="s">
        <v>698</v>
      </c>
      <c r="W81" s="222"/>
      <c r="X81" s="222"/>
    </row>
    <row r="82" customFormat="false" ht="15" hidden="false" customHeight="false" outlineLevel="0" collapsed="false">
      <c r="B82" s="218" t="n">
        <v>77</v>
      </c>
      <c r="C82" s="222" t="s">
        <v>178</v>
      </c>
      <c r="D82" s="222"/>
      <c r="E82" s="222" t="s">
        <v>865</v>
      </c>
      <c r="F82" s="223" t="s">
        <v>458</v>
      </c>
      <c r="G82" s="222" t="s">
        <v>164</v>
      </c>
      <c r="H82" s="224" t="n">
        <v>46183</v>
      </c>
      <c r="I82" s="222" t="s">
        <v>821</v>
      </c>
      <c r="J82" s="222" t="s">
        <v>375</v>
      </c>
      <c r="K82" s="222" t="n">
        <v>50</v>
      </c>
      <c r="L82" s="222" t="s">
        <v>271</v>
      </c>
      <c r="M82" s="222"/>
      <c r="N82" s="222"/>
      <c r="O82" s="222"/>
      <c r="P82" s="222" t="n">
        <v>32.2</v>
      </c>
      <c r="Q82" s="222" t="n">
        <f aca="false">K82*P82</f>
        <v>1610</v>
      </c>
      <c r="R82" s="222"/>
      <c r="S82" s="224" t="n">
        <v>46197</v>
      </c>
      <c r="T82" s="224"/>
      <c r="U82" s="222"/>
      <c r="V82" s="222" t="s">
        <v>698</v>
      </c>
      <c r="W82" s="222"/>
      <c r="X82" s="222"/>
    </row>
    <row r="83" customFormat="false" ht="15" hidden="false" customHeight="false" outlineLevel="0" collapsed="false">
      <c r="B83" s="218" t="n">
        <v>78</v>
      </c>
      <c r="C83" s="222" t="s">
        <v>178</v>
      </c>
      <c r="D83" s="222"/>
      <c r="E83" s="222" t="s">
        <v>865</v>
      </c>
      <c r="F83" s="223" t="s">
        <v>458</v>
      </c>
      <c r="G83" s="222" t="s">
        <v>164</v>
      </c>
      <c r="H83" s="224" t="n">
        <v>46183</v>
      </c>
      <c r="I83" s="222" t="s">
        <v>816</v>
      </c>
      <c r="J83" s="222" t="s">
        <v>373</v>
      </c>
      <c r="K83" s="222" t="n">
        <v>50</v>
      </c>
      <c r="L83" s="222" t="s">
        <v>271</v>
      </c>
      <c r="M83" s="222"/>
      <c r="N83" s="222"/>
      <c r="O83" s="222"/>
      <c r="P83" s="222" t="n">
        <v>26.5</v>
      </c>
      <c r="Q83" s="222" t="n">
        <f aca="false">K83*P83</f>
        <v>1325</v>
      </c>
      <c r="R83" s="222"/>
      <c r="S83" s="224" t="n">
        <v>46197</v>
      </c>
      <c r="T83" s="224"/>
      <c r="U83" s="222"/>
      <c r="V83" s="222" t="s">
        <v>698</v>
      </c>
      <c r="W83" s="222"/>
      <c r="X83" s="222"/>
    </row>
    <row r="84" customFormat="false" ht="15" hidden="false" customHeight="false" outlineLevel="0" collapsed="false">
      <c r="B84" s="218" t="n">
        <v>79</v>
      </c>
      <c r="C84" s="218" t="s">
        <v>186</v>
      </c>
      <c r="D84" s="218"/>
      <c r="E84" s="218" t="s">
        <v>868</v>
      </c>
      <c r="F84" s="219" t="s">
        <v>869</v>
      </c>
      <c r="G84" s="218" t="s">
        <v>164</v>
      </c>
      <c r="H84" s="220" t="n">
        <v>46183</v>
      </c>
      <c r="I84" s="218" t="s">
        <v>840</v>
      </c>
      <c r="J84" s="218" t="s">
        <v>375</v>
      </c>
      <c r="K84" s="218" t="n">
        <v>25</v>
      </c>
      <c r="L84" s="218" t="s">
        <v>271</v>
      </c>
      <c r="M84" s="218"/>
      <c r="N84" s="218"/>
      <c r="O84" s="218"/>
      <c r="P84" s="218" t="n">
        <v>39.43</v>
      </c>
      <c r="Q84" s="218" t="n">
        <f aca="false">K84*P84</f>
        <v>985.75</v>
      </c>
      <c r="R84" s="218"/>
      <c r="S84" s="220" t="n">
        <v>46185</v>
      </c>
      <c r="T84" s="220"/>
      <c r="U84" s="218"/>
      <c r="V84" s="218" t="s">
        <v>455</v>
      </c>
      <c r="W84" s="218"/>
      <c r="X84" s="218"/>
    </row>
    <row r="85" customFormat="false" ht="15" hidden="false" customHeight="false" outlineLevel="0" collapsed="false">
      <c r="B85" s="218" t="n">
        <v>80</v>
      </c>
      <c r="C85" s="225" t="s">
        <v>186</v>
      </c>
      <c r="D85" s="225"/>
      <c r="E85" s="225" t="s">
        <v>868</v>
      </c>
      <c r="F85" s="226" t="s">
        <v>869</v>
      </c>
      <c r="G85" s="225" t="s">
        <v>164</v>
      </c>
      <c r="H85" s="227" t="n">
        <v>46183</v>
      </c>
      <c r="I85" s="225" t="s">
        <v>870</v>
      </c>
      <c r="J85" s="225" t="s">
        <v>871</v>
      </c>
      <c r="K85" s="225" t="n">
        <v>25</v>
      </c>
      <c r="L85" s="225" t="s">
        <v>271</v>
      </c>
      <c r="M85" s="225"/>
      <c r="N85" s="225"/>
      <c r="O85" s="225"/>
      <c r="P85" s="225" t="n">
        <v>36.59</v>
      </c>
      <c r="Q85" s="225" t="n">
        <f aca="false">K85*P85</f>
        <v>914.75</v>
      </c>
      <c r="R85" s="225"/>
      <c r="S85" s="227" t="n">
        <v>46185</v>
      </c>
      <c r="T85" s="227"/>
      <c r="U85" s="225"/>
      <c r="V85" s="225" t="s">
        <v>455</v>
      </c>
      <c r="W85" s="225"/>
      <c r="X85" s="225"/>
    </row>
    <row r="86" customFormat="false" ht="15" hidden="false" customHeight="false" outlineLevel="0" collapsed="false">
      <c r="B86" s="218" t="n">
        <v>81</v>
      </c>
      <c r="C86" s="218" t="s">
        <v>161</v>
      </c>
      <c r="D86" s="218"/>
      <c r="E86" s="218" t="s">
        <v>872</v>
      </c>
      <c r="F86" s="219" t="s">
        <v>458</v>
      </c>
      <c r="G86" s="218" t="s">
        <v>873</v>
      </c>
      <c r="H86" s="220" t="n">
        <v>46185</v>
      </c>
      <c r="I86" s="218" t="s">
        <v>724</v>
      </c>
      <c r="J86" s="218" t="s">
        <v>287</v>
      </c>
      <c r="K86" s="218" t="n">
        <v>250</v>
      </c>
      <c r="L86" s="218" t="s">
        <v>271</v>
      </c>
      <c r="M86" s="218" t="n">
        <v>14.64</v>
      </c>
      <c r="N86" s="218"/>
      <c r="O86" s="218"/>
      <c r="P86" s="218" t="n">
        <v>63.69</v>
      </c>
      <c r="Q86" s="218" t="n">
        <f aca="false">K86*P86</f>
        <v>15922.5</v>
      </c>
      <c r="R86" s="218"/>
      <c r="S86" s="220" t="n">
        <v>46190</v>
      </c>
      <c r="T86" s="220"/>
      <c r="U86" s="218"/>
      <c r="V86" s="218"/>
      <c r="W86" s="218"/>
      <c r="X86" s="218"/>
    </row>
    <row r="87" customFormat="false" ht="15" hidden="false" customHeight="false" outlineLevel="0" collapsed="false">
      <c r="B87" s="218" t="n">
        <v>82</v>
      </c>
      <c r="C87" s="218" t="s">
        <v>186</v>
      </c>
      <c r="D87" s="218"/>
      <c r="E87" s="218" t="s">
        <v>874</v>
      </c>
      <c r="F87" s="219" t="s">
        <v>458</v>
      </c>
      <c r="G87" s="218" t="s">
        <v>164</v>
      </c>
      <c r="H87" s="220" t="n">
        <v>46185</v>
      </c>
      <c r="I87" s="218" t="s">
        <v>809</v>
      </c>
      <c r="J87" s="218" t="s">
        <v>718</v>
      </c>
      <c r="K87" s="218" t="n">
        <v>25</v>
      </c>
      <c r="L87" s="218" t="s">
        <v>271</v>
      </c>
      <c r="M87" s="218"/>
      <c r="N87" s="218"/>
      <c r="O87" s="218"/>
      <c r="P87" s="218" t="n">
        <v>33.73</v>
      </c>
      <c r="Q87" s="218" t="n">
        <f aca="false">K87*P87</f>
        <v>843.25</v>
      </c>
      <c r="R87" s="218"/>
      <c r="S87" s="220" t="n">
        <v>46188</v>
      </c>
      <c r="T87" s="220"/>
      <c r="U87" s="218"/>
      <c r="V87" s="218" t="s">
        <v>455</v>
      </c>
      <c r="W87" s="218"/>
      <c r="X87" s="218"/>
    </row>
    <row r="88" customFormat="false" ht="15" hidden="false" customHeight="false" outlineLevel="0" collapsed="false">
      <c r="B88" s="218" t="n">
        <v>83</v>
      </c>
      <c r="C88" s="218" t="s">
        <v>186</v>
      </c>
      <c r="D88" s="218"/>
      <c r="E88" s="218" t="s">
        <v>874</v>
      </c>
      <c r="F88" s="219" t="s">
        <v>458</v>
      </c>
      <c r="G88" s="218" t="s">
        <v>164</v>
      </c>
      <c r="H88" s="220" t="n">
        <v>46185</v>
      </c>
      <c r="I88" s="218" t="s">
        <v>810</v>
      </c>
      <c r="J88" s="218" t="s">
        <v>373</v>
      </c>
      <c r="K88" s="218" t="n">
        <v>50</v>
      </c>
      <c r="L88" s="218" t="s">
        <v>271</v>
      </c>
      <c r="M88" s="218"/>
      <c r="N88" s="218"/>
      <c r="O88" s="218"/>
      <c r="P88" s="218" t="n">
        <v>33.73</v>
      </c>
      <c r="Q88" s="218" t="n">
        <f aca="false">K88*P88</f>
        <v>1686.5</v>
      </c>
      <c r="R88" s="218"/>
      <c r="S88" s="220" t="n">
        <v>46188</v>
      </c>
      <c r="T88" s="220"/>
      <c r="U88" s="218"/>
      <c r="V88" s="218" t="s">
        <v>455</v>
      </c>
      <c r="W88" s="218"/>
      <c r="X88" s="218"/>
    </row>
    <row r="89" customFormat="false" ht="15" hidden="false" customHeight="false" outlineLevel="0" collapsed="false">
      <c r="B89" s="218" t="n">
        <v>84</v>
      </c>
      <c r="C89" s="218" t="s">
        <v>875</v>
      </c>
      <c r="D89" s="218"/>
      <c r="E89" s="218" t="s">
        <v>876</v>
      </c>
      <c r="F89" s="219" t="s">
        <v>458</v>
      </c>
      <c r="G89" s="218" t="s">
        <v>164</v>
      </c>
      <c r="H89" s="220" t="n">
        <v>46188</v>
      </c>
      <c r="I89" s="218" t="s">
        <v>877</v>
      </c>
      <c r="J89" s="218" t="s">
        <v>796</v>
      </c>
      <c r="K89" s="218" t="n">
        <v>25</v>
      </c>
      <c r="L89" s="218" t="s">
        <v>271</v>
      </c>
      <c r="M89" s="218"/>
      <c r="N89" s="218"/>
      <c r="O89" s="218"/>
      <c r="P89" s="218" t="n">
        <v>29.9</v>
      </c>
      <c r="Q89" s="218" t="n">
        <f aca="false">K89*P89</f>
        <v>747.5</v>
      </c>
      <c r="R89" s="218"/>
      <c r="S89" s="220" t="n">
        <v>46191</v>
      </c>
      <c r="T89" s="220"/>
      <c r="U89" s="218"/>
      <c r="V89" s="218" t="s">
        <v>455</v>
      </c>
      <c r="W89" s="218"/>
      <c r="X89" s="218"/>
    </row>
    <row r="90" customFormat="false" ht="15" hidden="false" customHeight="false" outlineLevel="0" collapsed="false">
      <c r="B90" s="218" t="n">
        <v>85</v>
      </c>
      <c r="C90" s="218" t="s">
        <v>875</v>
      </c>
      <c r="D90" s="218"/>
      <c r="E90" s="218" t="s">
        <v>876</v>
      </c>
      <c r="F90" s="219" t="s">
        <v>458</v>
      </c>
      <c r="G90" s="218" t="s">
        <v>164</v>
      </c>
      <c r="H90" s="220" t="n">
        <v>46188</v>
      </c>
      <c r="I90" s="218" t="s">
        <v>878</v>
      </c>
      <c r="J90" s="218" t="s">
        <v>879</v>
      </c>
      <c r="K90" s="218" t="n">
        <v>25</v>
      </c>
      <c r="L90" s="218" t="s">
        <v>271</v>
      </c>
      <c r="M90" s="218"/>
      <c r="N90" s="218"/>
      <c r="O90" s="218"/>
      <c r="P90" s="218" t="n">
        <v>29.9</v>
      </c>
      <c r="Q90" s="218" t="n">
        <f aca="false">K90*P90</f>
        <v>747.5</v>
      </c>
      <c r="R90" s="218"/>
      <c r="S90" s="220" t="n">
        <v>46191</v>
      </c>
      <c r="T90" s="220"/>
      <c r="U90" s="218"/>
      <c r="V90" s="218" t="s">
        <v>455</v>
      </c>
      <c r="W90" s="218"/>
      <c r="X90" s="218"/>
    </row>
    <row r="91" customFormat="false" ht="15" hidden="false" customHeight="false" outlineLevel="0" collapsed="false">
      <c r="B91" s="218" t="n">
        <v>86</v>
      </c>
      <c r="C91" s="218" t="s">
        <v>170</v>
      </c>
      <c r="D91" s="218"/>
      <c r="E91" s="218" t="s">
        <v>880</v>
      </c>
      <c r="F91" s="219" t="s">
        <v>458</v>
      </c>
      <c r="G91" s="218" t="s">
        <v>164</v>
      </c>
      <c r="H91" s="220" t="n">
        <v>46189</v>
      </c>
      <c r="I91" s="218" t="s">
        <v>881</v>
      </c>
      <c r="J91" s="218" t="s">
        <v>739</v>
      </c>
      <c r="K91" s="218" t="n">
        <v>15</v>
      </c>
      <c r="L91" s="218" t="s">
        <v>271</v>
      </c>
      <c r="M91" s="218"/>
      <c r="N91" s="218"/>
      <c r="O91" s="218"/>
      <c r="P91" s="218" t="n">
        <v>55</v>
      </c>
      <c r="Q91" s="218" t="n">
        <f aca="false">K91*P91</f>
        <v>825</v>
      </c>
      <c r="R91" s="218"/>
      <c r="S91" s="220" t="n">
        <v>46191</v>
      </c>
      <c r="T91" s="220"/>
      <c r="U91" s="218"/>
      <c r="V91" s="218" t="s">
        <v>455</v>
      </c>
      <c r="W91" s="218"/>
      <c r="X91" s="218"/>
    </row>
    <row r="92" customFormat="false" ht="15" hidden="false" customHeight="false" outlineLevel="0" collapsed="false">
      <c r="B92" s="218" t="n">
        <v>87</v>
      </c>
      <c r="C92" s="218" t="s">
        <v>170</v>
      </c>
      <c r="D92" s="218"/>
      <c r="E92" s="218" t="s">
        <v>882</v>
      </c>
      <c r="F92" s="219" t="s">
        <v>458</v>
      </c>
      <c r="G92" s="218" t="s">
        <v>164</v>
      </c>
      <c r="H92" s="220" t="n">
        <v>46189</v>
      </c>
      <c r="I92" s="218" t="s">
        <v>727</v>
      </c>
      <c r="J92" s="218" t="s">
        <v>274</v>
      </c>
      <c r="K92" s="218" t="n">
        <v>50</v>
      </c>
      <c r="L92" s="218" t="s">
        <v>271</v>
      </c>
      <c r="M92" s="218"/>
      <c r="N92" s="218"/>
      <c r="O92" s="218"/>
      <c r="P92" s="218" t="n">
        <v>16</v>
      </c>
      <c r="Q92" s="218" t="n">
        <f aca="false">K92*P92</f>
        <v>800</v>
      </c>
      <c r="R92" s="218"/>
      <c r="S92" s="220" t="n">
        <v>46192</v>
      </c>
      <c r="T92" s="220"/>
      <c r="U92" s="218"/>
      <c r="V92" s="218" t="s">
        <v>455</v>
      </c>
      <c r="W92" s="218"/>
      <c r="X92" s="218"/>
    </row>
    <row r="93" customFormat="false" ht="15" hidden="false" customHeight="false" outlineLevel="0" collapsed="false">
      <c r="B93" s="218" t="n">
        <v>88</v>
      </c>
      <c r="C93" s="218" t="s">
        <v>186</v>
      </c>
      <c r="D93" s="218"/>
      <c r="E93" s="218" t="s">
        <v>883</v>
      </c>
      <c r="F93" s="218" t="s">
        <v>458</v>
      </c>
      <c r="G93" s="218" t="s">
        <v>164</v>
      </c>
      <c r="H93" s="220" t="n">
        <v>46191</v>
      </c>
      <c r="I93" s="218" t="s">
        <v>840</v>
      </c>
      <c r="J93" s="218" t="s">
        <v>375</v>
      </c>
      <c r="K93" s="218" t="n">
        <v>25</v>
      </c>
      <c r="L93" s="218" t="s">
        <v>271</v>
      </c>
      <c r="M93" s="218"/>
      <c r="N93" s="218"/>
      <c r="O93" s="218"/>
      <c r="P93" s="218" t="n">
        <v>37.35</v>
      </c>
      <c r="Q93" s="218" t="n">
        <f aca="false">K93*P93</f>
        <v>933.75</v>
      </c>
      <c r="R93" s="218"/>
      <c r="S93" s="220" t="n">
        <v>46216</v>
      </c>
      <c r="T93" s="220"/>
      <c r="U93" s="218"/>
      <c r="V93" s="218" t="s">
        <v>455</v>
      </c>
      <c r="W93" s="218"/>
      <c r="X93" s="218"/>
    </row>
    <row r="94" customFormat="false" ht="15" hidden="false" customHeight="false" outlineLevel="0" collapsed="false">
      <c r="B94" s="218" t="n">
        <v>89</v>
      </c>
      <c r="C94" s="218" t="s">
        <v>186</v>
      </c>
      <c r="D94" s="218"/>
      <c r="E94" s="218" t="s">
        <v>883</v>
      </c>
      <c r="F94" s="218" t="s">
        <v>458</v>
      </c>
      <c r="G94" s="218" t="s">
        <v>164</v>
      </c>
      <c r="H94" s="220" t="n">
        <v>46191</v>
      </c>
      <c r="I94" s="218" t="s">
        <v>884</v>
      </c>
      <c r="J94" s="218" t="s">
        <v>373</v>
      </c>
      <c r="K94" s="218" t="n">
        <v>25</v>
      </c>
      <c r="L94" s="218" t="s">
        <v>271</v>
      </c>
      <c r="M94" s="218"/>
      <c r="N94" s="218"/>
      <c r="O94" s="218"/>
      <c r="P94" s="218" t="n">
        <v>31.32</v>
      </c>
      <c r="Q94" s="218" t="n">
        <f aca="false">K94*P94</f>
        <v>783</v>
      </c>
      <c r="R94" s="218"/>
      <c r="S94" s="220" t="n">
        <v>46216</v>
      </c>
      <c r="T94" s="220"/>
      <c r="U94" s="218"/>
      <c r="V94" s="218" t="s">
        <v>455</v>
      </c>
      <c r="W94" s="218"/>
      <c r="X94" s="218"/>
    </row>
    <row r="95" customFormat="false" ht="15" hidden="false" customHeight="false" outlineLevel="0" collapsed="false">
      <c r="B95" s="218" t="n">
        <v>90</v>
      </c>
      <c r="C95" s="218" t="s">
        <v>186</v>
      </c>
      <c r="D95" s="218"/>
      <c r="E95" s="218" t="s">
        <v>883</v>
      </c>
      <c r="F95" s="218" t="s">
        <v>458</v>
      </c>
      <c r="G95" s="218" t="s">
        <v>164</v>
      </c>
      <c r="H95" s="220" t="n">
        <v>46191</v>
      </c>
      <c r="I95" s="218" t="s">
        <v>885</v>
      </c>
      <c r="J95" s="218" t="s">
        <v>373</v>
      </c>
      <c r="K95" s="218" t="n">
        <v>25</v>
      </c>
      <c r="L95" s="218" t="s">
        <v>271</v>
      </c>
      <c r="M95" s="218"/>
      <c r="N95" s="218"/>
      <c r="O95" s="218"/>
      <c r="P95" s="218" t="n">
        <v>34.2</v>
      </c>
      <c r="Q95" s="218" t="n">
        <f aca="false">K95*P95</f>
        <v>855</v>
      </c>
      <c r="R95" s="218"/>
      <c r="S95" s="220" t="n">
        <v>46216</v>
      </c>
      <c r="T95" s="220"/>
      <c r="U95" s="218"/>
      <c r="V95" s="218" t="s">
        <v>455</v>
      </c>
      <c r="W95" s="218"/>
      <c r="X95" s="218"/>
    </row>
    <row r="96" customFormat="false" ht="15" hidden="false" customHeight="false" outlineLevel="0" collapsed="false">
      <c r="B96" s="218" t="n">
        <v>91</v>
      </c>
      <c r="C96" s="218" t="s">
        <v>186</v>
      </c>
      <c r="D96" s="218"/>
      <c r="E96" s="218" t="s">
        <v>883</v>
      </c>
      <c r="F96" s="218" t="s">
        <v>458</v>
      </c>
      <c r="G96" s="218" t="s">
        <v>164</v>
      </c>
      <c r="H96" s="220" t="n">
        <v>46191</v>
      </c>
      <c r="I96" s="218" t="s">
        <v>886</v>
      </c>
      <c r="J96" s="218" t="s">
        <v>796</v>
      </c>
      <c r="K96" s="218" t="n">
        <v>25</v>
      </c>
      <c r="L96" s="218" t="s">
        <v>271</v>
      </c>
      <c r="M96" s="218"/>
      <c r="N96" s="218"/>
      <c r="O96" s="218"/>
      <c r="P96" s="218" t="n">
        <v>35.1</v>
      </c>
      <c r="Q96" s="218" t="n">
        <f aca="false">K96*P96</f>
        <v>877.5</v>
      </c>
      <c r="R96" s="218"/>
      <c r="S96" s="220" t="n">
        <v>46216</v>
      </c>
      <c r="T96" s="220"/>
      <c r="U96" s="218"/>
      <c r="V96" s="218" t="s">
        <v>455</v>
      </c>
      <c r="W96" s="218"/>
      <c r="X96" s="218"/>
    </row>
    <row r="97" customFormat="false" ht="15" hidden="false" customHeight="false" outlineLevel="0" collapsed="false">
      <c r="B97" s="218" t="n">
        <v>92</v>
      </c>
      <c r="C97" s="218" t="s">
        <v>186</v>
      </c>
      <c r="D97" s="218"/>
      <c r="E97" s="218" t="s">
        <v>883</v>
      </c>
      <c r="F97" s="218" t="s">
        <v>458</v>
      </c>
      <c r="G97" s="218" t="s">
        <v>164</v>
      </c>
      <c r="H97" s="220" t="n">
        <v>46191</v>
      </c>
      <c r="I97" s="218" t="s">
        <v>887</v>
      </c>
      <c r="J97" s="218" t="s">
        <v>718</v>
      </c>
      <c r="K97" s="218" t="n">
        <v>25</v>
      </c>
      <c r="L97" s="218" t="s">
        <v>271</v>
      </c>
      <c r="M97" s="218"/>
      <c r="N97" s="218"/>
      <c r="O97" s="218"/>
      <c r="P97" s="218" t="n">
        <v>35.1</v>
      </c>
      <c r="Q97" s="218" t="n">
        <f aca="false">K97*P97</f>
        <v>877.5</v>
      </c>
      <c r="R97" s="218"/>
      <c r="S97" s="220" t="n">
        <v>46216</v>
      </c>
      <c r="T97" s="220"/>
      <c r="U97" s="218"/>
      <c r="V97" s="218" t="s">
        <v>455</v>
      </c>
      <c r="W97" s="218"/>
      <c r="X97" s="218"/>
    </row>
    <row r="98" customFormat="false" ht="15" hidden="false" customHeight="false" outlineLevel="0" collapsed="false">
      <c r="B98" s="218" t="n">
        <v>93</v>
      </c>
      <c r="C98" s="218" t="s">
        <v>186</v>
      </c>
      <c r="D98" s="218"/>
      <c r="E98" s="218" t="s">
        <v>883</v>
      </c>
      <c r="F98" s="218" t="s">
        <v>458</v>
      </c>
      <c r="G98" s="218" t="s">
        <v>164</v>
      </c>
      <c r="H98" s="220" t="n">
        <v>46191</v>
      </c>
      <c r="I98" s="218" t="s">
        <v>888</v>
      </c>
      <c r="J98" s="218" t="s">
        <v>375</v>
      </c>
      <c r="K98" s="218" t="n">
        <v>25</v>
      </c>
      <c r="L98" s="218" t="s">
        <v>271</v>
      </c>
      <c r="M98" s="218"/>
      <c r="N98" s="218"/>
      <c r="O98" s="218"/>
      <c r="P98" s="218" t="n">
        <v>37.35</v>
      </c>
      <c r="Q98" s="218" t="n">
        <f aca="false">K98*P98</f>
        <v>933.75</v>
      </c>
      <c r="R98" s="218"/>
      <c r="S98" s="220" t="n">
        <v>46216</v>
      </c>
      <c r="T98" s="220"/>
      <c r="U98" s="218"/>
      <c r="V98" s="218" t="s">
        <v>455</v>
      </c>
      <c r="W98" s="218"/>
      <c r="X98" s="218"/>
    </row>
    <row r="99" customFormat="false" ht="15" hidden="false" customHeight="false" outlineLevel="0" collapsed="false">
      <c r="B99" s="218" t="n">
        <v>94</v>
      </c>
      <c r="C99" s="218" t="s">
        <v>186</v>
      </c>
      <c r="D99" s="218"/>
      <c r="E99" s="218" t="s">
        <v>883</v>
      </c>
      <c r="F99" s="218" t="s">
        <v>458</v>
      </c>
      <c r="G99" s="218" t="s">
        <v>164</v>
      </c>
      <c r="H99" s="220" t="n">
        <v>46191</v>
      </c>
      <c r="I99" s="218" t="s">
        <v>889</v>
      </c>
      <c r="J99" s="218" t="s">
        <v>778</v>
      </c>
      <c r="K99" s="218" t="n">
        <v>25</v>
      </c>
      <c r="L99" s="218"/>
      <c r="M99" s="218"/>
      <c r="N99" s="218"/>
      <c r="O99" s="218"/>
      <c r="P99" s="218" t="n">
        <v>36.9</v>
      </c>
      <c r="Q99" s="218" t="n">
        <f aca="false">K99*P99</f>
        <v>922.5</v>
      </c>
      <c r="R99" s="218"/>
      <c r="S99" s="220" t="n">
        <v>46216</v>
      </c>
      <c r="T99" s="220"/>
      <c r="U99" s="218"/>
      <c r="V99" s="218" t="s">
        <v>455</v>
      </c>
      <c r="W99" s="218"/>
      <c r="X99" s="218"/>
    </row>
    <row r="100" customFormat="false" ht="15" hidden="false" customHeight="false" outlineLevel="0" collapsed="false">
      <c r="B100" s="218" t="n">
        <v>95</v>
      </c>
      <c r="C100" s="218" t="s">
        <v>186</v>
      </c>
      <c r="D100" s="218"/>
      <c r="E100" s="218" t="s">
        <v>890</v>
      </c>
      <c r="F100" s="218" t="s">
        <v>458</v>
      </c>
      <c r="G100" s="218" t="s">
        <v>891</v>
      </c>
      <c r="H100" s="220" t="n">
        <v>46191</v>
      </c>
      <c r="I100" s="218" t="s">
        <v>788</v>
      </c>
      <c r="J100" s="218" t="s">
        <v>268</v>
      </c>
      <c r="K100" s="218" t="n">
        <v>25</v>
      </c>
      <c r="L100" s="218"/>
      <c r="M100" s="218"/>
      <c r="N100" s="218"/>
      <c r="O100" s="218"/>
      <c r="P100" s="218" t="n">
        <v>23.75</v>
      </c>
      <c r="Q100" s="218" t="n">
        <f aca="false">K100*P100</f>
        <v>593.75</v>
      </c>
      <c r="R100" s="218"/>
      <c r="S100" s="220" t="n">
        <v>46192</v>
      </c>
      <c r="T100" s="220"/>
      <c r="U100" s="218"/>
      <c r="V100" s="218" t="s">
        <v>455</v>
      </c>
      <c r="W100" s="218"/>
      <c r="X100" s="218"/>
    </row>
    <row r="101" customFormat="false" ht="15" hidden="false" customHeight="false" outlineLevel="0" collapsed="false">
      <c r="B101" s="218" t="n">
        <v>96</v>
      </c>
      <c r="C101" s="218" t="s">
        <v>875</v>
      </c>
      <c r="D101" s="218"/>
      <c r="E101" s="218" t="s">
        <v>892</v>
      </c>
      <c r="F101" s="218" t="s">
        <v>458</v>
      </c>
      <c r="G101" s="218" t="s">
        <v>164</v>
      </c>
      <c r="H101" s="220" t="n">
        <v>46195</v>
      </c>
      <c r="I101" s="218" t="s">
        <v>893</v>
      </c>
      <c r="J101" s="218" t="s">
        <v>287</v>
      </c>
      <c r="K101" s="218" t="n">
        <v>25</v>
      </c>
      <c r="L101" s="218"/>
      <c r="M101" s="218"/>
      <c r="N101" s="218"/>
      <c r="O101" s="218"/>
      <c r="P101" s="218" t="n">
        <v>13.5</v>
      </c>
      <c r="Q101" s="218" t="n">
        <f aca="false">K101*P101</f>
        <v>337.5</v>
      </c>
      <c r="R101" s="218"/>
      <c r="S101" s="220" t="n">
        <v>46196</v>
      </c>
      <c r="T101" s="220"/>
      <c r="U101" s="218"/>
      <c r="V101" s="218" t="s">
        <v>455</v>
      </c>
      <c r="W101" s="218"/>
      <c r="X101" s="218"/>
    </row>
    <row r="102" customFormat="false" ht="15" hidden="false" customHeight="false" outlineLevel="0" collapsed="false">
      <c r="B102" s="218" t="n">
        <v>81</v>
      </c>
      <c r="C102" s="218" t="s">
        <v>161</v>
      </c>
      <c r="D102" s="218"/>
      <c r="E102" s="218" t="s">
        <v>894</v>
      </c>
      <c r="F102" s="219" t="s">
        <v>458</v>
      </c>
      <c r="G102" s="218" t="s">
        <v>873</v>
      </c>
      <c r="H102" s="220" t="n">
        <v>46195</v>
      </c>
      <c r="I102" s="218" t="s">
        <v>781</v>
      </c>
      <c r="J102" s="218" t="s">
        <v>287</v>
      </c>
      <c r="K102" s="218" t="n">
        <v>25</v>
      </c>
      <c r="L102" s="218" t="s">
        <v>271</v>
      </c>
      <c r="M102" s="218" t="n">
        <v>14.41</v>
      </c>
      <c r="N102" s="218"/>
      <c r="O102" s="218"/>
      <c r="P102" s="218" t="n">
        <v>63.69</v>
      </c>
      <c r="Q102" s="218" t="n">
        <f aca="false">K102*P102</f>
        <v>1592.25</v>
      </c>
      <c r="R102" s="218"/>
      <c r="S102" s="220" t="n">
        <v>46203</v>
      </c>
      <c r="T102" s="220" t="n">
        <v>46203</v>
      </c>
      <c r="U102" s="218"/>
      <c r="V102" s="218" t="s">
        <v>455</v>
      </c>
      <c r="W102" s="218"/>
      <c r="X102" s="218"/>
    </row>
    <row r="103" customFormat="false" ht="15" hidden="false" customHeight="false" outlineLevel="0" collapsed="false">
      <c r="B103" s="218" t="n">
        <v>97</v>
      </c>
      <c r="C103" s="218" t="s">
        <v>186</v>
      </c>
      <c r="D103" s="218"/>
      <c r="E103" s="218" t="s">
        <v>895</v>
      </c>
      <c r="F103" s="218" t="s">
        <v>458</v>
      </c>
      <c r="G103" s="218" t="s">
        <v>164</v>
      </c>
      <c r="H103" s="220" t="n">
        <v>46196</v>
      </c>
      <c r="I103" s="218" t="s">
        <v>896</v>
      </c>
      <c r="J103" s="218" t="s">
        <v>778</v>
      </c>
      <c r="K103" s="218" t="n">
        <v>25</v>
      </c>
      <c r="L103" s="218"/>
      <c r="M103" s="218"/>
      <c r="N103" s="218"/>
      <c r="O103" s="218"/>
      <c r="P103" s="218" t="n">
        <v>35.63</v>
      </c>
      <c r="Q103" s="218" t="n">
        <f aca="false">K103*P103</f>
        <v>890.75</v>
      </c>
      <c r="R103" s="218" t="s">
        <v>897</v>
      </c>
      <c r="S103" s="220" t="n">
        <v>46198</v>
      </c>
      <c r="T103" s="220" t="n">
        <v>46198</v>
      </c>
      <c r="U103" s="218"/>
      <c r="V103" s="218" t="s">
        <v>455</v>
      </c>
      <c r="W103" s="218"/>
      <c r="X103" s="218"/>
    </row>
    <row r="104" customFormat="false" ht="15" hidden="false" customHeight="false" outlineLevel="0" collapsed="false">
      <c r="B104" s="218" t="n">
        <v>97</v>
      </c>
      <c r="C104" s="218" t="s">
        <v>186</v>
      </c>
      <c r="D104" s="218"/>
      <c r="E104" s="218" t="s">
        <v>898</v>
      </c>
      <c r="F104" s="218" t="s">
        <v>458</v>
      </c>
      <c r="G104" s="218" t="s">
        <v>164</v>
      </c>
      <c r="H104" s="220" t="n">
        <v>46196</v>
      </c>
      <c r="I104" s="218" t="s">
        <v>802</v>
      </c>
      <c r="J104" s="218" t="s">
        <v>899</v>
      </c>
      <c r="K104" s="218" t="n">
        <v>25</v>
      </c>
      <c r="L104" s="218"/>
      <c r="M104" s="218"/>
      <c r="N104" s="218"/>
      <c r="O104" s="218"/>
      <c r="P104" s="218" t="n">
        <v>33.54</v>
      </c>
      <c r="Q104" s="218" t="n">
        <f aca="false">K104*P104</f>
        <v>838.5</v>
      </c>
      <c r="R104" s="218" t="s">
        <v>900</v>
      </c>
      <c r="S104" s="220" t="n">
        <v>46198</v>
      </c>
      <c r="T104" s="220" t="n">
        <v>46198</v>
      </c>
      <c r="U104" s="218"/>
      <c r="V104" s="218" t="s">
        <v>455</v>
      </c>
      <c r="W104" s="218"/>
      <c r="X104" s="218"/>
    </row>
    <row r="105" customFormat="false" ht="15" hidden="false" customHeight="false" outlineLevel="0" collapsed="false">
      <c r="B105" s="218" t="n">
        <v>97</v>
      </c>
      <c r="C105" s="218" t="s">
        <v>186</v>
      </c>
      <c r="D105" s="218"/>
      <c r="E105" s="218" t="s">
        <v>901</v>
      </c>
      <c r="F105" s="218" t="s">
        <v>458</v>
      </c>
      <c r="G105" s="218" t="s">
        <v>164</v>
      </c>
      <c r="H105" s="220" t="n">
        <v>46213</v>
      </c>
      <c r="I105" s="218" t="s">
        <v>902</v>
      </c>
      <c r="J105" s="218" t="s">
        <v>778</v>
      </c>
      <c r="K105" s="218" t="n">
        <v>25</v>
      </c>
      <c r="L105" s="218"/>
      <c r="M105" s="218"/>
      <c r="N105" s="218"/>
      <c r="O105" s="218"/>
      <c r="P105" s="218" t="n">
        <v>19.2</v>
      </c>
      <c r="Q105" s="218" t="n">
        <f aca="false">K105*P105</f>
        <v>480</v>
      </c>
      <c r="R105" s="218" t="s">
        <v>903</v>
      </c>
      <c r="S105" s="220" t="n">
        <v>46216</v>
      </c>
      <c r="T105" s="220" t="n">
        <v>46216</v>
      </c>
      <c r="U105" s="218"/>
      <c r="V105" s="218" t="s">
        <v>455</v>
      </c>
      <c r="W105" s="218"/>
      <c r="X105" s="218"/>
    </row>
    <row r="106" customFormat="false" ht="15" hidden="false" customHeight="false" outlineLevel="0" collapsed="false">
      <c r="B106" s="218" t="n">
        <v>98</v>
      </c>
      <c r="C106" s="218" t="s">
        <v>170</v>
      </c>
      <c r="D106" s="218"/>
      <c r="E106" s="218" t="s">
        <v>904</v>
      </c>
      <c r="F106" s="218" t="s">
        <v>458</v>
      </c>
      <c r="G106" s="218" t="s">
        <v>164</v>
      </c>
      <c r="H106" s="220" t="n">
        <v>46216</v>
      </c>
      <c r="I106" s="218" t="s">
        <v>905</v>
      </c>
      <c r="J106" s="218" t="s">
        <v>274</v>
      </c>
      <c r="K106" s="218" t="n">
        <v>25</v>
      </c>
      <c r="L106" s="218"/>
      <c r="M106" s="218"/>
      <c r="N106" s="218"/>
      <c r="O106" s="218"/>
      <c r="P106" s="218" t="n">
        <v>16</v>
      </c>
      <c r="Q106" s="218" t="n">
        <f aca="false">K106*P106</f>
        <v>400</v>
      </c>
      <c r="R106" s="218" t="n">
        <v>90261828</v>
      </c>
      <c r="S106" s="220" t="n">
        <v>46218</v>
      </c>
      <c r="T106" s="220"/>
      <c r="U106" s="218"/>
      <c r="V106" s="218" t="s">
        <v>455</v>
      </c>
      <c r="W106" s="218"/>
      <c r="X106" s="218"/>
    </row>
    <row r="107" customFormat="false" ht="15" hidden="false" customHeight="false" outlineLevel="0" collapsed="false">
      <c r="B107" s="218" t="n">
        <v>99</v>
      </c>
      <c r="C107" s="218" t="s">
        <v>170</v>
      </c>
      <c r="D107" s="218"/>
      <c r="E107" s="218" t="s">
        <v>904</v>
      </c>
      <c r="F107" s="218" t="s">
        <v>458</v>
      </c>
      <c r="G107" s="218" t="s">
        <v>164</v>
      </c>
      <c r="H107" s="220" t="n">
        <v>46216</v>
      </c>
      <c r="I107" s="218" t="s">
        <v>905</v>
      </c>
      <c r="J107" s="218" t="s">
        <v>274</v>
      </c>
      <c r="K107" s="218" t="n">
        <v>25</v>
      </c>
      <c r="L107" s="218"/>
      <c r="M107" s="218"/>
      <c r="N107" s="218"/>
      <c r="O107" s="218"/>
      <c r="P107" s="218" t="n">
        <v>16</v>
      </c>
      <c r="Q107" s="218" t="n">
        <f aca="false">K107*P107</f>
        <v>400</v>
      </c>
      <c r="R107" s="218" t="n">
        <v>90261853</v>
      </c>
      <c r="S107" s="220" t="n">
        <v>46210</v>
      </c>
      <c r="T107" s="220"/>
      <c r="U107" s="218"/>
      <c r="V107" s="218" t="s">
        <v>455</v>
      </c>
      <c r="W107" s="218"/>
      <c r="X107" s="218"/>
    </row>
    <row r="108" customFormat="false" ht="15" hidden="false" customHeight="false" outlineLevel="0" collapsed="false">
      <c r="B108" s="218" t="n">
        <v>100</v>
      </c>
      <c r="C108" s="218" t="s">
        <v>162</v>
      </c>
      <c r="D108" s="218"/>
      <c r="E108" s="218" t="s">
        <v>906</v>
      </c>
      <c r="F108" s="218" t="s">
        <v>458</v>
      </c>
      <c r="G108" s="218" t="s">
        <v>907</v>
      </c>
      <c r="H108" s="220" t="n">
        <v>46217</v>
      </c>
      <c r="I108" s="218" t="s">
        <v>781</v>
      </c>
      <c r="J108" s="218" t="s">
        <v>287</v>
      </c>
      <c r="K108" s="218" t="n">
        <v>25</v>
      </c>
      <c r="L108" s="218"/>
      <c r="M108" s="218"/>
      <c r="N108" s="218"/>
      <c r="O108" s="218"/>
      <c r="P108" s="218" t="n">
        <v>14.99</v>
      </c>
      <c r="Q108" s="218" t="n">
        <f aca="false">K108*P108</f>
        <v>374.75</v>
      </c>
      <c r="R108" s="218" t="s">
        <v>908</v>
      </c>
      <c r="S108" s="220" t="n">
        <v>46225</v>
      </c>
      <c r="T108" s="220" t="n">
        <v>46225</v>
      </c>
      <c r="U108" s="218"/>
      <c r="V108" s="218" t="s">
        <v>455</v>
      </c>
      <c r="W108" s="218"/>
      <c r="X108" s="218"/>
    </row>
    <row r="109" customFormat="false" ht="15" hidden="false" customHeight="false" outlineLevel="0" collapsed="false">
      <c r="B109" s="218" t="n">
        <v>101</v>
      </c>
      <c r="C109" s="218" t="s">
        <v>186</v>
      </c>
      <c r="D109" s="218"/>
      <c r="E109" s="218" t="s">
        <v>909</v>
      </c>
      <c r="F109" s="218" t="s">
        <v>458</v>
      </c>
      <c r="G109" s="218" t="s">
        <v>164</v>
      </c>
      <c r="H109" s="220" t="n">
        <v>46217</v>
      </c>
      <c r="I109" s="218" t="s">
        <v>842</v>
      </c>
      <c r="J109" s="218" t="s">
        <v>718</v>
      </c>
      <c r="K109" s="218" t="n">
        <v>25</v>
      </c>
      <c r="L109" s="218"/>
      <c r="M109" s="218"/>
      <c r="N109" s="218"/>
      <c r="O109" s="218"/>
      <c r="P109" s="218" t="n">
        <v>36.63</v>
      </c>
      <c r="Q109" s="218" t="n">
        <f aca="false">K109*P109</f>
        <v>915.75</v>
      </c>
      <c r="R109" s="218" t="s">
        <v>910</v>
      </c>
      <c r="S109" s="220" t="n">
        <v>46218</v>
      </c>
      <c r="T109" s="220" t="n">
        <v>46218</v>
      </c>
      <c r="U109" s="218"/>
      <c r="V109" s="218" t="s">
        <v>455</v>
      </c>
      <c r="W109" s="218"/>
      <c r="X109" s="218"/>
    </row>
    <row r="110" customFormat="false" ht="15" hidden="false" customHeight="false" outlineLevel="0" collapsed="false">
      <c r="B110" s="218" t="n">
        <v>102</v>
      </c>
      <c r="C110" s="218" t="s">
        <v>186</v>
      </c>
      <c r="D110" s="218"/>
      <c r="E110" s="218" t="s">
        <v>909</v>
      </c>
      <c r="F110" s="218" t="s">
        <v>458</v>
      </c>
      <c r="G110" s="218" t="s">
        <v>164</v>
      </c>
      <c r="H110" s="220" t="n">
        <v>46217</v>
      </c>
      <c r="I110" s="218" t="s">
        <v>843</v>
      </c>
      <c r="J110" s="218" t="s">
        <v>844</v>
      </c>
      <c r="K110" s="218" t="n">
        <v>25</v>
      </c>
      <c r="L110" s="218"/>
      <c r="M110" s="218"/>
      <c r="N110" s="218"/>
      <c r="O110" s="218"/>
      <c r="P110" s="218" t="n">
        <v>31.07</v>
      </c>
      <c r="Q110" s="218" t="n">
        <f aca="false">K110*P110</f>
        <v>776.75</v>
      </c>
      <c r="R110" s="218" t="s">
        <v>911</v>
      </c>
      <c r="S110" s="220" t="n">
        <v>46219</v>
      </c>
      <c r="T110" s="220" t="n">
        <v>46219</v>
      </c>
      <c r="U110" s="218"/>
      <c r="V110" s="218" t="s">
        <v>455</v>
      </c>
      <c r="W110" s="218"/>
      <c r="X110" s="218"/>
    </row>
    <row r="111" customFormat="false" ht="15" hidden="false" customHeight="false" outlineLevel="0" collapsed="false">
      <c r="B111" s="218" t="n">
        <v>103</v>
      </c>
      <c r="C111" s="218" t="s">
        <v>186</v>
      </c>
      <c r="D111" s="218"/>
      <c r="E111" s="218" t="s">
        <v>909</v>
      </c>
      <c r="F111" s="218" t="s">
        <v>458</v>
      </c>
      <c r="G111" s="218" t="s">
        <v>891</v>
      </c>
      <c r="H111" s="220" t="n">
        <v>46217</v>
      </c>
      <c r="I111" s="218" t="s">
        <v>788</v>
      </c>
      <c r="J111" s="218" t="s">
        <v>268</v>
      </c>
      <c r="K111" s="218" t="n">
        <v>100</v>
      </c>
      <c r="L111" s="218"/>
      <c r="M111" s="218"/>
      <c r="N111" s="218"/>
      <c r="O111" s="218"/>
      <c r="P111" s="218" t="n">
        <v>22.5</v>
      </c>
      <c r="Q111" s="218" t="n">
        <f aca="false">K111*P111</f>
        <v>2250</v>
      </c>
      <c r="R111" s="218" t="s">
        <v>912</v>
      </c>
      <c r="S111" s="220" t="n">
        <v>46218</v>
      </c>
      <c r="T111" s="220" t="n">
        <v>46218</v>
      </c>
      <c r="U111" s="218"/>
      <c r="V111" s="218" t="s">
        <v>455</v>
      </c>
      <c r="W111" s="218"/>
      <c r="X111" s="218"/>
    </row>
    <row r="112" customFormat="false" ht="15.75" hidden="false" customHeight="true" outlineLevel="0" collapsed="false">
      <c r="B112" s="218" t="n">
        <v>104</v>
      </c>
      <c r="C112" s="218" t="s">
        <v>178</v>
      </c>
      <c r="D112" s="218"/>
      <c r="E112" s="218" t="s">
        <v>913</v>
      </c>
      <c r="F112" s="218" t="s">
        <v>458</v>
      </c>
      <c r="G112" s="218" t="s">
        <v>164</v>
      </c>
      <c r="H112" s="220" t="n">
        <v>46227</v>
      </c>
      <c r="I112" s="218" t="s">
        <v>823</v>
      </c>
      <c r="J112" s="218" t="s">
        <v>778</v>
      </c>
      <c r="K112" s="218" t="n">
        <v>25</v>
      </c>
      <c r="L112" s="218"/>
      <c r="M112" s="218"/>
      <c r="N112" s="218"/>
      <c r="O112" s="218"/>
      <c r="P112" s="218" t="n">
        <v>30.1</v>
      </c>
      <c r="Q112" s="218" t="n">
        <f aca="false">K112*P112</f>
        <v>752.5</v>
      </c>
      <c r="R112" s="218"/>
      <c r="S112" s="220" t="n">
        <v>46233</v>
      </c>
      <c r="T112" s="220"/>
      <c r="U112" s="218"/>
      <c r="V112" s="218" t="s">
        <v>455</v>
      </c>
      <c r="W112" s="218"/>
      <c r="X112" s="218"/>
    </row>
    <row r="113" customFormat="false" ht="15" hidden="false" customHeight="false" outlineLevel="0" collapsed="false">
      <c r="B113" s="218" t="n">
        <v>105</v>
      </c>
      <c r="C113" s="218" t="s">
        <v>875</v>
      </c>
      <c r="D113" s="218"/>
      <c r="E113" s="218" t="s">
        <v>914</v>
      </c>
      <c r="F113" s="218" t="s">
        <v>458</v>
      </c>
      <c r="G113" s="218" t="s">
        <v>164</v>
      </c>
      <c r="H113" s="220" t="n">
        <v>46232</v>
      </c>
      <c r="I113" s="218" t="s">
        <v>893</v>
      </c>
      <c r="J113" s="218" t="s">
        <v>287</v>
      </c>
      <c r="K113" s="218" t="n">
        <v>25</v>
      </c>
      <c r="L113" s="218"/>
      <c r="M113" s="218"/>
      <c r="N113" s="218"/>
      <c r="O113" s="218"/>
      <c r="P113" s="218" t="n">
        <v>13.5</v>
      </c>
      <c r="Q113" s="218" t="n">
        <f aca="false">K113*P113</f>
        <v>337.5</v>
      </c>
      <c r="R113" s="218" t="n">
        <v>0</v>
      </c>
      <c r="S113" s="220"/>
      <c r="T113" s="220"/>
      <c r="U113" s="218"/>
      <c r="V113" s="218" t="s">
        <v>455</v>
      </c>
      <c r="W113" s="218"/>
      <c r="X113" s="218"/>
    </row>
    <row r="114" customFormat="false" ht="15" hidden="false" customHeight="false" outlineLevel="0" collapsed="false">
      <c r="B114" s="218" t="n">
        <v>106</v>
      </c>
      <c r="C114" s="218" t="s">
        <v>178</v>
      </c>
      <c r="D114" s="218"/>
      <c r="E114" s="218" t="s">
        <v>915</v>
      </c>
      <c r="F114" s="218" t="s">
        <v>458</v>
      </c>
      <c r="G114" s="218" t="s">
        <v>164</v>
      </c>
      <c r="H114" s="220" t="n">
        <v>46232</v>
      </c>
      <c r="I114" s="218" t="s">
        <v>916</v>
      </c>
      <c r="J114" s="218" t="s">
        <v>756</v>
      </c>
      <c r="K114" s="218" t="n">
        <v>25</v>
      </c>
      <c r="L114" s="218"/>
      <c r="M114" s="218"/>
      <c r="N114" s="218"/>
      <c r="O114" s="218"/>
      <c r="P114" s="218" t="n">
        <v>32.8</v>
      </c>
      <c r="Q114" s="218" t="n">
        <f aca="false">K114*P114</f>
        <v>820</v>
      </c>
      <c r="R114" s="218"/>
      <c r="S114" s="220" t="n">
        <v>46244</v>
      </c>
      <c r="T114" s="220" t="n">
        <v>46244</v>
      </c>
      <c r="U114" s="218"/>
      <c r="V114" s="218" t="s">
        <v>455</v>
      </c>
      <c r="W114" s="218"/>
      <c r="X114" s="218"/>
    </row>
    <row r="115" customFormat="false" ht="15" hidden="false" customHeight="false" outlineLevel="0" collapsed="false">
      <c r="B115" s="218" t="n">
        <v>107</v>
      </c>
      <c r="C115" s="218" t="s">
        <v>170</v>
      </c>
      <c r="D115" s="218"/>
      <c r="E115" s="218" t="s">
        <v>917</v>
      </c>
      <c r="F115" s="218" t="s">
        <v>458</v>
      </c>
      <c r="G115" s="218" t="s">
        <v>164</v>
      </c>
      <c r="H115" s="220" t="n">
        <v>46244</v>
      </c>
      <c r="I115" s="218" t="s">
        <v>918</v>
      </c>
      <c r="J115" s="218" t="s">
        <v>287</v>
      </c>
      <c r="K115" s="218" t="n">
        <v>25</v>
      </c>
      <c r="L115" s="218"/>
      <c r="M115" s="218"/>
      <c r="N115" s="218"/>
      <c r="O115" s="218"/>
      <c r="P115" s="218" t="n">
        <v>45</v>
      </c>
      <c r="Q115" s="218" t="n">
        <f aca="false">K115*P115</f>
        <v>1125</v>
      </c>
      <c r="R115" s="218" t="n">
        <v>90262069</v>
      </c>
      <c r="S115" s="220" t="n">
        <v>46252</v>
      </c>
      <c r="T115" s="220" t="n">
        <v>46252</v>
      </c>
      <c r="U115" s="218"/>
      <c r="V115" s="218" t="s">
        <v>455</v>
      </c>
      <c r="W115" s="218"/>
      <c r="X115" s="218"/>
    </row>
    <row r="116" customFormat="false" ht="15" hidden="false" customHeight="false" outlineLevel="0" collapsed="false">
      <c r="B116" s="218" t="n">
        <v>108</v>
      </c>
      <c r="C116" s="218" t="s">
        <v>186</v>
      </c>
      <c r="D116" s="218"/>
      <c r="E116" s="218" t="s">
        <v>919</v>
      </c>
      <c r="F116" s="218" t="s">
        <v>458</v>
      </c>
      <c r="G116" s="218" t="s">
        <v>164</v>
      </c>
      <c r="H116" s="220" t="n">
        <v>46261</v>
      </c>
      <c r="I116" s="218" t="s">
        <v>842</v>
      </c>
      <c r="J116" s="218" t="s">
        <v>718</v>
      </c>
      <c r="K116" s="218" t="n">
        <v>25</v>
      </c>
      <c r="L116" s="218"/>
      <c r="M116" s="218"/>
      <c r="N116" s="218"/>
      <c r="O116" s="218"/>
      <c r="P116" s="218" t="n">
        <v>36.63</v>
      </c>
      <c r="Q116" s="218" t="n">
        <f aca="false">K116*P116</f>
        <v>915.75</v>
      </c>
      <c r="R116" s="218"/>
      <c r="S116" s="220" t="n">
        <v>46262</v>
      </c>
      <c r="T116" s="220" t="n">
        <v>46242</v>
      </c>
      <c r="U116" s="218"/>
      <c r="V116" s="218" t="s">
        <v>455</v>
      </c>
      <c r="W116" s="218"/>
      <c r="X116" s="218"/>
    </row>
    <row r="117" customFormat="false" ht="15" hidden="false" customHeight="false" outlineLevel="0" collapsed="false">
      <c r="B117" s="218" t="n">
        <v>109</v>
      </c>
      <c r="C117" s="218" t="s">
        <v>186</v>
      </c>
      <c r="D117" s="218"/>
      <c r="E117" s="218" t="s">
        <v>919</v>
      </c>
      <c r="F117" s="218" t="s">
        <v>458</v>
      </c>
      <c r="G117" s="218" t="s">
        <v>164</v>
      </c>
      <c r="H117" s="220" t="n">
        <v>46261</v>
      </c>
      <c r="I117" s="218" t="s">
        <v>770</v>
      </c>
      <c r="J117" s="218" t="s">
        <v>739</v>
      </c>
      <c r="K117" s="218" t="n">
        <v>25</v>
      </c>
      <c r="L117" s="218"/>
      <c r="M117" s="218"/>
      <c r="N117" s="218"/>
      <c r="O117" s="218"/>
      <c r="P117" s="218"/>
      <c r="Q117" s="218" t="n">
        <f aca="false">K117*P117</f>
        <v>0</v>
      </c>
      <c r="R117" s="218"/>
      <c r="S117" s="220" t="n">
        <v>46262</v>
      </c>
      <c r="T117" s="220" t="n">
        <v>46262</v>
      </c>
      <c r="U117" s="218"/>
      <c r="V117" s="218" t="s">
        <v>455</v>
      </c>
      <c r="W117" s="218"/>
      <c r="X117" s="218"/>
    </row>
    <row r="118" customFormat="false" ht="15" hidden="false" customHeight="false" outlineLevel="0" collapsed="false">
      <c r="B118" s="222" t="n">
        <v>110</v>
      </c>
      <c r="C118" s="222" t="s">
        <v>162</v>
      </c>
      <c r="D118" s="222"/>
      <c r="E118" s="218" t="s">
        <v>920</v>
      </c>
      <c r="F118" s="218" t="s">
        <v>458</v>
      </c>
      <c r="G118" s="218" t="s">
        <v>907</v>
      </c>
      <c r="H118" s="220" t="n">
        <v>46260</v>
      </c>
      <c r="I118" s="218" t="s">
        <v>781</v>
      </c>
      <c r="J118" s="218" t="s">
        <v>287</v>
      </c>
      <c r="K118" s="218" t="n">
        <v>25</v>
      </c>
      <c r="L118" s="218"/>
      <c r="M118" s="218"/>
      <c r="N118" s="218"/>
      <c r="O118" s="218"/>
      <c r="P118" s="218" t="n">
        <v>14.99</v>
      </c>
      <c r="Q118" s="218" t="n">
        <f aca="false">K118*P118</f>
        <v>374.75</v>
      </c>
      <c r="R118" s="218"/>
      <c r="S118" s="220" t="n">
        <v>46260</v>
      </c>
      <c r="T118" s="220" t="n">
        <v>46266</v>
      </c>
      <c r="U118" s="218"/>
      <c r="V118" s="218"/>
      <c r="W118" s="218"/>
      <c r="X118" s="218"/>
    </row>
    <row r="119" customFormat="false" ht="15" hidden="false" customHeight="false" outlineLevel="0" collapsed="false">
      <c r="H119" s="206"/>
      <c r="S119" s="206"/>
      <c r="T119" s="200"/>
    </row>
    <row r="120" customFormat="false" ht="15" hidden="false" customHeight="false" outlineLevel="0" collapsed="false">
      <c r="H120" s="206"/>
      <c r="S120" s="206"/>
      <c r="T120" s="200"/>
    </row>
    <row r="121" customFormat="false" ht="15" hidden="false" customHeight="false" outlineLevel="0" collapsed="false">
      <c r="H121" s="206"/>
      <c r="S121" s="206"/>
      <c r="T121" s="200"/>
    </row>
    <row r="122" customFormat="false" ht="15" hidden="false" customHeight="false" outlineLevel="0" collapsed="false">
      <c r="H122" s="206"/>
      <c r="S122" s="206"/>
      <c r="T122" s="200"/>
    </row>
    <row r="123" customFormat="false" ht="15" hidden="false" customHeight="false" outlineLevel="0" collapsed="false">
      <c r="H123" s="206"/>
      <c r="S123" s="206"/>
      <c r="T123" s="200"/>
    </row>
    <row r="124" customFormat="false" ht="15" hidden="false" customHeight="false" outlineLevel="0" collapsed="false">
      <c r="H124" s="206"/>
      <c r="S124" s="206"/>
      <c r="T124" s="200"/>
    </row>
    <row r="125" customFormat="false" ht="15" hidden="false" customHeight="false" outlineLevel="0" collapsed="false">
      <c r="H125" s="206"/>
      <c r="T125" s="200"/>
    </row>
    <row r="126" customFormat="false" ht="15" hidden="false" customHeight="false" outlineLevel="0" collapsed="false">
      <c r="H126" s="206"/>
      <c r="T126" s="200"/>
    </row>
    <row r="127" customFormat="false" ht="15" hidden="false" customHeight="false" outlineLevel="0" collapsed="false">
      <c r="H127" s="206"/>
      <c r="T127" s="200"/>
    </row>
    <row r="128" customFormat="false" ht="15" hidden="false" customHeight="false" outlineLevel="0" collapsed="false">
      <c r="H128" s="206"/>
      <c r="T128" s="200"/>
    </row>
    <row r="129" customFormat="false" ht="15" hidden="false" customHeight="false" outlineLevel="0" collapsed="false">
      <c r="H129" s="206"/>
      <c r="T129" s="200"/>
    </row>
    <row r="130" customFormat="false" ht="15" hidden="false" customHeight="false" outlineLevel="0" collapsed="false">
      <c r="H130" s="206"/>
      <c r="T130" s="200"/>
    </row>
    <row r="131" customFormat="false" ht="15" hidden="false" customHeight="false" outlineLevel="0" collapsed="false">
      <c r="H131" s="206"/>
      <c r="T131" s="200"/>
    </row>
    <row r="132" customFormat="false" ht="15" hidden="false" customHeight="false" outlineLevel="0" collapsed="false">
      <c r="H132" s="206"/>
      <c r="T132" s="200"/>
    </row>
    <row r="133" customFormat="false" ht="15" hidden="false" customHeight="false" outlineLevel="0" collapsed="false">
      <c r="H133" s="206"/>
      <c r="T133" s="200"/>
    </row>
    <row r="134" customFormat="false" ht="15" hidden="false" customHeight="false" outlineLevel="0" collapsed="false">
      <c r="H134" s="206"/>
      <c r="T134" s="200"/>
    </row>
    <row r="135" customFormat="false" ht="15" hidden="false" customHeight="false" outlineLevel="0" collapsed="false">
      <c r="H135" s="206"/>
      <c r="T135" s="200"/>
    </row>
    <row r="136" customFormat="false" ht="15" hidden="false" customHeight="false" outlineLevel="0" collapsed="false">
      <c r="H136" s="206"/>
      <c r="T136" s="200"/>
    </row>
    <row r="137" customFormat="false" ht="15" hidden="false" customHeight="false" outlineLevel="0" collapsed="false">
      <c r="H137" s="206"/>
      <c r="T137" s="200"/>
    </row>
    <row r="138" customFormat="false" ht="15" hidden="false" customHeight="false" outlineLevel="0" collapsed="false">
      <c r="H138" s="206"/>
      <c r="T138" s="200"/>
    </row>
    <row r="139" customFormat="false" ht="15" hidden="false" customHeight="false" outlineLevel="0" collapsed="false">
      <c r="H139" s="206"/>
      <c r="T139" s="200"/>
    </row>
    <row r="140" customFormat="false" ht="15" hidden="false" customHeight="false" outlineLevel="0" collapsed="false">
      <c r="H140" s="206"/>
      <c r="T140" s="200"/>
    </row>
    <row r="141" customFormat="false" ht="15" hidden="false" customHeight="false" outlineLevel="0" collapsed="false">
      <c r="H141" s="206"/>
      <c r="T141" s="200"/>
    </row>
    <row r="142" customFormat="false" ht="15" hidden="false" customHeight="false" outlineLevel="0" collapsed="false">
      <c r="H142" s="206"/>
      <c r="T142" s="200"/>
    </row>
    <row r="143" customFormat="false" ht="15" hidden="false" customHeight="false" outlineLevel="0" collapsed="false">
      <c r="H143" s="206"/>
      <c r="T143" s="200"/>
    </row>
    <row r="144" customFormat="false" ht="15" hidden="false" customHeight="false" outlineLevel="0" collapsed="false">
      <c r="H144" s="206"/>
    </row>
    <row r="145" customFormat="false" ht="15" hidden="false" customHeight="false" outlineLevel="0" collapsed="false">
      <c r="H145" s="206"/>
    </row>
    <row r="146" customFormat="false" ht="15" hidden="false" customHeight="false" outlineLevel="0" collapsed="false">
      <c r="H146" s="206"/>
    </row>
    <row r="147" customFormat="false" ht="15" hidden="false" customHeight="false" outlineLevel="0" collapsed="false">
      <c r="H147" s="206"/>
    </row>
    <row r="148" customFormat="false" ht="15" hidden="false" customHeight="false" outlineLevel="0" collapsed="false">
      <c r="H148" s="206"/>
    </row>
    <row r="149" customFormat="false" ht="15" hidden="false" customHeight="false" outlineLevel="0" collapsed="false">
      <c r="H149" s="206"/>
    </row>
    <row r="150" customFormat="false" ht="15" hidden="false" customHeight="false" outlineLevel="0" collapsed="false">
      <c r="H150" s="206"/>
    </row>
    <row r="151" customFormat="false" ht="15" hidden="false" customHeight="false" outlineLevel="0" collapsed="false">
      <c r="H151" s="206"/>
    </row>
    <row r="152" customFormat="false" ht="15" hidden="false" customHeight="false" outlineLevel="0" collapsed="false">
      <c r="H152" s="206"/>
    </row>
    <row r="153" customFormat="false" ht="15" hidden="false" customHeight="false" outlineLevel="0" collapsed="false">
      <c r="H153" s="206"/>
    </row>
    <row r="154" customFormat="false" ht="15" hidden="false" customHeight="false" outlineLevel="0" collapsed="false">
      <c r="H154" s="206"/>
    </row>
    <row r="155" customFormat="false" ht="15" hidden="false" customHeight="false" outlineLevel="0" collapsed="false">
      <c r="H155" s="206"/>
    </row>
    <row r="156" customFormat="false" ht="15" hidden="false" customHeight="false" outlineLevel="0" collapsed="false">
      <c r="H156" s="206"/>
    </row>
    <row r="157" customFormat="false" ht="15" hidden="false" customHeight="false" outlineLevel="0" collapsed="false">
      <c r="H157" s="206"/>
    </row>
    <row r="158" customFormat="false" ht="15" hidden="false" customHeight="false" outlineLevel="0" collapsed="false">
      <c r="H158" s="206"/>
    </row>
    <row r="159" customFormat="false" ht="15" hidden="false" customHeight="false" outlineLevel="0" collapsed="false">
      <c r="H159" s="206"/>
    </row>
    <row r="160" customFormat="false" ht="15" hidden="false" customHeight="false" outlineLevel="0" collapsed="false">
      <c r="H160" s="206"/>
    </row>
    <row r="161" customFormat="false" ht="15" hidden="false" customHeight="false" outlineLevel="0" collapsed="false">
      <c r="H161" s="206"/>
    </row>
    <row r="162" customFormat="false" ht="15" hidden="false" customHeight="false" outlineLevel="0" collapsed="false">
      <c r="H162" s="206"/>
    </row>
    <row r="163" customFormat="false" ht="15" hidden="false" customHeight="false" outlineLevel="0" collapsed="false">
      <c r="H163" s="206"/>
    </row>
    <row r="164" customFormat="false" ht="15" hidden="false" customHeight="false" outlineLevel="0" collapsed="false">
      <c r="H164" s="206"/>
    </row>
    <row r="165" customFormat="false" ht="15" hidden="false" customHeight="false" outlineLevel="0" collapsed="false">
      <c r="H165" s="206"/>
    </row>
    <row r="166" customFormat="false" ht="15" hidden="false" customHeight="false" outlineLevel="0" collapsed="false">
      <c r="H166" s="206"/>
    </row>
    <row r="167" customFormat="false" ht="15" hidden="false" customHeight="false" outlineLevel="0" collapsed="false">
      <c r="H167" s="206"/>
    </row>
    <row r="168" customFormat="false" ht="15" hidden="false" customHeight="false" outlineLevel="0" collapsed="false">
      <c r="H168" s="206"/>
    </row>
    <row r="169" customFormat="false" ht="15" hidden="false" customHeight="false" outlineLevel="0" collapsed="false">
      <c r="H169" s="206"/>
    </row>
    <row r="170" customFormat="false" ht="15" hidden="false" customHeight="false" outlineLevel="0" collapsed="false">
      <c r="H170" s="206"/>
    </row>
    <row r="171" customFormat="false" ht="15" hidden="false" customHeight="false" outlineLevel="0" collapsed="false">
      <c r="H171" s="206"/>
    </row>
    <row r="172" customFormat="false" ht="15" hidden="false" customHeight="false" outlineLevel="0" collapsed="false">
      <c r="H172" s="206"/>
    </row>
    <row r="173" customFormat="false" ht="15" hidden="false" customHeight="false" outlineLevel="0" collapsed="false">
      <c r="H173" s="206"/>
    </row>
    <row r="174" customFormat="false" ht="15" hidden="false" customHeight="false" outlineLevel="0" collapsed="false">
      <c r="H174" s="206"/>
    </row>
    <row r="175" customFormat="false" ht="15" hidden="false" customHeight="false" outlineLevel="0" collapsed="false">
      <c r="H175" s="206"/>
    </row>
    <row r="176" customFormat="false" ht="15" hidden="false" customHeight="false" outlineLevel="0" collapsed="false">
      <c r="H176" s="206"/>
    </row>
    <row r="177" customFormat="false" ht="15" hidden="false" customHeight="false" outlineLevel="0" collapsed="false">
      <c r="H177" s="206"/>
    </row>
    <row r="178" customFormat="false" ht="15" hidden="false" customHeight="false" outlineLevel="0" collapsed="false">
      <c r="H178" s="206"/>
    </row>
    <row r="179" customFormat="false" ht="15" hidden="false" customHeight="false" outlineLevel="0" collapsed="false">
      <c r="H179" s="206"/>
    </row>
    <row r="180" customFormat="false" ht="15" hidden="false" customHeight="false" outlineLevel="0" collapsed="false">
      <c r="H180" s="206"/>
    </row>
    <row r="181" customFormat="false" ht="15" hidden="false" customHeight="false" outlineLevel="0" collapsed="false">
      <c r="H181" s="206"/>
    </row>
    <row r="182" customFormat="false" ht="15" hidden="false" customHeight="false" outlineLevel="0" collapsed="false">
      <c r="H182" s="206"/>
    </row>
    <row r="183" customFormat="false" ht="15" hidden="false" customHeight="false" outlineLevel="0" collapsed="false">
      <c r="H183" s="206"/>
    </row>
    <row r="184" customFormat="false" ht="15" hidden="false" customHeight="false" outlineLevel="0" collapsed="false">
      <c r="H184" s="206"/>
    </row>
    <row r="185" customFormat="false" ht="15" hidden="false" customHeight="false" outlineLevel="0" collapsed="false">
      <c r="H185" s="206"/>
    </row>
    <row r="186" customFormat="false" ht="15" hidden="false" customHeight="false" outlineLevel="0" collapsed="false">
      <c r="H186" s="206"/>
    </row>
    <row r="187" customFormat="false" ht="15" hidden="false" customHeight="false" outlineLevel="0" collapsed="false">
      <c r="H187" s="206"/>
    </row>
    <row r="188" customFormat="false" ht="15" hidden="false" customHeight="false" outlineLevel="0" collapsed="false">
      <c r="H188" s="206"/>
    </row>
    <row r="189" customFormat="false" ht="15" hidden="false" customHeight="false" outlineLevel="0" collapsed="false">
      <c r="H189" s="206"/>
    </row>
    <row r="190" customFormat="false" ht="15" hidden="false" customHeight="false" outlineLevel="0" collapsed="false">
      <c r="H190" s="206"/>
    </row>
    <row r="191" customFormat="false" ht="15" hidden="false" customHeight="false" outlineLevel="0" collapsed="false">
      <c r="H191" s="206"/>
    </row>
    <row r="192" customFormat="false" ht="15" hidden="false" customHeight="false" outlineLevel="0" collapsed="false">
      <c r="H192" s="206"/>
    </row>
    <row r="193" customFormat="false" ht="15" hidden="false" customHeight="false" outlineLevel="0" collapsed="false">
      <c r="H193" s="206"/>
    </row>
    <row r="194" customFormat="false" ht="15" hidden="false" customHeight="false" outlineLevel="0" collapsed="false">
      <c r="H194" s="206"/>
    </row>
    <row r="195" customFormat="false" ht="15" hidden="false" customHeight="false" outlineLevel="0" collapsed="false">
      <c r="H195" s="206"/>
    </row>
    <row r="196" customFormat="false" ht="15" hidden="false" customHeight="false" outlineLevel="0" collapsed="false">
      <c r="H196" s="206"/>
    </row>
    <row r="197" customFormat="false" ht="15" hidden="false" customHeight="false" outlineLevel="0" collapsed="false">
      <c r="H197" s="206"/>
    </row>
    <row r="198" customFormat="false" ht="15" hidden="false" customHeight="false" outlineLevel="0" collapsed="false">
      <c r="H198" s="206"/>
    </row>
    <row r="199" customFormat="false" ht="15" hidden="false" customHeight="false" outlineLevel="0" collapsed="false">
      <c r="H199" s="206"/>
    </row>
    <row r="200" customFormat="false" ht="15" hidden="false" customHeight="false" outlineLevel="0" collapsed="false">
      <c r="H200" s="206"/>
    </row>
    <row r="201" customFormat="false" ht="15" hidden="false" customHeight="false" outlineLevel="0" collapsed="false">
      <c r="H201" s="206"/>
    </row>
    <row r="202" customFormat="false" ht="15" hidden="false" customHeight="false" outlineLevel="0" collapsed="false">
      <c r="H202" s="206"/>
    </row>
    <row r="203" customFormat="false" ht="15" hidden="false" customHeight="false" outlineLevel="0" collapsed="false">
      <c r="H203" s="206"/>
    </row>
    <row r="204" customFormat="false" ht="15" hidden="false" customHeight="false" outlineLevel="0" collapsed="false">
      <c r="H204" s="206"/>
    </row>
    <row r="205" customFormat="false" ht="15" hidden="false" customHeight="false" outlineLevel="0" collapsed="false">
      <c r="H205" s="206"/>
    </row>
    <row r="206" customFormat="false" ht="15" hidden="false" customHeight="false" outlineLevel="0" collapsed="false">
      <c r="H206" s="206"/>
    </row>
    <row r="207" customFormat="false" ht="15" hidden="false" customHeight="false" outlineLevel="0" collapsed="false">
      <c r="H207" s="206"/>
    </row>
    <row r="208" customFormat="false" ht="15" hidden="false" customHeight="false" outlineLevel="0" collapsed="false">
      <c r="H208" s="206"/>
    </row>
    <row r="209" customFormat="false" ht="15" hidden="false" customHeight="false" outlineLevel="0" collapsed="false">
      <c r="H209" s="206"/>
    </row>
    <row r="210" customFormat="false" ht="15" hidden="false" customHeight="false" outlineLevel="0" collapsed="false">
      <c r="H210" s="206"/>
    </row>
    <row r="211" customFormat="false" ht="15" hidden="false" customHeight="false" outlineLevel="0" collapsed="false">
      <c r="H211" s="206"/>
    </row>
    <row r="212" customFormat="false" ht="15" hidden="false" customHeight="false" outlineLevel="0" collapsed="false">
      <c r="H212" s="206"/>
    </row>
    <row r="213" customFormat="false" ht="15" hidden="false" customHeight="false" outlineLevel="0" collapsed="false">
      <c r="H213" s="206"/>
    </row>
    <row r="214" customFormat="false" ht="15" hidden="false" customHeight="false" outlineLevel="0" collapsed="false">
      <c r="H214" s="206"/>
    </row>
    <row r="215" customFormat="false" ht="15" hidden="false" customHeight="false" outlineLevel="0" collapsed="false">
      <c r="H215" s="206"/>
    </row>
    <row r="216" customFormat="false" ht="15" hidden="false" customHeight="false" outlineLevel="0" collapsed="false">
      <c r="H216" s="206"/>
    </row>
    <row r="217" customFormat="false" ht="15" hidden="false" customHeight="false" outlineLevel="0" collapsed="false">
      <c r="H217" s="206"/>
    </row>
    <row r="218" customFormat="false" ht="15" hidden="false" customHeight="false" outlineLevel="0" collapsed="false">
      <c r="H218" s="206"/>
    </row>
    <row r="219" customFormat="false" ht="15" hidden="false" customHeight="false" outlineLevel="0" collapsed="false">
      <c r="H219" s="206"/>
    </row>
    <row r="220" customFormat="false" ht="15" hidden="false" customHeight="false" outlineLevel="0" collapsed="false">
      <c r="H220" s="206"/>
    </row>
    <row r="221" customFormat="false" ht="15" hidden="false" customHeight="false" outlineLevel="0" collapsed="false">
      <c r="H221" s="206"/>
    </row>
    <row r="222" customFormat="false" ht="15" hidden="false" customHeight="false" outlineLevel="0" collapsed="false">
      <c r="H222" s="206"/>
    </row>
    <row r="223" customFormat="false" ht="15" hidden="false" customHeight="false" outlineLevel="0" collapsed="false">
      <c r="H223" s="206"/>
    </row>
    <row r="224" customFormat="false" ht="15" hidden="false" customHeight="false" outlineLevel="0" collapsed="false">
      <c r="H224" s="206"/>
    </row>
    <row r="225" customFormat="false" ht="15" hidden="false" customHeight="false" outlineLevel="0" collapsed="false">
      <c r="H225" s="206"/>
    </row>
    <row r="226" customFormat="false" ht="15" hidden="false" customHeight="false" outlineLevel="0" collapsed="false">
      <c r="H226" s="206"/>
    </row>
    <row r="227" customFormat="false" ht="15" hidden="false" customHeight="false" outlineLevel="0" collapsed="false">
      <c r="H227" s="206"/>
    </row>
    <row r="228" customFormat="false" ht="15" hidden="false" customHeight="false" outlineLevel="0" collapsed="false">
      <c r="H228" s="206"/>
    </row>
    <row r="229" customFormat="false" ht="15" hidden="false" customHeight="false" outlineLevel="0" collapsed="false">
      <c r="H229" s="206"/>
    </row>
    <row r="230" customFormat="false" ht="15" hidden="false" customHeight="false" outlineLevel="0" collapsed="false">
      <c r="H230" s="206"/>
    </row>
    <row r="231" customFormat="false" ht="15" hidden="false" customHeight="false" outlineLevel="0" collapsed="false">
      <c r="H231" s="206"/>
    </row>
    <row r="232" customFormat="false" ht="15" hidden="false" customHeight="false" outlineLevel="0" collapsed="false">
      <c r="H232" s="206"/>
    </row>
    <row r="233" customFormat="false" ht="15" hidden="false" customHeight="false" outlineLevel="0" collapsed="false">
      <c r="H233" s="206"/>
    </row>
    <row r="234" customFormat="false" ht="15" hidden="false" customHeight="false" outlineLevel="0" collapsed="false">
      <c r="H234" s="206"/>
    </row>
    <row r="235" customFormat="false" ht="15" hidden="false" customHeight="false" outlineLevel="0" collapsed="false">
      <c r="H235" s="206"/>
    </row>
    <row r="236" customFormat="false" ht="15" hidden="false" customHeight="false" outlineLevel="0" collapsed="false">
      <c r="H236" s="206"/>
    </row>
    <row r="237" customFormat="false" ht="15" hidden="false" customHeight="false" outlineLevel="0" collapsed="false">
      <c r="H237" s="206"/>
    </row>
    <row r="238" customFormat="false" ht="15" hidden="false" customHeight="false" outlineLevel="0" collapsed="false">
      <c r="H238" s="206"/>
    </row>
    <row r="239" customFormat="false" ht="15" hidden="false" customHeight="false" outlineLevel="0" collapsed="false">
      <c r="H239" s="206"/>
    </row>
    <row r="240" customFormat="false" ht="15" hidden="false" customHeight="false" outlineLevel="0" collapsed="false">
      <c r="H240" s="206"/>
    </row>
    <row r="241" customFormat="false" ht="15" hidden="false" customHeight="false" outlineLevel="0" collapsed="false">
      <c r="H241" s="206"/>
    </row>
    <row r="242" customFormat="false" ht="15" hidden="false" customHeight="false" outlineLevel="0" collapsed="false">
      <c r="H242" s="206"/>
    </row>
    <row r="243" customFormat="false" ht="15" hidden="false" customHeight="false" outlineLevel="0" collapsed="false">
      <c r="H243" s="206"/>
    </row>
    <row r="244" customFormat="false" ht="15" hidden="false" customHeight="false" outlineLevel="0" collapsed="false">
      <c r="H244" s="206"/>
    </row>
    <row r="245" customFormat="false" ht="15" hidden="false" customHeight="false" outlineLevel="0" collapsed="false">
      <c r="H245" s="206"/>
    </row>
    <row r="246" customFormat="false" ht="15" hidden="false" customHeight="false" outlineLevel="0" collapsed="false">
      <c r="H246" s="206"/>
    </row>
    <row r="247" customFormat="false" ht="15" hidden="false" customHeight="false" outlineLevel="0" collapsed="false">
      <c r="H247" s="206"/>
    </row>
    <row r="248" customFormat="false" ht="15" hidden="false" customHeight="false" outlineLevel="0" collapsed="false">
      <c r="H248" s="206"/>
    </row>
    <row r="249" customFormat="false" ht="15" hidden="false" customHeight="false" outlineLevel="0" collapsed="false">
      <c r="H249" s="206"/>
    </row>
    <row r="250" customFormat="false" ht="15" hidden="false" customHeight="false" outlineLevel="0" collapsed="false">
      <c r="H250" s="206"/>
    </row>
    <row r="251" customFormat="false" ht="15" hidden="false" customHeight="false" outlineLevel="0" collapsed="false">
      <c r="H251" s="206"/>
    </row>
    <row r="252" customFormat="false" ht="15" hidden="false" customHeight="false" outlineLevel="0" collapsed="false">
      <c r="H252" s="206"/>
    </row>
    <row r="253" customFormat="false" ht="15" hidden="false" customHeight="false" outlineLevel="0" collapsed="false">
      <c r="H253" s="206"/>
    </row>
    <row r="254" customFormat="false" ht="15" hidden="false" customHeight="false" outlineLevel="0" collapsed="false">
      <c r="H254" s="206"/>
    </row>
    <row r="255" customFormat="false" ht="15" hidden="false" customHeight="false" outlineLevel="0" collapsed="false">
      <c r="H255" s="206"/>
    </row>
    <row r="256" customFormat="false" ht="15" hidden="false" customHeight="false" outlineLevel="0" collapsed="false">
      <c r="H256" s="206"/>
    </row>
    <row r="257" customFormat="false" ht="15" hidden="false" customHeight="false" outlineLevel="0" collapsed="false">
      <c r="H257" s="206"/>
    </row>
    <row r="258" customFormat="false" ht="15" hidden="false" customHeight="false" outlineLevel="0" collapsed="false">
      <c r="H258" s="206"/>
    </row>
    <row r="259" customFormat="false" ht="15" hidden="false" customHeight="false" outlineLevel="0" collapsed="false">
      <c r="H259" s="206"/>
    </row>
    <row r="260" customFormat="false" ht="15" hidden="false" customHeight="false" outlineLevel="0" collapsed="false">
      <c r="H260" s="206"/>
    </row>
    <row r="261" customFormat="false" ht="15" hidden="false" customHeight="false" outlineLevel="0" collapsed="false">
      <c r="H261" s="206"/>
    </row>
    <row r="262" customFormat="false" ht="15" hidden="false" customHeight="false" outlineLevel="0" collapsed="false">
      <c r="H262" s="206"/>
    </row>
    <row r="263" customFormat="false" ht="15" hidden="false" customHeight="false" outlineLevel="0" collapsed="false">
      <c r="H263" s="206"/>
    </row>
    <row r="264" customFormat="false" ht="15" hidden="false" customHeight="false" outlineLevel="0" collapsed="false">
      <c r="H264" s="206"/>
    </row>
    <row r="265" customFormat="false" ht="15" hidden="false" customHeight="false" outlineLevel="0" collapsed="false">
      <c r="H265" s="206"/>
    </row>
    <row r="266" customFormat="false" ht="15" hidden="false" customHeight="false" outlineLevel="0" collapsed="false">
      <c r="H266" s="206"/>
    </row>
    <row r="267" customFormat="false" ht="15" hidden="false" customHeight="false" outlineLevel="0" collapsed="false">
      <c r="H267" s="206"/>
    </row>
    <row r="268" customFormat="false" ht="15" hidden="false" customHeight="false" outlineLevel="0" collapsed="false">
      <c r="H268" s="206"/>
    </row>
    <row r="269" customFormat="false" ht="15" hidden="false" customHeight="false" outlineLevel="0" collapsed="false">
      <c r="H269" s="206"/>
    </row>
    <row r="270" customFormat="false" ht="15" hidden="false" customHeight="false" outlineLevel="0" collapsed="false">
      <c r="H270" s="206"/>
    </row>
    <row r="271" customFormat="false" ht="15" hidden="false" customHeight="false" outlineLevel="0" collapsed="false">
      <c r="H271" s="206"/>
    </row>
    <row r="272" customFormat="false" ht="15" hidden="false" customHeight="false" outlineLevel="0" collapsed="false">
      <c r="H272" s="206"/>
    </row>
    <row r="273" customFormat="false" ht="15" hidden="false" customHeight="false" outlineLevel="0" collapsed="false">
      <c r="H273" s="206"/>
    </row>
    <row r="274" customFormat="false" ht="15" hidden="false" customHeight="false" outlineLevel="0" collapsed="false">
      <c r="H274" s="206"/>
    </row>
    <row r="275" customFormat="false" ht="15" hidden="false" customHeight="false" outlineLevel="0" collapsed="false">
      <c r="H275" s="206"/>
    </row>
    <row r="276" customFormat="false" ht="15" hidden="false" customHeight="false" outlineLevel="0" collapsed="false">
      <c r="H276" s="206"/>
    </row>
    <row r="277" customFormat="false" ht="15" hidden="false" customHeight="false" outlineLevel="0" collapsed="false">
      <c r="H277" s="206"/>
    </row>
    <row r="278" customFormat="false" ht="15" hidden="false" customHeight="false" outlineLevel="0" collapsed="false">
      <c r="H278" s="206"/>
    </row>
    <row r="279" customFormat="false" ht="15" hidden="false" customHeight="false" outlineLevel="0" collapsed="false">
      <c r="H279" s="206"/>
    </row>
    <row r="280" customFormat="false" ht="15" hidden="false" customHeight="false" outlineLevel="0" collapsed="false">
      <c r="H280" s="206"/>
    </row>
    <row r="281" customFormat="false" ht="15" hidden="false" customHeight="false" outlineLevel="0" collapsed="false">
      <c r="H281" s="206"/>
    </row>
    <row r="282" customFormat="false" ht="15" hidden="false" customHeight="false" outlineLevel="0" collapsed="false">
      <c r="H282" s="206"/>
    </row>
    <row r="283" customFormat="false" ht="15" hidden="false" customHeight="false" outlineLevel="0" collapsed="false">
      <c r="H283" s="206"/>
    </row>
    <row r="284" customFormat="false" ht="15" hidden="false" customHeight="false" outlineLevel="0" collapsed="false">
      <c r="H284" s="206"/>
    </row>
    <row r="285" customFormat="false" ht="15" hidden="false" customHeight="false" outlineLevel="0" collapsed="false">
      <c r="H285" s="206"/>
    </row>
    <row r="286" customFormat="false" ht="15" hidden="false" customHeight="false" outlineLevel="0" collapsed="false">
      <c r="H286" s="206"/>
    </row>
    <row r="287" customFormat="false" ht="15" hidden="false" customHeight="false" outlineLevel="0" collapsed="false">
      <c r="H287" s="206"/>
    </row>
    <row r="288" customFormat="false" ht="15" hidden="false" customHeight="false" outlineLevel="0" collapsed="false">
      <c r="H288" s="206"/>
    </row>
    <row r="289" customFormat="false" ht="15" hidden="false" customHeight="false" outlineLevel="0" collapsed="false">
      <c r="H289" s="206"/>
    </row>
    <row r="290" customFormat="false" ht="15" hidden="false" customHeight="false" outlineLevel="0" collapsed="false">
      <c r="H290" s="206"/>
    </row>
    <row r="291" customFormat="false" ht="15" hidden="false" customHeight="false" outlineLevel="0" collapsed="false">
      <c r="H291" s="206"/>
    </row>
    <row r="292" customFormat="false" ht="15" hidden="false" customHeight="false" outlineLevel="0" collapsed="false">
      <c r="H292" s="206"/>
    </row>
    <row r="293" customFormat="false" ht="15" hidden="false" customHeight="false" outlineLevel="0" collapsed="false">
      <c r="H293" s="206"/>
    </row>
    <row r="294" customFormat="false" ht="15" hidden="false" customHeight="false" outlineLevel="0" collapsed="false">
      <c r="H294" s="206"/>
    </row>
    <row r="295" customFormat="false" ht="15" hidden="false" customHeight="false" outlineLevel="0" collapsed="false">
      <c r="H295" s="206"/>
    </row>
    <row r="296" customFormat="false" ht="15" hidden="false" customHeight="false" outlineLevel="0" collapsed="false">
      <c r="H296" s="206"/>
    </row>
    <row r="297" customFormat="false" ht="15" hidden="false" customHeight="false" outlineLevel="0" collapsed="false">
      <c r="H297" s="206"/>
    </row>
    <row r="298" customFormat="false" ht="15" hidden="false" customHeight="false" outlineLevel="0" collapsed="false">
      <c r="H298" s="206"/>
    </row>
    <row r="299" customFormat="false" ht="15" hidden="false" customHeight="false" outlineLevel="0" collapsed="false">
      <c r="H299" s="206"/>
    </row>
    <row r="300" customFormat="false" ht="15" hidden="false" customHeight="false" outlineLevel="0" collapsed="false">
      <c r="H300" s="206"/>
    </row>
    <row r="301" customFormat="false" ht="15" hidden="false" customHeight="false" outlineLevel="0" collapsed="false">
      <c r="H301" s="206"/>
    </row>
    <row r="302" customFormat="false" ht="15" hidden="false" customHeight="false" outlineLevel="0" collapsed="false">
      <c r="H302" s="206"/>
    </row>
    <row r="303" customFormat="false" ht="15" hidden="false" customHeight="false" outlineLevel="0" collapsed="false">
      <c r="H303" s="206"/>
    </row>
    <row r="304" customFormat="false" ht="15" hidden="false" customHeight="false" outlineLevel="0" collapsed="false">
      <c r="H304" s="206"/>
    </row>
    <row r="305" customFormat="false" ht="15" hidden="false" customHeight="false" outlineLevel="0" collapsed="false">
      <c r="H305" s="206"/>
    </row>
    <row r="306" customFormat="false" ht="15" hidden="false" customHeight="false" outlineLevel="0" collapsed="false">
      <c r="H306" s="206"/>
    </row>
    <row r="307" customFormat="false" ht="15" hidden="false" customHeight="false" outlineLevel="0" collapsed="false">
      <c r="H307" s="206"/>
    </row>
    <row r="308" customFormat="false" ht="15" hidden="false" customHeight="false" outlineLevel="0" collapsed="false">
      <c r="H308" s="206"/>
    </row>
    <row r="309" customFormat="false" ht="15" hidden="false" customHeight="false" outlineLevel="0" collapsed="false">
      <c r="H309" s="206"/>
    </row>
    <row r="310" customFormat="false" ht="15" hidden="false" customHeight="false" outlineLevel="0" collapsed="false">
      <c r="H310" s="206"/>
    </row>
    <row r="311" customFormat="false" ht="15" hidden="false" customHeight="false" outlineLevel="0" collapsed="false">
      <c r="H311" s="206"/>
    </row>
    <row r="312" customFormat="false" ht="15" hidden="false" customHeight="false" outlineLevel="0" collapsed="false">
      <c r="H312" s="206"/>
    </row>
    <row r="313" customFormat="false" ht="15" hidden="false" customHeight="false" outlineLevel="0" collapsed="false">
      <c r="H313" s="206"/>
    </row>
    <row r="314" customFormat="false" ht="15" hidden="false" customHeight="false" outlineLevel="0" collapsed="false">
      <c r="H314" s="206"/>
    </row>
    <row r="315" customFormat="false" ht="15" hidden="false" customHeight="false" outlineLevel="0" collapsed="false">
      <c r="H315" s="206"/>
    </row>
    <row r="316" customFormat="false" ht="15" hidden="false" customHeight="false" outlineLevel="0" collapsed="false">
      <c r="H316" s="206"/>
    </row>
    <row r="317" customFormat="false" ht="15" hidden="false" customHeight="false" outlineLevel="0" collapsed="false">
      <c r="H317" s="206"/>
    </row>
    <row r="318" customFormat="false" ht="15" hidden="false" customHeight="false" outlineLevel="0" collapsed="false">
      <c r="H318" s="206"/>
    </row>
    <row r="319" customFormat="false" ht="15" hidden="false" customHeight="false" outlineLevel="0" collapsed="false">
      <c r="H319" s="206"/>
    </row>
    <row r="320" customFormat="false" ht="15" hidden="false" customHeight="false" outlineLevel="0" collapsed="false">
      <c r="H320" s="206"/>
    </row>
    <row r="321" customFormat="false" ht="15" hidden="false" customHeight="false" outlineLevel="0" collapsed="false">
      <c r="H321" s="206"/>
    </row>
    <row r="322" customFormat="false" ht="15" hidden="false" customHeight="false" outlineLevel="0" collapsed="false">
      <c r="H322" s="206"/>
    </row>
    <row r="323" customFormat="false" ht="15" hidden="false" customHeight="false" outlineLevel="0" collapsed="false">
      <c r="H323" s="206"/>
    </row>
    <row r="324" customFormat="false" ht="15" hidden="false" customHeight="false" outlineLevel="0" collapsed="false">
      <c r="H324" s="206"/>
    </row>
    <row r="325" customFormat="false" ht="15" hidden="false" customHeight="false" outlineLevel="0" collapsed="false">
      <c r="H325" s="206"/>
    </row>
    <row r="326" customFormat="false" ht="15" hidden="false" customHeight="false" outlineLevel="0" collapsed="false">
      <c r="H326" s="206"/>
    </row>
    <row r="327" customFormat="false" ht="15" hidden="false" customHeight="false" outlineLevel="0" collapsed="false">
      <c r="H327" s="206"/>
    </row>
    <row r="328" customFormat="false" ht="15" hidden="false" customHeight="false" outlineLevel="0" collapsed="false">
      <c r="H328" s="206"/>
    </row>
    <row r="329" customFormat="false" ht="15" hidden="false" customHeight="false" outlineLevel="0" collapsed="false">
      <c r="H329" s="206"/>
    </row>
    <row r="330" customFormat="false" ht="15" hidden="false" customHeight="false" outlineLevel="0" collapsed="false">
      <c r="H330" s="206"/>
    </row>
    <row r="331" customFormat="false" ht="15" hidden="false" customHeight="false" outlineLevel="0" collapsed="false">
      <c r="H331" s="206"/>
    </row>
    <row r="332" customFormat="false" ht="15" hidden="false" customHeight="false" outlineLevel="0" collapsed="false">
      <c r="H332" s="206"/>
    </row>
    <row r="333" customFormat="false" ht="15" hidden="false" customHeight="false" outlineLevel="0" collapsed="false">
      <c r="H333" s="206"/>
    </row>
    <row r="334" customFormat="false" ht="15" hidden="false" customHeight="false" outlineLevel="0" collapsed="false">
      <c r="H334" s="206"/>
    </row>
    <row r="335" customFormat="false" ht="15" hidden="false" customHeight="false" outlineLevel="0" collapsed="false">
      <c r="H335" s="206"/>
    </row>
    <row r="336" customFormat="false" ht="15" hidden="false" customHeight="false" outlineLevel="0" collapsed="false">
      <c r="H336" s="206"/>
    </row>
    <row r="337" customFormat="false" ht="15" hidden="false" customHeight="false" outlineLevel="0" collapsed="false">
      <c r="H337" s="206"/>
    </row>
    <row r="338" customFormat="false" ht="15" hidden="false" customHeight="false" outlineLevel="0" collapsed="false">
      <c r="H338" s="206"/>
    </row>
  </sheetData>
  <autoFilter ref="B5:X111">
    <sortState ref="B6:X111">
      <sortCondition ref="A6:A111" customList=""/>
    </sortState>
  </autoFilter>
  <mergeCells count="1">
    <mergeCell ref="B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I4EAABQSwMEFAACAAgA9qpIXN5Cws2lAAAA9wAAABIAHABDb25maWcvUGFja2FnZS54bWwgohgAKKAUAAAAAAAAAAAAAAAAAAAAAAAAAAAAhY9NDoIwGESvQrqnPxASQz7Kwi0kJCbGbVMqNkIhtFju5sIjeQUxirpzOW/eYuZ+vUE+d21wUaPVvckQwxQFysi+1qbJ0OSO4QblHCohz6JRwSIbm862ztDJuSElxHuPfYz7sSERpYwcymInT6oT6CPr/3KojXXCSIU47F9jeIRZQjGjSYwpkJVCqc3XiJbBz/YHwnZq3TQqPrRhVQBZI5D3Cf4AUEsDBBQAAgAIAPaqSFwPyumrpAAAAOkAAAATABwAW0NvbnRlbnRfVHlwZXNdLnhtbCCiGAAooBQAAAAAAAAAAAAAAAAAAAAAAAAAAABtjksOwjAMRK8SeZ+6sEAINWUB3IALRMH9iOajxkXhbCw4ElcgbXeIpWfmeebzelfHZAfxoDH23inYFCUIcsbfetcqmLiRezjW1fUZKIocdVFBxxwOiNF0ZHUsfCCXncaPVnM+xxaDNnfdEm7LcofGOybHkucfUFdnavQ0sLikLK+1GQdxWnNzlQKmxLjI+JewP3kdwtAbzdnEJG2UdiFxGV5/AVBLAwQUAAIACAD2qkhcvdvf14cBAABTBAAAEwAcAEZvcm11bGFzL1NlY3Rpb24xLm0gohgAKKAUAAAAAAAAAAAAAAAAAAAAAAAAAAAAxZLPTsJAEMbvJLzDZr1A0jQBiQcNh1owQZAmpaSRPyELjNiw3SW7SwAbLh58AW++hifPyHtZChKgcjBq3Msmv5mdb2bnk9BTHmeotr4zF8lEMiHviYA+qinCOj4ZdNSEi4fZhKM8oqCSCRSe5ZtYvPaXjytYnPaA6i4Xwy7nw9SVR0E3OVPAlExh87xVlyBkizCPtAogh4qPWqWqW6w6ddvouI3Fs53Rp1ROcVpDbEyphpQYQ1pbS8X66DikSyEU3jYRNEsK/DyOpWKt7LF+HkcvcHveLBBF2pvCJ7jhe8DCuTlSsxEOK0Z5uiMIk3dc+CanY585sxHI1JE2tCDAtlVoGNdYW1UBpGCq5hoKcO325tKqxHDZqlh2jBasmmO4phFPj3ogmc8AYbNdnj3CTw/5hAwIGg5CXGLqLKevpooCZrG6VWVjvwsiwq5hO9by5f3pIDZPJxMe+/oHd+0T/g5Qkv0n02zUj1tlk/CLBtmTXNlif//b/fxs/Tsb+q4DNjz3txb4AFBLAQItABQAAgAIAPaqSFzeQsLNpQAAAPcAAAASAAAAAAAAAAAAAAAAAAAAAABDb25maWcvUGFja2FnZS54bWxQSwECLQAUAAIACAD2qkhcD8rpq6QAAADpAAAAEwAAAAAAAAAAAAAAAADxAAAAW0NvbnRlbnRfVHlwZXNdLnhtbFBLAQItABQAAgAIAPaqSFy929/XhwEAAFMEAAATAAAAAAAAAAAAAAAAAOIBAABGb3JtdWxhcy9TZWN0aW9uMS5tUEsFBgAAAAADAAMAwgAAALYDAAAAABABAADvu788P3htbCB2ZXJzaW9uPSIxLjAiIGVuY29kaW5nPSJ1dGYtOCI/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mwaAAAAAAAAShoAAO+7vzw/eG1sIHZlcnNpb249IjEuMCIgZW5jb2Rpbmc9InV0Zi04Ij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El0ZW0+PEl0ZW1Mb2NhdGlvbj48SXRlbVR5cGU+Rm9ybXVsYTwvSXRlbVR5cGU+PEl0ZW1QYXRoPlNlY3Rpb24xL1N0YW5fbWFnX3R3b3J6eXdvPC9JdGVtUGF0aD48L0l0ZW1Mb2NhdGlvbj48U3RhYmxlRW50cmllcz48RW50cnkgVHlwZT0iSXNQcml2YXRlIiBWYWx1ZT0ibDAiIC8+PEVudHJ5IFR5cGU9IlF1ZXJ5SUQiIFZhbHVlPSJzYzIzMjk0MjYtZTc1YS00ZTE3LTgwYTQtM2UwMjk5YzgxOGMwIiAvPjxFbnRyeSBUeXBlPSJGaWxsRW5hYmxlZCIgVmFsdWU9ImwwIiAvPjxFbnRyeSBUeXBlPSJGaWxsT2JqZWN0VHlwZSIgVmFsdWU9InNDb25uZWN0aW9uT25seSIgLz48RW50cnkgVHlwZT0iRmlsbFRvRGF0YU1vZGVsRW5hYmxlZCIgVmFsdWU9ImwxIiAvPjxFbnRyeSBUeXBlPSJCdWZmZXJOZXh0UmVmcmVzaCIgVmFsdWU9ImwxIiAvPjxFbnRyeSBUeXBlPSJSZXN1bHRUeXBlIiBWYWx1ZT0ic1RhYmxlIiAvPjxFbnRyeSBUeXBlPSJOYW1lVXBkYXRlZEFmdGVyRmlsbCIgVmFsdWU9ImwwIiAvPjxFbnRyeSBUeXBlPSJOYXZpZ2F0aW9uU3RlcE5hbWUiIFZhbHVlPSJzTmF3aWdhY2phIiAvPjxFbnRyeSBUeXBlPSJGaWxsZWRDb21wbGV0ZVJlc3VsdFRvV29ya3NoZWV0IiBWYWx1ZT0ibDAiIC8+PEVudHJ5IFR5cGU9IlJlbGF0aW9uc2hpcEluZm9Db250YWluZXIiIFZhbHVlPSJzeyZxdW90O2NvbHVtbkNvdW50JnF1b3Q7OjEwLCZxdW90O2tleUNvbHVtbk5hbWVzJnF1b3Q7OltdLCZxdW90O3F1ZXJ5UmVsYXRpb25zaGlwcyZxdW90OzpbXSwmcXVvdDtjb2x1bW5JZGVudGl0aWVzJnF1b3Q7OlsmcXVvdDtTZWN0aW9uMS9TdGFuX21hZ190d29yenl3by9abWllbmlvbm8gdHlwLntST0RaQUosMH0mcXVvdDssJnF1b3Q7U2VjdGlvbjEvU3Rhbl9tYWdfdHdvcnp5d28vWm1pZW5pb25vIHR5cC57U1lNQk9MLDF9JnF1b3Q7LCZxdW90O1NlY3Rpb24xL1N0YW5fbWFnX3R3b3J6eXdvL1ptaWVuaW9ubyB0eXAue0tPTE9SLDJ9JnF1b3Q7LCZxdW90O1NlY3Rpb24xL1N0YW5fbWFnX3R3b3J6eXdvL1ptaWVuaW9ubyB0eXAue0RPU1RBV0NBLDN9JnF1b3Q7LCZxdW90O1NlY3Rpb24xL1N0YW5fbWFnX3R3b3J6eXdvL1ptaWVuaW9ubyB0eXAue0tvbHVtbmExLDR9JnF1b3Q7LCZxdW90O1NlY3Rpb24xL1N0YW5fbWFnX3R3b3J6eXdvL1ptaWVuaW9ubyB0eXAue0tvbHVtbmEyLDV9JnF1b3Q7LCZxdW90O1NlY3Rpb24xL1N0YW5fbWFnX3R3b3J6eXdvL1ptaWVuaW9ubyB0eXAue0tvbHVtbmEzLDZ9JnF1b3Q7LCZxdW90O1NlY3Rpb24xL1N0YW5fbWFnX3R3b3J6eXdvL1ptaWVuaW9ubyB0eXAue3dhZ2Ega2csN30mcXVvdDssJnF1b3Q7U2VjdGlvbjEvU3Rhbl9tYWdfdHdvcnp5d28vWm1pZW5pb25vIHR5cC57Q0VOQSw4fSZxdW90OywmcXVvdDtTZWN0aW9uMS9TdGFuX21hZ190d29yenl3by9abWllbmlvbm8gdHlwLntXQVJUT8WaxIYsOX0mcXVvdDtdLCZxdW90O0NvbHVtbkNvdW50JnF1b3Q7OjEwLCZxdW90O0tleUNvbHVtbk5hbWVzJnF1b3Q7OltdLCZxdW90O0NvbHVtbklkZW50aXRpZXMmcXVvdDs6WyZxdW90O1NlY3Rpb24xL1N0YW5fbWFnX3R3b3J6eXdvL1ptaWVuaW9ubyB0eXAue1JPRFpBSiwwfSZxdW90OywmcXVvdDtTZWN0aW9uMS9TdGFuX21hZ190d29yenl3by9abWllbmlvbm8gdHlwLntTWU1CT0wsMX0mcXVvdDssJnF1b3Q7U2VjdGlvbjEvU3Rhbl9tYWdfdHdvcnp5d28vWm1pZW5pb25vIHR5cC57S09MT1IsMn0mcXVvdDssJnF1b3Q7U2VjdGlvbjEvU3Rhbl9tYWdfdHdvcnp5d28vWm1pZW5pb25vIHR5cC57RE9TVEFXQ0EsM30mcXVvdDssJnF1b3Q7U2VjdGlvbjEvU3Rhbl9tYWdfdHdvcnp5d28vWm1pZW5pb25vIHR5cC57S29sdW1uYTEsNH0mcXVvdDssJnF1b3Q7U2VjdGlvbjEvU3Rhbl9tYWdfdHdvcnp5d28vWm1pZW5pb25vIHR5cC57S29sdW1uYTIsNX0mcXVvdDssJnF1b3Q7U2VjdGlvbjEvU3Rhbl9tYWdfdHdvcnp5d28vWm1pZW5pb25vIHR5cC57S29sdW1uYTMsNn0mcXVvdDssJnF1b3Q7U2VjdGlvbjEvU3Rhbl9tYWdfdHdvcnp5d28vWm1pZW5pb25vIHR5cC57d2FnYSBrZyw3fSZxdW90OywmcXVvdDtTZWN0aW9uMS9TdGFuX21hZ190d29yenl3by9abWllbmlvbm8gdHlwLntDRU5BLDh9JnF1b3Q7LCZxdW90O1NlY3Rpb24xL1N0YW5fbWFnX3R3b3J6eXdvL1ptaWVuaW9ubyB0eXAue1dBUlRPxZrEhiw5fSZxdW90O10sJnF1b3Q7UmVsYXRpb25zaGlwSW5mbyZxdW90OzpbXX0iIC8+PEVudHJ5IFR5cGU9IkZpbGxTdGF0dXMiIFZhbHVlPSJzQ29tcGxldGUiIC8+PEVudHJ5IFR5cGU9IkZpbGxDb2x1bW5OYW1lcyIgVmFsdWU9InNbJnF1b3Q7Uk9EWkFKJnF1b3Q7LCZxdW90O1NZTUJPTCZxdW90OywmcXVvdDtLT0xPUiZxdW90OywmcXVvdDtET1NUQVdDQSZxdW90OywmcXVvdDtLb2x1bW5hMSZxdW90OywmcXVvdDtLb2x1bW5hMiZxdW90OywmcXVvdDtLb2x1bW5hMyZxdW90OywmcXVvdDt3YWdhIGtnJnF1b3Q7LCZxdW90O0NFTkEmcXVvdDssJnF1b3Q7V0FSVE/FmsSGJnF1b3Q7XSIgLz48RW50cnkgVHlwZT0iRmlsbENvbHVtblR5cGVzIiBWYWx1ZT0ic0JnWUdCZ0FBQUFNRkJRPT0iIC8+PEVudHJ5IFR5cGU9IkZpbGxMYXN0VXBkYXRlZCIgVmFsdWU9ImQyMDI1LTExLTIwVDE4OjEyOjQ5LjQxNzEwNDJaIiAvPjxFbnRyeSBUeXBlPSJGaWxsRXJyb3JDb3VudCIgVmFsdWU9ImwwIiAvPjxFbnRyeSBUeXBlPSJGaWxsRXJyb3JDb2RlIiBWYWx1ZT0ic1Vua25vd24iIC8+PEVudHJ5IFR5cGU9IkZpbGxDb3VudCIgVmFsdWU9Imw2OCIgLz48RW50cnkgVHlwZT0iQWRkZWRUb0RhdGFNb2RlbCIgVmFsdWU9ImwxIiAvPjxFbnRyeSBUeXBlPSJSZWNvdmVyeVRhcmdldFNoZWV0IiBWYWx1ZT0ic1N0YW5fbWFnX3R3b3J6eXdvIiAvPjxFbnRyeSBUeXBlPSJSZWNvdmVyeVRhcmdldENvbHVtbiIgVmFsdWU9ImwxIiAvPjxFbnRyeSBUeXBlPSJSZWNvdmVyeVRhcmdldFJvdyIgVmFsdWU9ImwxIiAvPjwvU3RhYmxlRW50cmllcz48L0l0ZW0+PEl0ZW0+PEl0ZW1Mb2NhdGlvbj48SXRlbVR5cGU+Rm9ybXVsYTwvSXRlbVR5cGU+PEl0ZW1QYXRoPlNlY3Rpb24xL1N0YW5fbWFnX3R3b3J6eXdvLyVDNSVCOXIlQzMlQjNkJUM1JTgybzwvSXRlbVBhdGg+PC9JdGVtTG9jYXRpb24+PFN0YWJsZUVudHJpZXMgLz48L0l0ZW0+PEl0ZW0+PEl0ZW1Mb2NhdGlvbj48SXRlbVR5cGU+Rm9ybXVsYTwvSXRlbVR5cGU+PEl0ZW1QYXRoPlNlY3Rpb24xL1N0YW5fbWFnX3R3b3J6eXdvL1N0YW5fbWFnX3R3b3J6eXdvX1RhYmxlPC9JdGVtUGF0aD48L0l0ZW1Mb2NhdGlvbj48U3RhYmxlRW50cmllcyAvPjwvSXRlbT48SXRlbT48SXRlbUxvY2F0aW9uPjxJdGVtVHlwZT5Gb3JtdWxhPC9JdGVtVHlwZT48SXRlbVBhdGg+U2VjdGlvbjEvU3Rhbl9tYWdfdHdvcnp5d28vWm1pZW5pb25vJTIwdHlwPC9JdGVtUGF0aD48L0l0ZW1Mb2NhdGlvbj48U3RhYmxlRW50cmllcyAvPjwvSXRlbT48SXRlbT48SXRlbUxvY2F0aW9uPjxJdGVtVHlwZT5Gb3JtdWxhPC9JdGVtVHlwZT48SXRlbVBhdGg+U2VjdGlvbjEvVGFiZWxhMjwvSXRlbVBhdGg+PC9JdGVtTG9jYXRpb24+PFN0YWJsZUVudHJpZXM+PEVudHJ5IFR5cGU9IklzUHJpdmF0ZSIgVmFsdWU9ImwwIiAvPjxFbnRyeSBUeXBlPSJRdWVyeUlEIiBWYWx1ZT0iczAyOTMxMTg2LTBjNGQtNDNmOS1hZTlkLTdhY2RiZWRhZTI2ZSIgLz48RW50cnkgVHlwZT0iRmlsbEVuYWJsZWQiIFZhbHVlPSJsMCIgLz48RW50cnkgVHlwZT0iRmlsbE9iamVjdFR5cGUiIFZhbHVlPSJzQ29ubmVjdGlvbk9ubHkiIC8+PEVudHJ5IFR5cGU9IkZpbGxUb0RhdGFNb2RlbEVuYWJsZWQiIFZhbHVlPSJsMSIgLz48RW50cnkgVHlwZT0iQnVmZmVyTmV4dFJlZnJlc2giIFZhbHVlPSJsMSIgLz48RW50cnkgVHlwZT0iUmVzdWx0VHlwZSIgVmFsdWU9InNUYWJsZSIgLz48RW50cnkgVHlwZT0iTmFtZVVwZGF0ZWRBZnRlckZpbGwiIFZhbHVlPSJsMCIgLz48RW50cnkgVHlwZT0iTmF2aWdhdGlvblN0ZXBOYW1lIiBWYWx1ZT0ic05hd2lnYWNqYSIgLz48RW50cnkgVHlwZT0iRmlsbGVkQ29tcGxldGVSZXN1bHRUb1dvcmtzaGVldCIgVmFsdWU9ImwxIiAvPjxFbnRyeSBUeXBlPSJBZGRlZFRvRGF0YU1vZGVsIiBWYWx1ZT0ibDEiIC8+PEVudHJ5IFR5cGU9IkZpbGxDb3VudCIgVmFsdWU9ImwxMDMiIC8+PEVudHJ5IFR5cGU9IkZpbGxFcnJvckNvZGUiIFZhbHVlPSJzVW5rbm93biIgLz48RW50cnkgVHlwZT0iRmlsbEVycm9yQ291bnQiIFZhbHVlPSJsMCIgLz48RW50cnkgVHlwZT0iRmlsbExhc3RVcGRhdGVkIiBWYWx1ZT0iZDIwMjUtMTEtMjBUMTg6MTI6MjAuOTQyNDU3NFoiIC8+PEVudHJ5IFR5cGU9IkZpbGxDb2x1bW5UeXBlcyIgVmFsdWU9InNBQVlHQlFBQUF3VUYiIC8+PEVudHJ5IFR5cGU9IkZpbGxDb2x1bW5OYW1lcyIgVmFsdWU9InNbJnF1b3Q7U1lNQk9MJnF1b3Q7LCZxdW90O0tPTE9SJnF1b3Q7LCZxdW90O0RPU1RBV0NBJnF1b3Q7LCZxdW90O0tvbHVtbmExJnF1b3Q7LCZxdW90O0tvbHVtbmEyJnF1b3Q7LCZxdW90O0tvbHVtbmEzJnF1b3Q7LCZxdW90O0tvbHVtbmE0JnF1b3Q7LCZxdW90O0NFTkEmcXVvdDssJnF1b3Q7V0FSVE/FmsSGJnF1b3Q7XSIgLz48RW50cnkgVHlwZT0iRmlsbFN0YXR1cyIgVmFsdWU9InNDb21wbGV0ZSIgLz48RW50cnkgVHlwZT0iUmVsYXRpb25zaGlwSW5mb0NvbnRhaW5lciIgVmFsdWU9InN7JnF1b3Q7Y29sdW1uQ291bnQmcXVvdDs6OSwmcXVvdDtrZXlDb2x1bW5OYW1lcyZxdW90OzpbXSwmcXVvdDtxdWVyeVJlbGF0aW9uc2hpcHMmcXVvdDs6W10sJnF1b3Q7Y29sdW1uSWRlbnRpdGllcyZxdW90OzpbJnF1b3Q7U2VjdGlvbjEvVGFiZWxhMi9abWllbmlvbm8gdHlwLntTWU1CT0wsMH0mcXVvdDssJnF1b3Q7U2VjdGlvbjEvVGFiZWxhMi9abWllbmlvbm8gdHlwLntLT0xPUiwxfSZxdW90OywmcXVvdDtTZWN0aW9uMS9UYWJlbGEyL1ptaWVuaW9ubyB0eXAue0RPU1RBV0NBLDJ9JnF1b3Q7LCZxdW90O1NlY3Rpb24xL1RhYmVsYTIvWm1pZW5pb25vIHR5cC57S29sdW1uYTEsM30mcXVvdDssJnF1b3Q7U2VjdGlvbjEvVGFiZWxhMi9abWllbmlvbm8gdHlwLntLb2x1bW5hMiw0fSZxdW90OywmcXVvdDtTZWN0aW9uMS9UYWJlbGEyL1ptaWVuaW9ubyB0eXAue0tvbHVtbmEzLDV9JnF1b3Q7LCZxdW90O1NlY3Rpb24xL1RhYmVsYTIvWm1pZW5pb25vIHR5cC57S29sdW1uYTQsNn0mcXVvdDssJnF1b3Q7U2VjdGlvbjEvVGFiZWxhMi9abWllbmlvbm8gdHlwLntDRU5BLDd9JnF1b3Q7LCZxdW90O1NlY3Rpb24xL1RhYmVsYTIvWm1pZW5pb25vIHR5cC57V0FSVE/FmsSGLDh9JnF1b3Q7XSwmcXVvdDtDb2x1bW5Db3VudCZxdW90Ozo5LCZxdW90O0tleUNvbHVtbk5hbWVzJnF1b3Q7OltdLCZxdW90O0NvbHVtbklkZW50aXRpZXMmcXVvdDs6WyZxdW90O1NlY3Rpb24xL1RhYmVsYTIvWm1pZW5pb25vIHR5cC57U1lNQk9MLDB9JnF1b3Q7LCZxdW90O1NlY3Rpb24xL1RhYmVsYTIvWm1pZW5pb25vIHR5cC57S09MT1IsMX0mcXVvdDssJnF1b3Q7U2VjdGlvbjEvVGFiZWxhMi9abWllbmlvbm8gdHlwLntET1NUQVdDQSwyfSZxdW90OywmcXVvdDtTZWN0aW9uMS9UYWJlbGEyL1ptaWVuaW9ubyB0eXAue0tvbHVtbmExLDN9JnF1b3Q7LCZxdW90O1NlY3Rpb24xL1RhYmVsYTIvWm1pZW5pb25vIHR5cC57S29sdW1uYTIsNH0mcXVvdDssJnF1b3Q7U2VjdGlvbjEvVGFiZWxhMi9abWllbmlvbm8gdHlwLntLb2x1bW5hMyw1fSZxdW90OywmcXVvdDtTZWN0aW9uMS9UYWJlbGEyL1ptaWVuaW9ubyB0eXAue0tvbHVtbmE0LDZ9JnF1b3Q7LCZxdW90O1NlY3Rpb24xL1RhYmVsYTIvWm1pZW5pb25vIHR5cC57Q0VOQSw3fSZxdW90OywmcXVvdDtTZWN0aW9uMS9UYWJlbGEyL1ptaWVuaW9ubyB0eXAue1dBUlRPxZrEhiw4fSZxdW90O10sJnF1b3Q7UmVsYXRpb25zaGlwSW5mbyZxdW90OzpbXX0iIC8+PC9TdGFibGVFbnRyaWVzPjwvSXRlbT48SXRlbT48SXRlbUxvY2F0aW9uPjxJdGVtVHlwZT5Gb3JtdWxhPC9JdGVtVHlwZT48SXRlbVBhdGg+U2VjdGlvbjEvVGFiZWxhMi8lQzUlQjlyJUMzJUIzZCVDNSU4Mm88L0l0ZW1QYXRoPjwvSXRlbUxvY2F0aW9uPjxTdGFibGVFbnRyaWVzIC8+PC9JdGVtPjxJdGVtPjxJdGVtTG9jYXRpb24+PEl0ZW1UeXBlPkZvcm11bGE8L0l0ZW1UeXBlPjxJdGVtUGF0aD5TZWN0aW9uMS9UYWJlbGEyL1RhYmVsYTJfVGFibGU8L0l0ZW1QYXRoPjwvSXRlbUxvY2F0aW9uPjxTdGFibGVFbnRyaWVzIC8+PC9JdGVtPjxJdGVtPjxJdGVtTG9jYXRpb24+PEl0ZW1UeXBlPkZvcm11bGE8L0l0ZW1UeXBlPjxJdGVtUGF0aD5TZWN0aW9uMS9UYWJlbGEyL1ptaWVuaW9ubyUyMHR5cDwvSXRlbVBhdGg+PC9JdGVtTG9jYXRpb24+PFN0YWJsZUVudHJpZXMgLz48L0l0ZW0+PC9JdGVtcz48L0xvY2FsUGFja2FnZU1ldGFkYXRhRmlsZT4WAAAAUEsFBgAAAAAAAAAAAAAAAAAAAAAAACYBAAABAAAA0Iyd3wEV0RGMegDAT8KX6wEAAAABNg1Agf8tToiXU5N3xZrmAAAAAAIAAAAAABBmAAAAAQAAIAAAAGnjuQqQWgyol+slZridwRb1Ox+cXYNs1HhQJf0+LkRSAAAAAA6AAAAAAgAAIAAAAMB4fY8UBXrLwvnB+Cmw8CMvnAJjXX79dbTzQ/cmEDUKUAAAACcw/12M8+9Nrkw32TRxehMT3Q55aBOzn00RGG5fyKKi6K56EVhtzvPA9QMytQeTp12ZkUSU4An+SnxI0EL6fMdjqtfq2OSVIEcqAogVA8tnQAAAANEY/JtVSGnw89sJMrX3SMbdqv+tXCvgrIqB3sYVfZWswlu8uucUdtByuuON1WCYIY/MSqnKMkPHWT0mwUoCfGc=</DataMashup>
</file>

<file path=customXml/itemProps1.xml><?xml version="1.0" encoding="utf-8"?>
<ds:datastoreItem xmlns:ds="http://schemas.openxmlformats.org/officeDocument/2006/customXml" ds:itemID="{9A1141BF-F77A-45F1-9691-B68653770C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Ania Kwiatek</dc:creator>
  <dc:description/>
  <dc:language>pl-PL</dc:language>
  <cp:lastModifiedBy/>
  <dcterms:modified xsi:type="dcterms:W3CDTF">2026-09-25T13:37:42Z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