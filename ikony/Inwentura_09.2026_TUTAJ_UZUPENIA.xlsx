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worzywo" sheetId="1" state="visible" r:id="rId2"/>
    <sheet name="Barwniki" sheetId="2" state="visible" r:id="rId3"/>
  </sheets>
  <definedNames>
    <definedName function="false" hidden="true" localSheetId="1" name="_xlnm._FilterDatabase" vbProcedure="false">Barwniki!$D$3:$I$113</definedName>
    <definedName function="false" hidden="true" localSheetId="0" name="_xlnm._FilterDatabase" vbProcedure="false">Tworzywo!$C$3:$AD$85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3" authorId="0">
      <text>
        <r>
          <rPr>
            <sz val="11"/>
            <color rgb="FF000000"/>
            <rFont val="Calibri"/>
            <family val="2"/>
            <charset val="1"/>
          </rPr>
          <t xml:space="preserve">Nazwa tworzywa</t>
        </r>
      </text>
    </comment>
  </commentList>
</comments>
</file>

<file path=xl/sharedStrings.xml><?xml version="1.0" encoding="utf-8"?>
<sst xmlns="http://schemas.openxmlformats.org/spreadsheetml/2006/main" count="772" uniqueCount="388">
  <si>
    <t xml:space="preserve">STANY MAGAZYNOWE_TWORZYWO</t>
  </si>
  <si>
    <t xml:space="preserve">Stan na 31.08.2026</t>
  </si>
  <si>
    <t xml:space="preserve">Stan na 11.09.2026</t>
  </si>
  <si>
    <t xml:space="preserve">Stan na 18.09.2026</t>
  </si>
  <si>
    <t xml:space="preserve">Stan na 25.09.2026</t>
  </si>
  <si>
    <t xml:space="preserve">Lp.</t>
  </si>
  <si>
    <t xml:space="preserve">Nazwa Tworzywa</t>
  </si>
  <si>
    <t xml:space="preserve">RODZAJ</t>
  </si>
  <si>
    <t xml:space="preserve">ORYGINAŁ 1/ REGRANULAT 2</t>
  </si>
  <si>
    <t xml:space="preserve">SYMBOL </t>
  </si>
  <si>
    <t xml:space="preserve">KOLOR</t>
  </si>
  <si>
    <t xml:space="preserve">DOSTAWCA</t>
  </si>
  <si>
    <t xml:space="preserve">KG</t>
  </si>
  <si>
    <t xml:space="preserve">CENA 
w EURO</t>
  </si>
  <si>
    <t xml:space="preserve">Kurs EURO</t>
  </si>
  <si>
    <t xml:space="preserve">CENA
w PLN</t>
  </si>
  <si>
    <t xml:space="preserve">WARTOŚĆ
 w PLN</t>
  </si>
  <si>
    <t xml:space="preserve">UWAGI</t>
  </si>
  <si>
    <t xml:space="preserve">1-ARGUS-ABS-RÓŻOWY</t>
  </si>
  <si>
    <t xml:space="preserve">ABS</t>
  </si>
  <si>
    <t xml:space="preserve">ABS </t>
  </si>
  <si>
    <t xml:space="preserve">RÓŻOWY</t>
  </si>
  <si>
    <t xml:space="preserve">ARGUS</t>
  </si>
  <si>
    <t xml:space="preserve">1-ARGUS-ABS-ŻÓŁTY</t>
  </si>
  <si>
    <t xml:space="preserve">ŻÓŁTY</t>
  </si>
  <si>
    <t xml:space="preserve">1-ARGUS-ABS-MIĘTA</t>
  </si>
  <si>
    <t xml:space="preserve">MIĘTA</t>
  </si>
  <si>
    <t xml:space="preserve">1-ARGUS-ABS-CORAL</t>
  </si>
  <si>
    <t xml:space="preserve">CORAL</t>
  </si>
  <si>
    <t xml:space="preserve">1-ARGUS-ABS-LIME</t>
  </si>
  <si>
    <t xml:space="preserve">LIME</t>
  </si>
  <si>
    <t xml:space="preserve">1-ARGUS-ABS-CLOUD</t>
  </si>
  <si>
    <t xml:space="preserve">CLOUD</t>
  </si>
  <si>
    <t xml:space="preserve">2-EKOBASKET-ABS-BIAŁY</t>
  </si>
  <si>
    <t xml:space="preserve">BIAŁY</t>
  </si>
  <si>
    <t xml:space="preserve">EKO BASKET</t>
  </si>
  <si>
    <t xml:space="preserve">2-PROGRESS-ABS-BIAŁY</t>
  </si>
  <si>
    <t xml:space="preserve">PROGRESS</t>
  </si>
  <si>
    <t xml:space="preserve">2-EKOBASKET-ABS-NATURAL</t>
  </si>
  <si>
    <t xml:space="preserve">NATURALNY</t>
  </si>
  <si>
    <t xml:space="preserve">2-PROGRESS-ABS-CZARNY</t>
  </si>
  <si>
    <t xml:space="preserve">CZARNY</t>
  </si>
  <si>
    <t xml:space="preserve">1-RESINEX-ABS-HI121H-NATURAL</t>
  </si>
  <si>
    <t xml:space="preserve">ABS HI 121H</t>
  </si>
  <si>
    <t xml:space="preserve">RESINEX</t>
  </si>
  <si>
    <t xml:space="preserve">1-PLASTOPLAN-ABS-HI121H-NATURAL</t>
  </si>
  <si>
    <t xml:space="preserve">PLASTOPLAN</t>
  </si>
  <si>
    <t xml:space="preserve">1-RESINEX-ABS-HF380-BIAŁY</t>
  </si>
  <si>
    <t xml:space="preserve">ABS HF380</t>
  </si>
  <si>
    <t xml:space="preserve">1-NEXEO-ABS-MAGNUM8391-NATURAL</t>
  </si>
  <si>
    <t xml:space="preserve">ABS MAGNUM 8391 </t>
  </si>
  <si>
    <t xml:space="preserve">NEXEO PLASTICS</t>
  </si>
  <si>
    <t xml:space="preserve">1-KGLSA-ASA-STAREX-WR-9120NP-NATURAL</t>
  </si>
  <si>
    <t xml:space="preserve">ASA</t>
  </si>
  <si>
    <t xml:space="preserve">ASA - STAREX WR-9120 NP. </t>
  </si>
  <si>
    <t xml:space="preserve">KGL</t>
  </si>
  <si>
    <t xml:space="preserve">1-RESINEX-ASA-LG-CHEM-LI911-NATURAL</t>
  </si>
  <si>
    <t xml:space="preserve">ASA  LG CHEM LI911</t>
  </si>
  <si>
    <t xml:space="preserve">1-PLASTOPLAN-ASA-LG-LI911-NP.</t>
  </si>
  <si>
    <t xml:space="preserve">1-KGLSA-ASA-STAREX-WR9120-W94848-BIAŁY</t>
  </si>
  <si>
    <t xml:space="preserve">ASA - STAREX WR9120 W94848 </t>
  </si>
  <si>
    <t xml:space="preserve">1-BCDPO-HDPE-SIBUR-PE-NATURAL</t>
  </si>
  <si>
    <t xml:space="preserve">HDPE</t>
  </si>
  <si>
    <t xml:space="preserve">HDPE - SIBUR PE</t>
  </si>
  <si>
    <t xml:space="preserve">BCD</t>
  </si>
  <si>
    <t xml:space="preserve">1-POLIMER-HDPE-HOSTALEN-GC-7260-NATURAL</t>
  </si>
  <si>
    <t xml:space="preserve">HDPE - HOSTALEN GC 7260</t>
  </si>
  <si>
    <t xml:space="preserve">POLIMER PROJEKT</t>
  </si>
  <si>
    <t xml:space="preserve">1-BCD-HDPE-HOSTALEN-GC-7260-NATURAL</t>
  </si>
  <si>
    <t xml:space="preserve">1-AZOTY-PA6-TARNAMID-T27-NATURAL</t>
  </si>
  <si>
    <t xml:space="preserve">PA6</t>
  </si>
  <si>
    <t xml:space="preserve">PA6 - TARNAMID T27</t>
  </si>
  <si>
    <t xml:space="preserve">GRUPA AZOTY</t>
  </si>
  <si>
    <t xml:space="preserve">1-TERPLASTICS-PA6-TEREZ-B305-NATURAL</t>
  </si>
  <si>
    <t xml:space="preserve">PA6 - TEREZ B305</t>
  </si>
  <si>
    <t xml:space="preserve">TER PLASTICS</t>
  </si>
  <si>
    <t xml:space="preserve">1-POLIMER-PA6-GF30%-PLASTAMID-6-B28-G6-CZARNY</t>
  </si>
  <si>
    <t xml:space="preserve">PA6 GF 30% </t>
  </si>
  <si>
    <t xml:space="preserve">PA6 - PLASTMID 6 B28 G6</t>
  </si>
  <si>
    <t xml:space="preserve">1-POLIMER-PA6-GF25%-PLASTAMID-6 B28-G5-NATURAL</t>
  </si>
  <si>
    <t xml:space="preserve">PA6 GF 25% </t>
  </si>
  <si>
    <t xml:space="preserve">PA6 - PLASTMID 6 B28 G5</t>
  </si>
  <si>
    <t xml:space="preserve">1-POLIMER-PA6-GF50%-PLASTAMID-6-B28-G10-NATURAL</t>
  </si>
  <si>
    <t xml:space="preserve">PA6 GF 50%</t>
  </si>
  <si>
    <t xml:space="preserve">PA6 - PLASTMID 6 B28 G10</t>
  </si>
  <si>
    <t xml:space="preserve">1-POLIMER-PA6-PLASTAMID-6-B28-CR-NATURAL</t>
  </si>
  <si>
    <t xml:space="preserve">PA6 - PLASTMID 6 B28 CR</t>
  </si>
  <si>
    <t xml:space="preserve">1-AZOTY-PA6-GF25%-TERNAMID-T-27-GF25-NATURAL</t>
  </si>
  <si>
    <t xml:space="preserve">PA6 - TARNAMID T-27 GF25 </t>
  </si>
  <si>
    <t xml:space="preserve">AZOTY</t>
  </si>
  <si>
    <t xml:space="preserve">PA6 BEZ WŁÓKNA - B1</t>
  </si>
  <si>
    <t xml:space="preserve">1-PACYGA-PA6-15% DREWNA-NATURAL</t>
  </si>
  <si>
    <t xml:space="preserve">PA6 + 15% DREWNA</t>
  </si>
  <si>
    <t xml:space="preserve">PACYGA</t>
  </si>
  <si>
    <t xml:space="preserve">2-PACYGA-PLA-KONOPIA-NATURAL</t>
  </si>
  <si>
    <t xml:space="preserve">PLA</t>
  </si>
  <si>
    <t xml:space="preserve">PLA Z KONOPIĄ</t>
  </si>
  <si>
    <t xml:space="preserve">2-RADOMSKO-PET-CL80-NATURAL</t>
  </si>
  <si>
    <t xml:space="preserve">PET</t>
  </si>
  <si>
    <t xml:space="preserve">R+PET CL80</t>
  </si>
  <si>
    <t xml:space="preserve">PRT RADOMSKO</t>
  </si>
  <si>
    <t xml:space="preserve">2-LOOPLIFE-PLA-05A30-MK-NATURAL</t>
  </si>
  <si>
    <t xml:space="preserve">R-PLA05A-30-MK</t>
  </si>
  <si>
    <t xml:space="preserve">LOOPLIFE POLYMERS</t>
  </si>
  <si>
    <t xml:space="preserve">1-RESINEX-POM-C27N-NATURAL</t>
  </si>
  <si>
    <t xml:space="preserve">POM</t>
  </si>
  <si>
    <t xml:space="preserve">POM C27N</t>
  </si>
  <si>
    <t xml:space="preserve">1-RESINEX-POM-HOSTAFORM-C9021-NATURAL</t>
  </si>
  <si>
    <t xml:space="preserve">POM </t>
  </si>
  <si>
    <t xml:space="preserve">HOSTAFORM C9021</t>
  </si>
  <si>
    <t xml:space="preserve">1-BCDPO-PP-TIPPLEN-K295A-NATURAL</t>
  </si>
  <si>
    <t xml:space="preserve">PP</t>
  </si>
  <si>
    <t xml:space="preserve">PP - Tipplen K 295 A</t>
  </si>
  <si>
    <t xml:space="preserve">1-POLIMER-PP--TATREN RM-45 55-NATURAL</t>
  </si>
  <si>
    <t xml:space="preserve">PP TATREN RM 45 55 </t>
  </si>
  <si>
    <t xml:space="preserve">1-BCDPO-PP-TATREN-IM2263-NATURAL</t>
  </si>
  <si>
    <t xml:space="preserve">PP TATREN- IM2263</t>
  </si>
  <si>
    <t xml:space="preserve">2-PROGRESS-PP-CZARNY</t>
  </si>
  <si>
    <t xml:space="preserve">PP </t>
  </si>
  <si>
    <t xml:space="preserve">REGRANULAT PP CZARNY</t>
  </si>
  <si>
    <t xml:space="preserve">2-PROGRESS-PP-BIAŁY</t>
  </si>
  <si>
    <t xml:space="preserve">REGRANULAT PP BIAŁY</t>
  </si>
  <si>
    <t xml:space="preserve">2-ALFAPLAST-PP-BIAŁY</t>
  </si>
  <si>
    <t xml:space="preserve">ALFA-PLAST</t>
  </si>
  <si>
    <t xml:space="preserve">1-POLIMER-PP-MOPLEN-EP548R-BIAŁY</t>
  </si>
  <si>
    <t xml:space="preserve">PP MOPLEN EP548R</t>
  </si>
  <si>
    <t xml:space="preserve">1-RESINEX-PP-RANDOM-YUPLENE-R392Y-NATURAL</t>
  </si>
  <si>
    <t xml:space="preserve">PP RANDOM YUPLENE R392Y</t>
  </si>
  <si>
    <t xml:space="preserve">1-RESINEX-PP-RANDOM-ADVANCE-400-NATURAL</t>
  </si>
  <si>
    <t xml:space="preserve">PP RANDOM ADVANCE 400 </t>
  </si>
  <si>
    <t xml:space="preserve">1-BCD-PP-TIPPLEN-R960A-NATURAL</t>
  </si>
  <si>
    <t xml:space="preserve">RANDOM TIPPLEN R960A</t>
  </si>
  <si>
    <t xml:space="preserve">1-RESINEX-PP-GF30%-SCOLEFIN-53G-NATURAL</t>
  </si>
  <si>
    <t xml:space="preserve">PP GF 30%</t>
  </si>
  <si>
    <t xml:space="preserve">SCOLEFIN 53-G</t>
  </si>
  <si>
    <t xml:space="preserve">1-RESINEX-PP-GF30%-MAFILL-CR-HG3541-NATURAL</t>
  </si>
  <si>
    <t xml:space="preserve">Mafill CR HG 3541</t>
  </si>
  <si>
    <t xml:space="preserve">2-EKOBASKET-PP+20T-CZARNY</t>
  </si>
  <si>
    <t xml:space="preserve">PP+20T </t>
  </si>
  <si>
    <t xml:space="preserve"> PP+20T </t>
  </si>
  <si>
    <t xml:space="preserve">1-POLIMER-PP-HOMO-TATREN-HT-2511-NATURAL</t>
  </si>
  <si>
    <t xml:space="preserve">PP HOMO</t>
  </si>
  <si>
    <t xml:space="preserve">TATREN HT 2511</t>
  </si>
  <si>
    <t xml:space="preserve">1-BCD-PP-TATREN-HT-2511-NATURAL</t>
  </si>
  <si>
    <t xml:space="preserve">2-A&amp;P-PS-HIPS-WIESZAKI-BIAŁY</t>
  </si>
  <si>
    <t xml:space="preserve">PS</t>
  </si>
  <si>
    <t xml:space="preserve">PS - HIPS - WIESZAKI</t>
  </si>
  <si>
    <t xml:space="preserve">A&amp;P</t>
  </si>
  <si>
    <t xml:space="preserve">2-H&amp;Z-PS-HIPS-CZARNY</t>
  </si>
  <si>
    <t xml:space="preserve">PS HIPS</t>
  </si>
  <si>
    <t xml:space="preserve">H&amp;Z</t>
  </si>
  <si>
    <t xml:space="preserve">2-PLASTICS-PS-CZARNY</t>
  </si>
  <si>
    <t xml:space="preserve"> PS</t>
  </si>
  <si>
    <t xml:space="preserve">PLASTICS SOLUTION</t>
  </si>
  <si>
    <t xml:space="preserve">1-POLIMER-PS-SYNTHOS PS HI 552 M-NATURAL</t>
  </si>
  <si>
    <t xml:space="preserve">SYNTHOS PS HI 552 M</t>
  </si>
  <si>
    <t xml:space="preserve">1-POLIMER-PS-SYNTHOS PS GP 525-NATURAL</t>
  </si>
  <si>
    <t xml:space="preserve">SYNTHOS PS GP-525</t>
  </si>
  <si>
    <t xml:space="preserve">2-ARGUS-PC-CZARNY</t>
  </si>
  <si>
    <t xml:space="preserve">PC </t>
  </si>
  <si>
    <t xml:space="preserve">PC</t>
  </si>
  <si>
    <t xml:space="preserve">2-EMIPAK-PC-BIAŁY</t>
  </si>
  <si>
    <t xml:space="preserve">EMIPAK</t>
  </si>
  <si>
    <t xml:space="preserve">2-EKOBASKET-PC-BIAŁY</t>
  </si>
  <si>
    <t xml:space="preserve">2-ARGUS-PC-BIAŁY</t>
  </si>
  <si>
    <t xml:space="preserve">2-PLASTPRO-PC-BIAŁY</t>
  </si>
  <si>
    <t xml:space="preserve">PLASTPRO</t>
  </si>
  <si>
    <t xml:space="preserve">1-PLASTPRO-PC-BIAŁY</t>
  </si>
  <si>
    <t xml:space="preserve">1-POLIMER-PC-12.80UR-TRANSPARENT</t>
  </si>
  <si>
    <t xml:space="preserve">12.80 UR</t>
  </si>
  <si>
    <t xml:space="preserve">TRANSPARENT</t>
  </si>
  <si>
    <t xml:space="preserve">1-RESINEX-TPE-ELASTOMER 30A RAVAGO-NATURAL</t>
  </si>
  <si>
    <t xml:space="preserve">TPE</t>
  </si>
  <si>
    <t xml:space="preserve">ELASTOMER 30A RAVAGO</t>
  </si>
  <si>
    <t xml:space="preserve">2-EKOCHEM-TPE-NATURAL</t>
  </si>
  <si>
    <t xml:space="preserve">TPE </t>
  </si>
  <si>
    <t xml:space="preserve">EKOCHEM</t>
  </si>
  <si>
    <t xml:space="preserve">2-KIPIOT-TPU-APILON-52A-6505-NATURAL</t>
  </si>
  <si>
    <t xml:space="preserve">TPU</t>
  </si>
  <si>
    <t xml:space="preserve">APILON 52A 6505</t>
  </si>
  <si>
    <t xml:space="preserve">KIPIOT</t>
  </si>
  <si>
    <t xml:space="preserve">1-KRAIBURG-TPE-S-TF6OQD-LCNT-B102-NATURAL</t>
  </si>
  <si>
    <t xml:space="preserve">TPE-S </t>
  </si>
  <si>
    <t xml:space="preserve">TF6OQD-LCNT_B102</t>
  </si>
  <si>
    <t xml:space="preserve">KRAIBURG</t>
  </si>
  <si>
    <t xml:space="preserve">1-KRAIBURG-TPE-S-HRC9480/230-NATURAL</t>
  </si>
  <si>
    <t xml:space="preserve">HRC9480/230</t>
  </si>
  <si>
    <t xml:space="preserve">1-GRANPOL-TPE-S-GPL-GRANSEB-45G/000/139-NATURAL</t>
  </si>
  <si>
    <t xml:space="preserve">GPL-GRANSEB -  45G/000/139</t>
  </si>
  <si>
    <t xml:space="preserve">GRANPOL</t>
  </si>
  <si>
    <t xml:space="preserve">1-GRANPOL-TPE-S-GPL-GRANSEB-80G/000/139-NATURAL</t>
  </si>
  <si>
    <t xml:space="preserve">GPL-GRANSEB - 80G/000/139</t>
  </si>
  <si>
    <t xml:space="preserve">1-GRANPOL-TPE-S-GPL-GRANSEB-75G/transp1/139-NATURAL</t>
  </si>
  <si>
    <t xml:space="preserve">GPL-GRANSEB 75G/transp1/139 </t>
  </si>
  <si>
    <t xml:space="preserve">1-KRAIBURG-TPE-S_HRC9480/451-NATURAL</t>
  </si>
  <si>
    <t xml:space="preserve">HRC9480/451</t>
  </si>
  <si>
    <t xml:space="preserve">1-BENVICK-PVC-ST/P81CZ-O</t>
  </si>
  <si>
    <t xml:space="preserve">PVC</t>
  </si>
  <si>
    <t xml:space="preserve">PVC-ST/P81CZ-O</t>
  </si>
  <si>
    <t xml:space="preserve">BENVICK</t>
  </si>
  <si>
    <t xml:space="preserve">1-RESINEX-TPU-RAVATHANE-130A93</t>
  </si>
  <si>
    <t xml:space="preserve">RAVATHANE 130A93</t>
  </si>
  <si>
    <t xml:space="preserve">1-HEXPOL-DRYFLEX-UV-403731_TRANSPARENT</t>
  </si>
  <si>
    <t xml:space="preserve">DRYFLEX-UV-403731</t>
  </si>
  <si>
    <t xml:space="preserve">HEXPOL</t>
  </si>
  <si>
    <t xml:space="preserve">1-HEXPOL-DRYFLEX-UV-803731-1_TRANSPARENT</t>
  </si>
  <si>
    <t xml:space="preserve">DRYFLEX-UV-803731-1</t>
  </si>
  <si>
    <t xml:space="preserve">1-HEXPOL-DRYFLEX-PCR-403621-2_TRANSPARENT</t>
  </si>
  <si>
    <t xml:space="preserve">Dryflex-PCR-403621-2</t>
  </si>
  <si>
    <t xml:space="preserve">zamiennik Kraiburga HRC9480/230</t>
  </si>
  <si>
    <t xml:space="preserve">PP + GF30</t>
  </si>
  <si>
    <t xml:space="preserve">PP + GF30 ŁUKASIK</t>
  </si>
  <si>
    <t xml:space="preserve">ABS KARMEL</t>
  </si>
  <si>
    <t xml:space="preserve">LDPE</t>
  </si>
  <si>
    <t xml:space="preserve">SABIC 1922NO DOZOWNIK</t>
  </si>
  <si>
    <t xml:space="preserve">STANY MAGAZYNOWE_BARWNIKI</t>
  </si>
  <si>
    <t xml:space="preserve">STAN NA 31.08.2026</t>
  </si>
  <si>
    <t xml:space="preserve">STAN NA 25.09.2026</t>
  </si>
  <si>
    <t xml:space="preserve">Lp. </t>
  </si>
  <si>
    <t xml:space="preserve">Symbol</t>
  </si>
  <si>
    <t xml:space="preserve">CENA</t>
  </si>
  <si>
    <t xml:space="preserve">WARTOŚĆ</t>
  </si>
  <si>
    <t xml:space="preserve">SB5GA4087</t>
  </si>
  <si>
    <t xml:space="preserve">NIEBIESKI</t>
  </si>
  <si>
    <t xml:space="preserve">GABRIEL CHEMIE</t>
  </si>
  <si>
    <t xml:space="preserve">SB2GA1517</t>
  </si>
  <si>
    <t xml:space="preserve">SB6GA3507</t>
  </si>
  <si>
    <t xml:space="preserve">ZIELONY</t>
  </si>
  <si>
    <t xml:space="preserve">SB3GA1217</t>
  </si>
  <si>
    <t xml:space="preserve">POMARAŃCZOWY</t>
  </si>
  <si>
    <t xml:space="preserve">SAN8GA8287</t>
  </si>
  <si>
    <t xml:space="preserve">KREMOWY CIEMNY</t>
  </si>
  <si>
    <t xml:space="preserve">SAN9GA9517</t>
  </si>
  <si>
    <t xml:space="preserve">GRAFITOWY</t>
  </si>
  <si>
    <t xml:space="preserve">SAN8GA8327</t>
  </si>
  <si>
    <t xml:space="preserve">KREMOWY JASNY</t>
  </si>
  <si>
    <t xml:space="preserve">PA9017/16</t>
  </si>
  <si>
    <t xml:space="preserve">SAN9017/16</t>
  </si>
  <si>
    <t xml:space="preserve">SAN3GA4757</t>
  </si>
  <si>
    <t xml:space="preserve">SAN8GA8267</t>
  </si>
  <si>
    <t xml:space="preserve">CIEMNY BRĄZ</t>
  </si>
  <si>
    <t xml:space="preserve">SAN8GA7957 </t>
  </si>
  <si>
    <t xml:space="preserve">BEŻOWY</t>
  </si>
  <si>
    <t xml:space="preserve">HP400331/40</t>
  </si>
  <si>
    <t xml:space="preserve">CZERWONY</t>
  </si>
  <si>
    <t xml:space="preserve">HP300121/40</t>
  </si>
  <si>
    <t xml:space="preserve">HP9EA1331</t>
  </si>
  <si>
    <t xml:space="preserve">SZARY</t>
  </si>
  <si>
    <t xml:space="preserve">HP99611</t>
  </si>
  <si>
    <t xml:space="preserve">HP1GA2787UV</t>
  </si>
  <si>
    <t xml:space="preserve">BIOL6EB3907</t>
  </si>
  <si>
    <t xml:space="preserve">TURKUSOWY</t>
  </si>
  <si>
    <t xml:space="preserve">PET 19997</t>
  </si>
  <si>
    <t xml:space="preserve">PC5GB4867</t>
  </si>
  <si>
    <t xml:space="preserve">GM-80669B</t>
  </si>
  <si>
    <t xml:space="preserve">CIEMNY SZARY</t>
  </si>
  <si>
    <t xml:space="preserve">GM COLOR</t>
  </si>
  <si>
    <t xml:space="preserve">GM-43357E</t>
  </si>
  <si>
    <t xml:space="preserve">GM COLOR </t>
  </si>
  <si>
    <t xml:space="preserve">GM-32807E </t>
  </si>
  <si>
    <t xml:space="preserve">GM-326</t>
  </si>
  <si>
    <t xml:space="preserve">(F) CZARNY</t>
  </si>
  <si>
    <t xml:space="preserve">GM 378E</t>
  </si>
  <si>
    <t xml:space="preserve">GM-447</t>
  </si>
  <si>
    <t xml:space="preserve">(F) BIAŁY</t>
  </si>
  <si>
    <t xml:space="preserve"> GM-80295</t>
  </si>
  <si>
    <t xml:space="preserve">(F) SZARY</t>
  </si>
  <si>
    <t xml:space="preserve">GM-41373P </t>
  </si>
  <si>
    <t xml:space="preserve">(F) ZIELONY</t>
  </si>
  <si>
    <t xml:space="preserve">GM-43676E  </t>
  </si>
  <si>
    <t xml:space="preserve">GM-51519P</t>
  </si>
  <si>
    <t xml:space="preserve">(F) NIEBIESKI</t>
  </si>
  <si>
    <t xml:space="preserve">GM-81052P</t>
  </si>
  <si>
    <t xml:space="preserve">GM-10683P</t>
  </si>
  <si>
    <t xml:space="preserve">(F) BEŻOWY</t>
  </si>
  <si>
    <t xml:space="preserve">GM-80690E</t>
  </si>
  <si>
    <t xml:space="preserve">C.SZARY</t>
  </si>
  <si>
    <t xml:space="preserve">GM-32218E</t>
  </si>
  <si>
    <t xml:space="preserve">(F) RÓŻOWY</t>
  </si>
  <si>
    <t xml:space="preserve">GM-81071P</t>
  </si>
  <si>
    <t xml:space="preserve">(F) GRAFITOWY</t>
  </si>
  <si>
    <t xml:space="preserve">GM-10684P</t>
  </si>
  <si>
    <t xml:space="preserve">(F) ŻÓŁTY</t>
  </si>
  <si>
    <t xml:space="preserve">GM-12485E</t>
  </si>
  <si>
    <t xml:space="preserve">GM - 12197E</t>
  </si>
  <si>
    <t xml:space="preserve">GM - 30669</t>
  </si>
  <si>
    <t xml:space="preserve">GRANATOWY</t>
  </si>
  <si>
    <t xml:space="preserve">GM - 20057E </t>
  </si>
  <si>
    <t xml:space="preserve">GM-43107E</t>
  </si>
  <si>
    <t xml:space="preserve">(F) CIEMNO ZIELONY</t>
  </si>
  <si>
    <t xml:space="preserve">cemno zielony</t>
  </si>
  <si>
    <t xml:space="preserve">GM-43114E</t>
  </si>
  <si>
    <t xml:space="preserve">(F)TURKUSOWY</t>
  </si>
  <si>
    <t xml:space="preserve">GM- 6979E</t>
  </si>
  <si>
    <t xml:space="preserve">GM - 53281E</t>
  </si>
  <si>
    <t xml:space="preserve">(F)NIEBIESKI</t>
  </si>
  <si>
    <t xml:space="preserve">GM-32747E</t>
  </si>
  <si>
    <t xml:space="preserve">(F)RÓŻOWY</t>
  </si>
  <si>
    <t xml:space="preserve">GM-20225E</t>
  </si>
  <si>
    <t xml:space="preserve">(F)POMARAŃCZOWY</t>
  </si>
  <si>
    <t xml:space="preserve">GM-80721B</t>
  </si>
  <si>
    <t xml:space="preserve">J.SZARY</t>
  </si>
  <si>
    <t xml:space="preserve">GM-51745P</t>
  </si>
  <si>
    <t xml:space="preserve">zmiana nośnika barwnika na GM-53578E</t>
  </si>
  <si>
    <t xml:space="preserve">GM-80779S</t>
  </si>
  <si>
    <t xml:space="preserve">GM 31539V</t>
  </si>
  <si>
    <t xml:space="preserve">GM 41815V</t>
  </si>
  <si>
    <t xml:space="preserve">GM71079V</t>
  </si>
  <si>
    <t xml:space="preserve">BRĄZOWY</t>
  </si>
  <si>
    <t xml:space="preserve">GM-10483B</t>
  </si>
  <si>
    <t xml:space="preserve">WANILIOWY</t>
  </si>
  <si>
    <t xml:space="preserve">GM-91237E</t>
  </si>
  <si>
    <t xml:space="preserve">SREBRNY BROKAT</t>
  </si>
  <si>
    <t xml:space="preserve">GM-90631S</t>
  </si>
  <si>
    <t xml:space="preserve">GM-9766</t>
  </si>
  <si>
    <t xml:space="preserve">GM-51310S</t>
  </si>
  <si>
    <t xml:space="preserve">GM-11145E</t>
  </si>
  <si>
    <t xml:space="preserve">GM-418</t>
  </si>
  <si>
    <t xml:space="preserve">GM-415</t>
  </si>
  <si>
    <t xml:space="preserve">GM-31188D</t>
  </si>
  <si>
    <t xml:space="preserve">GM-9198</t>
  </si>
  <si>
    <t xml:space="preserve">W2-127L</t>
  </si>
  <si>
    <t xml:space="preserve">WEST</t>
  </si>
  <si>
    <t xml:space="preserve">W7-259L</t>
  </si>
  <si>
    <t xml:space="preserve">W7131</t>
  </si>
  <si>
    <t xml:space="preserve">ZIELONY </t>
  </si>
  <si>
    <t xml:space="preserve">W707</t>
  </si>
  <si>
    <t xml:space="preserve">GROSZKOWY</t>
  </si>
  <si>
    <t xml:space="preserve">W9-60U</t>
  </si>
  <si>
    <t xml:space="preserve">W9-36U</t>
  </si>
  <si>
    <t xml:space="preserve">ŚRODEK EPRP50PS</t>
  </si>
  <si>
    <t xml:space="preserve">SPIENIACZ</t>
  </si>
  <si>
    <t xml:space="preserve">W3-18/1</t>
  </si>
  <si>
    <t xml:space="preserve">W9-67U</t>
  </si>
  <si>
    <t xml:space="preserve">W8-43/1</t>
  </si>
  <si>
    <t xml:space="preserve">W6-125 </t>
  </si>
  <si>
    <t xml:space="preserve">W7-76</t>
  </si>
  <si>
    <t xml:space="preserve">W2-73/1</t>
  </si>
  <si>
    <t xml:space="preserve">W5-17</t>
  </si>
  <si>
    <t xml:space="preserve">(F)FIOLETOWY</t>
  </si>
  <si>
    <t xml:space="preserve">W5-25</t>
  </si>
  <si>
    <t xml:space="preserve">W6-146</t>
  </si>
  <si>
    <t xml:space="preserve">W6-69</t>
  </si>
  <si>
    <t xml:space="preserve">W4-62</t>
  </si>
  <si>
    <t xml:space="preserve">(F)BORDOWY</t>
  </si>
  <si>
    <t xml:space="preserve">W4-154U</t>
  </si>
  <si>
    <t xml:space="preserve">(F) CZERWONY</t>
  </si>
  <si>
    <t xml:space="preserve">W2-68</t>
  </si>
  <si>
    <t xml:space="preserve">W9-173</t>
  </si>
  <si>
    <t xml:space="preserve">W003/1</t>
  </si>
  <si>
    <t xml:space="preserve">EKO BIAŁY</t>
  </si>
  <si>
    <t xml:space="preserve">W4-99</t>
  </si>
  <si>
    <t xml:space="preserve">W9-41</t>
  </si>
  <si>
    <t xml:space="preserve">W2334</t>
  </si>
  <si>
    <t xml:space="preserve">W2-01</t>
  </si>
  <si>
    <t xml:space="preserve">UV DREWNIAK</t>
  </si>
  <si>
    <t xml:space="preserve">UV</t>
  </si>
  <si>
    <t xml:space="preserve">20-91147F PC</t>
  </si>
  <si>
    <t xml:space="preserve">LIFO COLOR</t>
  </si>
  <si>
    <t xml:space="preserve">20-91568F PA</t>
  </si>
  <si>
    <t xml:space="preserve">30-431962 ROUGE</t>
  </si>
  <si>
    <t xml:space="preserve">33521F PET</t>
  </si>
  <si>
    <t xml:space="preserve">POLI-CH PINK PS 36-0492</t>
  </si>
  <si>
    <t xml:space="preserve">RÓZOWY</t>
  </si>
  <si>
    <t xml:space="preserve">GLOBAL COLORS</t>
  </si>
  <si>
    <t xml:space="preserve">POLI-CH PINK 36-0527</t>
  </si>
  <si>
    <t xml:space="preserve">C7010/1</t>
  </si>
  <si>
    <t xml:space="preserve">KORAL</t>
  </si>
  <si>
    <t xml:space="preserve">COLOR TONE</t>
  </si>
  <si>
    <t xml:space="preserve">SCHWARZ 2620 PC</t>
  </si>
  <si>
    <t xml:space="preserve">TOSAF- WHITE MB - UNIWERS</t>
  </si>
  <si>
    <t xml:space="preserve">COLOR PLAST</t>
  </si>
  <si>
    <t xml:space="preserve">PE 4353 - UNIWERS</t>
  </si>
  <si>
    <t xml:space="preserve">YPE 9437 - UNIWERS</t>
  </si>
  <si>
    <t xml:space="preserve">ME 80000 - UNIWERS</t>
  </si>
  <si>
    <t xml:space="preserve">TEREZ XG DE 9000</t>
  </si>
  <si>
    <t xml:space="preserve">BIAŁY C001 </t>
  </si>
  <si>
    <t xml:space="preserve">W5-02</t>
  </si>
  <si>
    <t xml:space="preserve">FIOLETOWY</t>
  </si>
  <si>
    <t xml:space="preserve">W7-272</t>
  </si>
  <si>
    <t xml:space="preserve">ZIELONY PASTEL</t>
  </si>
  <si>
    <t xml:space="preserve">C4146</t>
  </si>
  <si>
    <t xml:space="preserve">C7226</t>
  </si>
  <si>
    <t xml:space="preserve">GM-53578E</t>
  </si>
  <si>
    <t xml:space="preserve">zmiana nośnika barwnika GM-51745P</t>
  </si>
  <si>
    <t xml:space="preserve">GM-50977</t>
  </si>
  <si>
    <t xml:space="preserve">MODUŁY</t>
  </si>
  <si>
    <t xml:space="preserve">GM 81071P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</si>
</sst>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#,##0.00&quot; zł&quot;;[RED]\-#,##0.00&quot; zł&quot;"/>
    <numFmt numFmtId="167" formatCode="_-* #,##0.00&quot; zł&quot;_-;\-* #,##0.00&quot; zł&quot;_-;_-* \-??&quot; zł&quot;_-;_-@_-"/>
    <numFmt numFmtId="168" formatCode="_-* #,##0.00\ _z_ł_-;\-* #,##0.00\ _z_ł_-;_-* \-??\ _z_ł_-;_-@_-"/>
    <numFmt numFmtId="169" formatCode="@"/>
    <numFmt numFmtId="170" formatCode="#,##0.00\ [$EUR];[RED]\-#,##0.00\ [$EUR]"/>
    <numFmt numFmtId="171" formatCode="#,##0.00&quot; zł&quot;"/>
    <numFmt numFmtId="172" formatCode="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238"/>
    </font>
    <font>
      <b val="true"/>
      <sz val="12"/>
      <color rgb="FFFFFFFF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1"/>
      <color rgb="FF000000"/>
      <name val="Calibri"/>
      <family val="2"/>
      <charset val="238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238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5"/>
      <color rgb="FF000000"/>
      <name val="Calibri"/>
      <family val="2"/>
      <charset val="238"/>
    </font>
    <font>
      <sz val="12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00"/>
      <name val="Calibri"/>
      <family val="2"/>
      <charset val="238"/>
    </font>
    <font>
      <sz val="9"/>
      <color rgb="FF000000"/>
      <name val="Calibri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DEEBF7"/>
      </patternFill>
    </fill>
    <fill>
      <patternFill patternType="solid">
        <fgColor rgb="FFD9D9D9"/>
        <bgColor rgb="FFD0CECE"/>
      </patternFill>
    </fill>
    <fill>
      <patternFill patternType="solid">
        <fgColor rgb="FF5B9BD5"/>
        <bgColor rgb="FF4472C4"/>
      </patternFill>
    </fill>
    <fill>
      <patternFill patternType="solid">
        <fgColor rgb="FFDEEBF7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9D9D9"/>
      </patternFill>
    </fill>
    <fill>
      <patternFill patternType="solid">
        <fgColor rgb="FFBDD7EE"/>
        <bgColor rgb="FFD0CECE"/>
      </patternFill>
    </fill>
    <fill>
      <patternFill patternType="solid">
        <fgColor rgb="FFFFC000"/>
        <bgColor rgb="FFFF9900"/>
      </patternFill>
    </fill>
    <fill>
      <patternFill patternType="solid">
        <fgColor rgb="FFE7E6E6"/>
        <bgColor rgb="FFDEEBF7"/>
      </patternFill>
    </fill>
    <fill>
      <patternFill patternType="solid">
        <fgColor rgb="FF4472C4"/>
        <bgColor rgb="FF666699"/>
      </patternFill>
    </fill>
  </fills>
  <borders count="28">
    <border diagonalUp="false" diagonalDown="false">
      <left/>
      <right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2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0" fillId="2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ny 2" xfId="20"/>
  </cellStyles>
  <dxfs count="11">
    <dxf>
      <fill>
        <patternFill patternType="solid">
          <fgColor rgb="FF5B9BD5"/>
        </patternFill>
      </fill>
    </dxf>
    <dxf>
      <fill>
        <patternFill patternType="solid">
          <fgColor rgb="FFDEEBF7"/>
        </patternFill>
      </fill>
    </dxf>
    <dxf>
      <fill>
        <patternFill patternType="solid">
          <fgColor rgb="FF3C3C3C"/>
          <bgColor rgb="FFFCFCFC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D0CE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4472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164160</xdr:colOff>
      <xdr:row>0</xdr:row>
      <xdr:rowOff>47520</xdr:rowOff>
    </xdr:from>
    <xdr:to>
      <xdr:col>4</xdr:col>
      <xdr:colOff>47880</xdr:colOff>
      <xdr:row>0</xdr:row>
      <xdr:rowOff>374760</xdr:rowOff>
    </xdr:to>
    <xdr:pic>
      <xdr:nvPicPr>
        <xdr:cNvPr id="0" name="Obraz 2" descr=""/>
        <xdr:cNvPicPr/>
      </xdr:nvPicPr>
      <xdr:blipFill>
        <a:blip r:embed="rId1"/>
        <a:stretch/>
      </xdr:blipFill>
      <xdr:spPr>
        <a:xfrm>
          <a:off x="481680" y="47520"/>
          <a:ext cx="1611000" cy="327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38160</xdr:colOff>
      <xdr:row>0</xdr:row>
      <xdr:rowOff>57240</xdr:rowOff>
    </xdr:from>
    <xdr:to>
      <xdr:col>3</xdr:col>
      <xdr:colOff>803160</xdr:colOff>
      <xdr:row>0</xdr:row>
      <xdr:rowOff>327240</xdr:rowOff>
    </xdr:to>
    <xdr:pic>
      <xdr:nvPicPr>
        <xdr:cNvPr id="1" name="Obraz 1" descr=""/>
        <xdr:cNvPicPr/>
      </xdr:nvPicPr>
      <xdr:blipFill>
        <a:blip r:embed="rId1"/>
        <a:stretch/>
      </xdr:blipFill>
      <xdr:spPr>
        <a:xfrm>
          <a:off x="1114560" y="57240"/>
          <a:ext cx="1311120" cy="270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L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1" width="7.43"/>
    <col collapsed="false" customWidth="true" hidden="true" outlineLevel="0" max="3" min="3" style="0" width="47.28"/>
    <col collapsed="false" customWidth="true" hidden="false" outlineLevel="0" max="4" min="4" style="0" width="12"/>
    <col collapsed="false" customWidth="true" hidden="false" outlineLevel="0" max="5" min="5" style="1" width="14.91"/>
    <col collapsed="false" customWidth="true" hidden="false" outlineLevel="0" max="6" min="6" style="2" width="24.57"/>
    <col collapsed="false" customWidth="true" hidden="false" outlineLevel="0" max="7" min="7" style="3" width="12.43"/>
    <col collapsed="false" customWidth="true" hidden="false" outlineLevel="0" max="8" min="8" style="0" width="16.43"/>
    <col collapsed="false" customWidth="true" hidden="false" outlineLevel="0" max="9" min="9" style="4" width="0.14"/>
    <col collapsed="false" customWidth="true" hidden="false" outlineLevel="0" max="10" min="10" style="4" width="8.14"/>
    <col collapsed="false" customWidth="true" hidden="false" outlineLevel="0" max="11" min="11" style="0" width="10.28"/>
    <col collapsed="false" customWidth="true" hidden="false" outlineLevel="0" max="12" min="12" style="0" width="9.71"/>
    <col collapsed="false" customWidth="true" hidden="false" outlineLevel="0" max="13" min="13" style="4" width="13.28"/>
    <col collapsed="false" customWidth="true" hidden="false" outlineLevel="0" max="14" min="14" style="0" width="13.28"/>
    <col collapsed="false" customWidth="true" hidden="false" outlineLevel="0" max="15" min="15" style="4" width="8.14"/>
    <col collapsed="false" customWidth="true" hidden="false" outlineLevel="0" max="16" min="16" style="0" width="10.28"/>
    <col collapsed="false" customWidth="true" hidden="false" outlineLevel="0" max="17" min="17" style="0" width="9.71"/>
    <col collapsed="false" customWidth="true" hidden="false" outlineLevel="0" max="18" min="18" style="4" width="13.28"/>
    <col collapsed="false" customWidth="true" hidden="false" outlineLevel="0" max="19" min="19" style="0" width="13.28"/>
    <col collapsed="false" customWidth="true" hidden="false" outlineLevel="0" max="20" min="20" style="4" width="8.14"/>
    <col collapsed="false" customWidth="true" hidden="false" outlineLevel="0" max="21" min="21" style="0" width="10.28"/>
    <col collapsed="false" customWidth="true" hidden="false" outlineLevel="0" max="22" min="22" style="0" width="9.71"/>
    <col collapsed="false" customWidth="true" hidden="false" outlineLevel="0" max="23" min="23" style="4" width="13.28"/>
    <col collapsed="false" customWidth="true" hidden="false" outlineLevel="0" max="24" min="24" style="0" width="13.28"/>
    <col collapsed="false" customWidth="true" hidden="false" outlineLevel="0" max="25" min="25" style="4" width="8.14"/>
    <col collapsed="false" customWidth="true" hidden="false" outlineLevel="0" max="26" min="26" style="0" width="10.28"/>
    <col collapsed="false" customWidth="true" hidden="false" outlineLevel="0" max="27" min="27" style="0" width="9.71"/>
    <col collapsed="false" customWidth="true" hidden="false" outlineLevel="0" max="28" min="28" style="4" width="13.28"/>
    <col collapsed="false" customWidth="true" hidden="false" outlineLevel="0" max="29" min="29" style="0" width="13.28"/>
    <col collapsed="false" customWidth="true" hidden="false" outlineLevel="0" max="30" min="30" style="5" width="33.14"/>
    <col collapsed="false" customWidth="true" hidden="false" outlineLevel="0" max="31" min="31" style="6" width="9.71"/>
    <col collapsed="false" customWidth="true" hidden="false" outlineLevel="0" max="32" min="32" style="6" width="15"/>
    <col collapsed="false" customWidth="true" hidden="false" outlineLevel="0" max="33" min="33" style="6" width="13.43"/>
    <col collapsed="false" customWidth="true" hidden="false" outlineLevel="0" max="34" min="34" style="6" width="15.14"/>
    <col collapsed="false" customWidth="true" hidden="false" outlineLevel="0" max="37" min="35" style="6" width="9.14"/>
    <col collapsed="false" customWidth="true" hidden="false" outlineLevel="0" max="38" min="38" style="7" width="9.14"/>
  </cols>
  <sheetData>
    <row r="1" customFormat="false" ht="34.5" hidden="false" customHeight="true" outlineLevel="0" collapsed="false">
      <c r="AE1" s="8"/>
      <c r="AF1" s="8"/>
      <c r="AG1" s="8"/>
      <c r="AH1" s="8"/>
      <c r="AI1" s="8"/>
      <c r="AJ1" s="8"/>
      <c r="AK1" s="8"/>
      <c r="AL1" s="9"/>
    </row>
    <row r="2" customFormat="false" ht="42.75" hidden="false" customHeight="true" outlineLevel="0" collapsed="false">
      <c r="B2" s="10" t="s">
        <v>0</v>
      </c>
      <c r="C2" s="10"/>
      <c r="D2" s="10"/>
      <c r="E2" s="10"/>
      <c r="F2" s="10"/>
      <c r="G2" s="10"/>
      <c r="H2" s="10"/>
      <c r="I2" s="11" t="s">
        <v>1</v>
      </c>
      <c r="J2" s="11" t="s">
        <v>1</v>
      </c>
      <c r="K2" s="11"/>
      <c r="L2" s="11"/>
      <c r="M2" s="11"/>
      <c r="N2" s="11"/>
      <c r="O2" s="12" t="s">
        <v>2</v>
      </c>
      <c r="P2" s="12"/>
      <c r="Q2" s="12"/>
      <c r="R2" s="12"/>
      <c r="S2" s="12"/>
      <c r="T2" s="11" t="s">
        <v>3</v>
      </c>
      <c r="U2" s="11"/>
      <c r="V2" s="11"/>
      <c r="W2" s="11"/>
      <c r="X2" s="11"/>
      <c r="Y2" s="12" t="s">
        <v>4</v>
      </c>
      <c r="Z2" s="12"/>
      <c r="AA2" s="12"/>
      <c r="AB2" s="12"/>
      <c r="AC2" s="12"/>
      <c r="AD2" s="13"/>
      <c r="AE2" s="8"/>
      <c r="AF2" s="8"/>
      <c r="AG2" s="8"/>
      <c r="AH2" s="8"/>
      <c r="AI2" s="8"/>
      <c r="AJ2" s="8"/>
      <c r="AK2" s="8"/>
      <c r="AL2" s="9"/>
    </row>
    <row r="3" s="1" customFormat="true" ht="59.25" hidden="false" customHeight="true" outlineLevel="0" collapsed="false">
      <c r="B3" s="14" t="s">
        <v>5</v>
      </c>
      <c r="C3" s="15" t="s">
        <v>6</v>
      </c>
      <c r="D3" s="16" t="s">
        <v>7</v>
      </c>
      <c r="E3" s="17" t="s">
        <v>8</v>
      </c>
      <c r="F3" s="15" t="s">
        <v>9</v>
      </c>
      <c r="G3" s="16" t="s">
        <v>10</v>
      </c>
      <c r="H3" s="16" t="s">
        <v>11</v>
      </c>
      <c r="I3" s="18" t="s">
        <v>12</v>
      </c>
      <c r="J3" s="18" t="s">
        <v>12</v>
      </c>
      <c r="K3" s="18" t="s">
        <v>13</v>
      </c>
      <c r="L3" s="18" t="s">
        <v>14</v>
      </c>
      <c r="M3" s="18" t="s">
        <v>15</v>
      </c>
      <c r="N3" s="18" t="s">
        <v>16</v>
      </c>
      <c r="O3" s="18" t="s">
        <v>12</v>
      </c>
      <c r="P3" s="18" t="s">
        <v>13</v>
      </c>
      <c r="Q3" s="18" t="s">
        <v>14</v>
      </c>
      <c r="R3" s="18" t="s">
        <v>15</v>
      </c>
      <c r="S3" s="18" t="s">
        <v>16</v>
      </c>
      <c r="T3" s="18" t="s">
        <v>12</v>
      </c>
      <c r="U3" s="18" t="s">
        <v>13</v>
      </c>
      <c r="V3" s="18" t="s">
        <v>14</v>
      </c>
      <c r="W3" s="18" t="s">
        <v>15</v>
      </c>
      <c r="X3" s="18" t="s">
        <v>16</v>
      </c>
      <c r="Y3" s="18" t="s">
        <v>12</v>
      </c>
      <c r="Z3" s="18" t="s">
        <v>13</v>
      </c>
      <c r="AA3" s="18" t="s">
        <v>14</v>
      </c>
      <c r="AB3" s="18" t="s">
        <v>15</v>
      </c>
      <c r="AC3" s="18" t="s">
        <v>16</v>
      </c>
      <c r="AD3" s="16" t="s">
        <v>17</v>
      </c>
      <c r="AE3" s="19"/>
      <c r="AF3" s="20"/>
      <c r="AG3" s="20"/>
      <c r="AH3" s="21"/>
      <c r="AI3" s="20"/>
      <c r="AJ3" s="20"/>
      <c r="AK3" s="22"/>
      <c r="AL3" s="23"/>
    </row>
    <row r="4" customFormat="false" ht="24" hidden="false" customHeight="true" outlineLevel="0" collapsed="false">
      <c r="B4" s="24" t="n">
        <v>1</v>
      </c>
      <c r="C4" s="25" t="s">
        <v>18</v>
      </c>
      <c r="D4" s="26" t="s">
        <v>19</v>
      </c>
      <c r="E4" s="27" t="n">
        <v>1</v>
      </c>
      <c r="F4" s="28" t="s">
        <v>20</v>
      </c>
      <c r="G4" s="26" t="s">
        <v>21</v>
      </c>
      <c r="H4" s="29" t="s">
        <v>22</v>
      </c>
      <c r="I4" s="30" t="n">
        <v>570</v>
      </c>
      <c r="J4" s="30" t="n">
        <v>570</v>
      </c>
      <c r="K4" s="31"/>
      <c r="L4" s="31"/>
      <c r="M4" s="31" t="n">
        <v>12</v>
      </c>
      <c r="N4" s="31" t="n">
        <f aca="false">J4 *M4</f>
        <v>6840</v>
      </c>
      <c r="O4" s="30" t="n">
        <v>570</v>
      </c>
      <c r="P4" s="31"/>
      <c r="Q4" s="31"/>
      <c r="R4" s="31" t="n">
        <v>12</v>
      </c>
      <c r="S4" s="31" t="n">
        <f aca="false">O4 *R4</f>
        <v>6840</v>
      </c>
      <c r="T4" s="30" t="n">
        <v>570</v>
      </c>
      <c r="U4" s="31"/>
      <c r="V4" s="31"/>
      <c r="W4" s="31" t="n">
        <v>12</v>
      </c>
      <c r="X4" s="31" t="n">
        <f aca="false">T4 *W4</f>
        <v>6840</v>
      </c>
      <c r="Y4" s="30" t="n">
        <v>570</v>
      </c>
      <c r="Z4" s="31"/>
      <c r="AA4" s="31"/>
      <c r="AB4" s="31" t="n">
        <v>12</v>
      </c>
      <c r="AC4" s="31" t="n">
        <f aca="false">Y4 *AB4</f>
        <v>6840</v>
      </c>
      <c r="AD4" s="32"/>
      <c r="AE4" s="33"/>
      <c r="AF4" s="34"/>
      <c r="AG4" s="35"/>
      <c r="AI4" s="36"/>
      <c r="AJ4" s="37"/>
    </row>
    <row r="5" customFormat="false" ht="24" hidden="false" customHeight="true" outlineLevel="0" collapsed="false">
      <c r="B5" s="38" t="n">
        <v>2</v>
      </c>
      <c r="C5" s="25" t="s">
        <v>23</v>
      </c>
      <c r="D5" s="39" t="s">
        <v>19</v>
      </c>
      <c r="E5" s="40" t="n">
        <v>1</v>
      </c>
      <c r="F5" s="41" t="s">
        <v>20</v>
      </c>
      <c r="G5" s="39" t="s">
        <v>24</v>
      </c>
      <c r="H5" s="42" t="s">
        <v>22</v>
      </c>
      <c r="I5" s="43" t="n">
        <v>500</v>
      </c>
      <c r="J5" s="43" t="n">
        <v>500</v>
      </c>
      <c r="K5" s="31"/>
      <c r="L5" s="31"/>
      <c r="M5" s="31" t="n">
        <v>12</v>
      </c>
      <c r="N5" s="31" t="n">
        <f aca="false">J5 *M5</f>
        <v>6000</v>
      </c>
      <c r="O5" s="43" t="n">
        <v>500</v>
      </c>
      <c r="P5" s="31"/>
      <c r="Q5" s="31"/>
      <c r="R5" s="31" t="n">
        <v>12</v>
      </c>
      <c r="S5" s="31" t="n">
        <f aca="false">O5 *R5</f>
        <v>6000</v>
      </c>
      <c r="T5" s="43" t="n">
        <v>500</v>
      </c>
      <c r="U5" s="31"/>
      <c r="V5" s="31"/>
      <c r="W5" s="31" t="n">
        <v>12</v>
      </c>
      <c r="X5" s="31" t="n">
        <f aca="false">T5 *W5</f>
        <v>6000</v>
      </c>
      <c r="Y5" s="43" t="n">
        <v>500</v>
      </c>
      <c r="Z5" s="31"/>
      <c r="AA5" s="31"/>
      <c r="AB5" s="31" t="n">
        <v>12</v>
      </c>
      <c r="AC5" s="31" t="n">
        <f aca="false">Y5 *AB5</f>
        <v>6000</v>
      </c>
      <c r="AD5" s="44"/>
      <c r="AE5" s="33"/>
      <c r="AF5" s="34"/>
      <c r="AG5" s="35"/>
      <c r="AI5" s="36"/>
      <c r="AJ5" s="37"/>
    </row>
    <row r="6" customFormat="false" ht="24" hidden="false" customHeight="true" outlineLevel="0" collapsed="false">
      <c r="B6" s="24" t="n">
        <v>3</v>
      </c>
      <c r="C6" s="25" t="s">
        <v>25</v>
      </c>
      <c r="D6" s="39" t="s">
        <v>19</v>
      </c>
      <c r="E6" s="40" t="n">
        <v>1</v>
      </c>
      <c r="F6" s="41" t="s">
        <v>20</v>
      </c>
      <c r="G6" s="39" t="s">
        <v>26</v>
      </c>
      <c r="H6" s="42" t="s">
        <v>22</v>
      </c>
      <c r="I6" s="43" t="n">
        <v>154</v>
      </c>
      <c r="J6" s="43" t="n">
        <v>154</v>
      </c>
      <c r="K6" s="31"/>
      <c r="L6" s="31"/>
      <c r="M6" s="31" t="n">
        <v>12</v>
      </c>
      <c r="N6" s="31" t="n">
        <f aca="false">J6 *M6</f>
        <v>1848</v>
      </c>
      <c r="O6" s="43" t="n">
        <v>154</v>
      </c>
      <c r="P6" s="31"/>
      <c r="Q6" s="31"/>
      <c r="R6" s="31" t="n">
        <v>12</v>
      </c>
      <c r="S6" s="31" t="n">
        <f aca="false">O6 *R6</f>
        <v>1848</v>
      </c>
      <c r="T6" s="43" t="n">
        <v>154</v>
      </c>
      <c r="U6" s="31"/>
      <c r="V6" s="31"/>
      <c r="W6" s="31" t="n">
        <v>12</v>
      </c>
      <c r="X6" s="31" t="n">
        <f aca="false">T6 *W6</f>
        <v>1848</v>
      </c>
      <c r="Y6" s="43" t="n">
        <v>154</v>
      </c>
      <c r="Z6" s="31"/>
      <c r="AA6" s="31"/>
      <c r="AB6" s="31" t="n">
        <v>12</v>
      </c>
      <c r="AC6" s="31" t="n">
        <f aca="false">Y6 *AB6</f>
        <v>1848</v>
      </c>
      <c r="AD6" s="32"/>
      <c r="AE6" s="33"/>
      <c r="AF6" s="34"/>
      <c r="AG6" s="35"/>
      <c r="AI6" s="36"/>
      <c r="AJ6" s="37"/>
    </row>
    <row r="7" customFormat="false" ht="24" hidden="false" customHeight="true" outlineLevel="0" collapsed="false">
      <c r="B7" s="38" t="n">
        <v>4</v>
      </c>
      <c r="C7" s="25" t="s">
        <v>27</v>
      </c>
      <c r="D7" s="39" t="s">
        <v>19</v>
      </c>
      <c r="E7" s="40" t="n">
        <v>1</v>
      </c>
      <c r="F7" s="41" t="s">
        <v>20</v>
      </c>
      <c r="G7" s="39" t="s">
        <v>28</v>
      </c>
      <c r="H7" s="42" t="s">
        <v>22</v>
      </c>
      <c r="I7" s="43" t="n">
        <v>283</v>
      </c>
      <c r="J7" s="43" t="n">
        <v>283</v>
      </c>
      <c r="K7" s="31"/>
      <c r="L7" s="31"/>
      <c r="M7" s="31" t="n">
        <v>12</v>
      </c>
      <c r="N7" s="31" t="n">
        <f aca="false">J7 *M7</f>
        <v>3396</v>
      </c>
      <c r="O7" s="43" t="n">
        <v>283</v>
      </c>
      <c r="P7" s="31"/>
      <c r="Q7" s="31"/>
      <c r="R7" s="31" t="n">
        <v>12</v>
      </c>
      <c r="S7" s="31" t="n">
        <f aca="false">O7 *R7</f>
        <v>3396</v>
      </c>
      <c r="T7" s="43" t="n">
        <v>283</v>
      </c>
      <c r="U7" s="31"/>
      <c r="V7" s="31"/>
      <c r="W7" s="31" t="n">
        <v>12</v>
      </c>
      <c r="X7" s="31" t="n">
        <f aca="false">T7 *W7</f>
        <v>3396</v>
      </c>
      <c r="Y7" s="43" t="n">
        <v>283</v>
      </c>
      <c r="Z7" s="31"/>
      <c r="AA7" s="31"/>
      <c r="AB7" s="31" t="n">
        <v>12</v>
      </c>
      <c r="AC7" s="31" t="n">
        <f aca="false">Y7 *AB7</f>
        <v>3396</v>
      </c>
      <c r="AD7" s="44"/>
      <c r="AE7" s="33"/>
      <c r="AF7" s="34"/>
      <c r="AG7" s="35"/>
      <c r="AI7" s="36"/>
      <c r="AJ7" s="37"/>
    </row>
    <row r="8" customFormat="false" ht="24" hidden="false" customHeight="true" outlineLevel="0" collapsed="false">
      <c r="B8" s="24" t="n">
        <v>5</v>
      </c>
      <c r="C8" s="25" t="s">
        <v>29</v>
      </c>
      <c r="D8" s="39" t="s">
        <v>19</v>
      </c>
      <c r="E8" s="40" t="n">
        <v>1</v>
      </c>
      <c r="F8" s="41" t="s">
        <v>20</v>
      </c>
      <c r="G8" s="39" t="s">
        <v>30</v>
      </c>
      <c r="H8" s="42" t="s">
        <v>22</v>
      </c>
      <c r="I8" s="43" t="n">
        <v>0</v>
      </c>
      <c r="J8" s="43" t="n">
        <v>0</v>
      </c>
      <c r="K8" s="31"/>
      <c r="L8" s="31"/>
      <c r="M8" s="31" t="n">
        <v>12</v>
      </c>
      <c r="N8" s="31" t="n">
        <f aca="false">J8 *M8</f>
        <v>0</v>
      </c>
      <c r="O8" s="43" t="n">
        <v>0</v>
      </c>
      <c r="P8" s="31"/>
      <c r="Q8" s="31"/>
      <c r="R8" s="31" t="n">
        <v>12</v>
      </c>
      <c r="S8" s="31" t="n">
        <f aca="false">O8 *R8</f>
        <v>0</v>
      </c>
      <c r="T8" s="43" t="n">
        <v>0</v>
      </c>
      <c r="U8" s="31"/>
      <c r="V8" s="31"/>
      <c r="W8" s="31" t="n">
        <v>12</v>
      </c>
      <c r="X8" s="31" t="n">
        <f aca="false">T8 *W8</f>
        <v>0</v>
      </c>
      <c r="Y8" s="43" t="n">
        <v>0</v>
      </c>
      <c r="Z8" s="31"/>
      <c r="AA8" s="31"/>
      <c r="AB8" s="31" t="n">
        <v>12</v>
      </c>
      <c r="AC8" s="31" t="n">
        <f aca="false">Y8 *AB8</f>
        <v>0</v>
      </c>
      <c r="AD8" s="32"/>
      <c r="AE8" s="33"/>
      <c r="AF8" s="34"/>
      <c r="AG8" s="35"/>
      <c r="AI8" s="36"/>
      <c r="AJ8" s="37"/>
    </row>
    <row r="9" customFormat="false" ht="24" hidden="false" customHeight="true" outlineLevel="0" collapsed="false">
      <c r="B9" s="38" t="n">
        <v>6</v>
      </c>
      <c r="C9" s="25" t="s">
        <v>31</v>
      </c>
      <c r="D9" s="39" t="s">
        <v>19</v>
      </c>
      <c r="E9" s="40" t="n">
        <v>1</v>
      </c>
      <c r="F9" s="41" t="s">
        <v>20</v>
      </c>
      <c r="G9" s="39" t="s">
        <v>32</v>
      </c>
      <c r="H9" s="42" t="s">
        <v>22</v>
      </c>
      <c r="I9" s="43" t="n">
        <v>150</v>
      </c>
      <c r="J9" s="43" t="n">
        <v>150</v>
      </c>
      <c r="K9" s="31"/>
      <c r="L9" s="31"/>
      <c r="M9" s="31" t="n">
        <v>12</v>
      </c>
      <c r="N9" s="31" t="n">
        <f aca="false">J9 *M9</f>
        <v>1800</v>
      </c>
      <c r="O9" s="43" t="n">
        <v>150</v>
      </c>
      <c r="P9" s="31"/>
      <c r="Q9" s="31"/>
      <c r="R9" s="31" t="n">
        <v>12</v>
      </c>
      <c r="S9" s="31" t="n">
        <f aca="false">O9 *R9</f>
        <v>1800</v>
      </c>
      <c r="T9" s="43" t="n">
        <v>150</v>
      </c>
      <c r="U9" s="31"/>
      <c r="V9" s="31"/>
      <c r="W9" s="31" t="n">
        <v>12</v>
      </c>
      <c r="X9" s="31" t="n">
        <f aca="false">T9 *W9</f>
        <v>1800</v>
      </c>
      <c r="Y9" s="43" t="n">
        <v>150</v>
      </c>
      <c r="Z9" s="31"/>
      <c r="AA9" s="31"/>
      <c r="AB9" s="31" t="n">
        <v>12</v>
      </c>
      <c r="AC9" s="31" t="n">
        <f aca="false">Y9 *AB9</f>
        <v>1800</v>
      </c>
      <c r="AD9" s="44"/>
      <c r="AE9" s="33"/>
      <c r="AF9" s="34"/>
      <c r="AG9" s="35"/>
      <c r="AI9" s="36"/>
      <c r="AJ9" s="37"/>
    </row>
    <row r="10" customFormat="false" ht="24" hidden="false" customHeight="true" outlineLevel="0" collapsed="false">
      <c r="B10" s="24" t="n">
        <v>7</v>
      </c>
      <c r="C10" s="25" t="s">
        <v>33</v>
      </c>
      <c r="D10" s="39" t="s">
        <v>19</v>
      </c>
      <c r="E10" s="40" t="n">
        <v>2</v>
      </c>
      <c r="F10" s="41" t="s">
        <v>20</v>
      </c>
      <c r="G10" s="39" t="s">
        <v>34</v>
      </c>
      <c r="H10" s="42" t="s">
        <v>35</v>
      </c>
      <c r="I10" s="45" t="n">
        <v>1250</v>
      </c>
      <c r="J10" s="45" t="n">
        <v>1250</v>
      </c>
      <c r="K10" s="31"/>
      <c r="L10" s="31"/>
      <c r="M10" s="31" t="n">
        <v>6.7</v>
      </c>
      <c r="N10" s="31" t="n">
        <f aca="false">J10 *M10</f>
        <v>8375</v>
      </c>
      <c r="O10" s="45" t="n">
        <v>1250</v>
      </c>
      <c r="P10" s="31"/>
      <c r="Q10" s="31"/>
      <c r="R10" s="31" t="n">
        <v>6.7</v>
      </c>
      <c r="S10" s="31" t="n">
        <f aca="false">O10 *R10</f>
        <v>8375</v>
      </c>
      <c r="T10" s="45" t="n">
        <v>1250</v>
      </c>
      <c r="U10" s="31"/>
      <c r="V10" s="31"/>
      <c r="W10" s="31" t="n">
        <v>6.7</v>
      </c>
      <c r="X10" s="31" t="n">
        <f aca="false">T10 *W10</f>
        <v>8375</v>
      </c>
      <c r="Y10" s="45" t="n">
        <v>1250</v>
      </c>
      <c r="Z10" s="31"/>
      <c r="AA10" s="31"/>
      <c r="AB10" s="31" t="n">
        <v>6.7</v>
      </c>
      <c r="AC10" s="31" t="n">
        <f aca="false">Y10 *AB10</f>
        <v>8375</v>
      </c>
      <c r="AD10" s="32"/>
      <c r="AE10" s="46"/>
      <c r="AF10" s="34"/>
      <c r="AG10" s="35"/>
      <c r="AI10" s="36"/>
      <c r="AJ10" s="37"/>
    </row>
    <row r="11" customFormat="false" ht="24" hidden="false" customHeight="true" outlineLevel="0" collapsed="false">
      <c r="B11" s="38" t="n">
        <v>8</v>
      </c>
      <c r="C11" s="47" t="s">
        <v>36</v>
      </c>
      <c r="D11" s="48" t="s">
        <v>19</v>
      </c>
      <c r="E11" s="49" t="n">
        <v>2</v>
      </c>
      <c r="F11" s="50" t="s">
        <v>19</v>
      </c>
      <c r="G11" s="48" t="s">
        <v>34</v>
      </c>
      <c r="H11" s="51" t="s">
        <v>37</v>
      </c>
      <c r="I11" s="45" t="n">
        <v>6200</v>
      </c>
      <c r="J11" s="45" t="n">
        <v>3550</v>
      </c>
      <c r="K11" s="31"/>
      <c r="L11" s="31"/>
      <c r="M11" s="31" t="n">
        <v>5.2</v>
      </c>
      <c r="N11" s="31" t="n">
        <f aca="false">J11 *M11</f>
        <v>18460</v>
      </c>
      <c r="O11" s="45" t="n">
        <v>3750</v>
      </c>
      <c r="P11" s="31"/>
      <c r="Q11" s="31"/>
      <c r="R11" s="31" t="n">
        <v>5.6</v>
      </c>
      <c r="S11" s="31" t="n">
        <f aca="false">O11 *R11</f>
        <v>21000</v>
      </c>
      <c r="T11" s="45" t="n">
        <v>3750</v>
      </c>
      <c r="U11" s="31"/>
      <c r="V11" s="31"/>
      <c r="W11" s="31" t="n">
        <v>5.6</v>
      </c>
      <c r="X11" s="31" t="n">
        <f aca="false">T11 *W11</f>
        <v>21000</v>
      </c>
      <c r="Y11" s="45" t="n">
        <v>3750</v>
      </c>
      <c r="Z11" s="31"/>
      <c r="AA11" s="31"/>
      <c r="AB11" s="31" t="n">
        <v>5.2</v>
      </c>
      <c r="AC11" s="31" t="n">
        <f aca="false">Y11 *AB11</f>
        <v>19500</v>
      </c>
      <c r="AD11" s="44"/>
      <c r="AE11" s="52"/>
      <c r="AF11" s="34"/>
      <c r="AG11" s="35"/>
      <c r="AH11" s="53"/>
      <c r="AI11" s="36"/>
      <c r="AJ11" s="37"/>
    </row>
    <row r="12" customFormat="false" ht="24" hidden="false" customHeight="true" outlineLevel="0" collapsed="false">
      <c r="B12" s="24" t="n">
        <v>9</v>
      </c>
      <c r="C12" s="25" t="s">
        <v>38</v>
      </c>
      <c r="D12" s="39" t="s">
        <v>19</v>
      </c>
      <c r="E12" s="40" t="n">
        <v>2</v>
      </c>
      <c r="F12" s="41" t="s">
        <v>20</v>
      </c>
      <c r="G12" s="39" t="s">
        <v>39</v>
      </c>
      <c r="H12" s="42" t="s">
        <v>35</v>
      </c>
      <c r="I12" s="43" t="n">
        <v>450</v>
      </c>
      <c r="J12" s="43" t="n">
        <v>450</v>
      </c>
      <c r="K12" s="31"/>
      <c r="L12" s="31"/>
      <c r="M12" s="31" t="n">
        <v>8</v>
      </c>
      <c r="N12" s="31" t="n">
        <f aca="false">J12 *M12</f>
        <v>3600</v>
      </c>
      <c r="O12" s="45" t="n">
        <v>450</v>
      </c>
      <c r="P12" s="31"/>
      <c r="Q12" s="31"/>
      <c r="R12" s="31" t="n">
        <v>8</v>
      </c>
      <c r="S12" s="31" t="n">
        <f aca="false">O12 *R12</f>
        <v>3600</v>
      </c>
      <c r="T12" s="45" t="n">
        <v>450</v>
      </c>
      <c r="U12" s="31"/>
      <c r="V12" s="31"/>
      <c r="W12" s="31" t="n">
        <v>8</v>
      </c>
      <c r="X12" s="31" t="n">
        <f aca="false">T12 *W12</f>
        <v>3600</v>
      </c>
      <c r="Y12" s="45" t="n">
        <v>450</v>
      </c>
      <c r="Z12" s="31"/>
      <c r="AA12" s="31"/>
      <c r="AB12" s="31" t="n">
        <v>8</v>
      </c>
      <c r="AC12" s="31" t="n">
        <f aca="false">Y12 *AB12</f>
        <v>3600</v>
      </c>
      <c r="AD12" s="44"/>
      <c r="AE12" s="33"/>
      <c r="AF12" s="34"/>
      <c r="AG12" s="35"/>
      <c r="AI12" s="36"/>
      <c r="AJ12" s="37"/>
    </row>
    <row r="13" customFormat="false" ht="24" hidden="false" customHeight="true" outlineLevel="0" collapsed="false">
      <c r="B13" s="38" t="n">
        <v>10</v>
      </c>
      <c r="C13" s="25" t="s">
        <v>40</v>
      </c>
      <c r="D13" s="39" t="s">
        <v>19</v>
      </c>
      <c r="E13" s="40" t="n">
        <v>2</v>
      </c>
      <c r="F13" s="41" t="s">
        <v>20</v>
      </c>
      <c r="G13" s="39" t="s">
        <v>41</v>
      </c>
      <c r="H13" s="42" t="s">
        <v>37</v>
      </c>
      <c r="I13" s="54" t="n">
        <v>10450</v>
      </c>
      <c r="J13" s="54" t="n">
        <v>9400</v>
      </c>
      <c r="K13" s="31"/>
      <c r="L13" s="31"/>
      <c r="M13" s="31" t="n">
        <v>4.2</v>
      </c>
      <c r="N13" s="31" t="n">
        <f aca="false">J13 *M13</f>
        <v>39480</v>
      </c>
      <c r="O13" s="54" t="n">
        <v>9400</v>
      </c>
      <c r="P13" s="31"/>
      <c r="Q13" s="31"/>
      <c r="R13" s="31" t="n">
        <v>4.2</v>
      </c>
      <c r="S13" s="31" t="n">
        <f aca="false">O13 *R13</f>
        <v>39480</v>
      </c>
      <c r="T13" s="54" t="n">
        <v>9400</v>
      </c>
      <c r="U13" s="31"/>
      <c r="V13" s="31"/>
      <c r="W13" s="31" t="n">
        <v>4.2</v>
      </c>
      <c r="X13" s="31" t="n">
        <f aca="false">T13 *W13</f>
        <v>39480</v>
      </c>
      <c r="Y13" s="54" t="n">
        <v>9550</v>
      </c>
      <c r="Z13" s="31"/>
      <c r="AA13" s="31"/>
      <c r="AB13" s="31" t="n">
        <v>4.2</v>
      </c>
      <c r="AC13" s="31" t="n">
        <f aca="false">Y13 *AB13</f>
        <v>40110</v>
      </c>
      <c r="AD13" s="32"/>
      <c r="AE13" s="33"/>
      <c r="AF13" s="34"/>
      <c r="AG13" s="35"/>
      <c r="AI13" s="36"/>
      <c r="AJ13" s="37"/>
    </row>
    <row r="14" customFormat="false" ht="24" hidden="false" customHeight="true" outlineLevel="0" collapsed="false">
      <c r="B14" s="24" t="n">
        <v>11</v>
      </c>
      <c r="C14" s="25" t="s">
        <v>42</v>
      </c>
      <c r="D14" s="39" t="s">
        <v>19</v>
      </c>
      <c r="E14" s="40" t="n">
        <v>1</v>
      </c>
      <c r="F14" s="41" t="s">
        <v>43</v>
      </c>
      <c r="G14" s="39" t="s">
        <v>39</v>
      </c>
      <c r="H14" s="42" t="s">
        <v>44</v>
      </c>
      <c r="I14" s="55" t="n">
        <v>425</v>
      </c>
      <c r="J14" s="55" t="n">
        <v>100</v>
      </c>
      <c r="K14" s="56" t="n">
        <v>3.05</v>
      </c>
      <c r="L14" s="31" t="n">
        <v>4.35</v>
      </c>
      <c r="M14" s="31" t="n">
        <f aca="false">K14*L14</f>
        <v>13.2675</v>
      </c>
      <c r="N14" s="31" t="n">
        <f aca="false">J14 *M14</f>
        <v>1326.75</v>
      </c>
      <c r="O14" s="55" t="n">
        <v>675</v>
      </c>
      <c r="P14" s="56" t="n">
        <v>3.05</v>
      </c>
      <c r="Q14" s="31" t="n">
        <v>4.35</v>
      </c>
      <c r="R14" s="31" t="n">
        <f aca="false">P14*Q14</f>
        <v>13.2675</v>
      </c>
      <c r="S14" s="31" t="n">
        <f aca="false">O14 *R14</f>
        <v>8955.5625</v>
      </c>
      <c r="T14" s="55" t="n">
        <v>625</v>
      </c>
      <c r="U14" s="56" t="n">
        <v>3.05</v>
      </c>
      <c r="V14" s="31" t="n">
        <v>4.35</v>
      </c>
      <c r="W14" s="31" t="n">
        <f aca="false">U14*V14</f>
        <v>13.2675</v>
      </c>
      <c r="X14" s="31" t="n">
        <f aca="false">T14 *W14</f>
        <v>8292.1875</v>
      </c>
      <c r="Y14" s="55" t="n">
        <v>625</v>
      </c>
      <c r="Z14" s="56" t="n">
        <v>3.05</v>
      </c>
      <c r="AA14" s="31" t="n">
        <v>4.35</v>
      </c>
      <c r="AB14" s="31" t="n">
        <f aca="false">Z14*AA14</f>
        <v>13.2675</v>
      </c>
      <c r="AC14" s="31" t="n">
        <f aca="false">Y14 *AB14</f>
        <v>8292.1875</v>
      </c>
      <c r="AD14" s="44"/>
      <c r="AE14" s="33"/>
      <c r="AF14" s="34"/>
      <c r="AG14" s="35"/>
      <c r="AI14" s="36"/>
      <c r="AJ14" s="37"/>
    </row>
    <row r="15" customFormat="false" ht="24" hidden="false" customHeight="true" outlineLevel="0" collapsed="false">
      <c r="B15" s="38" t="n">
        <v>12</v>
      </c>
      <c r="C15" s="25" t="s">
        <v>45</v>
      </c>
      <c r="D15" s="39" t="s">
        <v>19</v>
      </c>
      <c r="E15" s="40" t="n">
        <v>1</v>
      </c>
      <c r="F15" s="41" t="s">
        <v>43</v>
      </c>
      <c r="G15" s="39" t="s">
        <v>39</v>
      </c>
      <c r="H15" s="42" t="s">
        <v>46</v>
      </c>
      <c r="I15" s="55" t="n">
        <v>0</v>
      </c>
      <c r="J15" s="55" t="n">
        <v>0</v>
      </c>
      <c r="K15" s="56" t="n">
        <v>2.74</v>
      </c>
      <c r="L15" s="31" t="n">
        <v>4.35</v>
      </c>
      <c r="M15" s="31" t="n">
        <f aca="false">K15 *L15</f>
        <v>11.919</v>
      </c>
      <c r="N15" s="31" t="n">
        <f aca="false">J15 *M15</f>
        <v>0</v>
      </c>
      <c r="O15" s="55" t="n">
        <v>0</v>
      </c>
      <c r="P15" s="56" t="n">
        <v>2.74</v>
      </c>
      <c r="Q15" s="31" t="n">
        <v>4.35</v>
      </c>
      <c r="R15" s="31" t="n">
        <f aca="false">P15 *Q15</f>
        <v>11.919</v>
      </c>
      <c r="S15" s="31" t="n">
        <f aca="false">O15 *R15</f>
        <v>0</v>
      </c>
      <c r="T15" s="55" t="n">
        <v>0</v>
      </c>
      <c r="U15" s="56" t="n">
        <v>2.74</v>
      </c>
      <c r="V15" s="31" t="n">
        <v>4.35</v>
      </c>
      <c r="W15" s="31" t="n">
        <f aca="false">U15 *V15</f>
        <v>11.919</v>
      </c>
      <c r="X15" s="31" t="n">
        <f aca="false">T15 *W15</f>
        <v>0</v>
      </c>
      <c r="Y15" s="55" t="n">
        <v>0</v>
      </c>
      <c r="Z15" s="56" t="n">
        <v>2.74</v>
      </c>
      <c r="AA15" s="31" t="n">
        <v>4.35</v>
      </c>
      <c r="AB15" s="31" t="n">
        <f aca="false">Z15 *AA15</f>
        <v>11.919</v>
      </c>
      <c r="AC15" s="31" t="n">
        <f aca="false">Y15 *AB15</f>
        <v>0</v>
      </c>
      <c r="AD15" s="32"/>
      <c r="AE15" s="33"/>
      <c r="AF15" s="34"/>
      <c r="AG15" s="35"/>
      <c r="AI15" s="36"/>
      <c r="AJ15" s="37"/>
    </row>
    <row r="16" customFormat="false" ht="24" hidden="false" customHeight="true" outlineLevel="0" collapsed="false">
      <c r="B16" s="24" t="n">
        <v>13</v>
      </c>
      <c r="C16" s="25" t="s">
        <v>47</v>
      </c>
      <c r="D16" s="39" t="s">
        <v>19</v>
      </c>
      <c r="E16" s="40" t="n">
        <v>1</v>
      </c>
      <c r="F16" s="41" t="s">
        <v>48</v>
      </c>
      <c r="G16" s="39" t="s">
        <v>34</v>
      </c>
      <c r="H16" s="42" t="s">
        <v>44</v>
      </c>
      <c r="I16" s="55" t="n">
        <v>550</v>
      </c>
      <c r="J16" s="55" t="n">
        <v>575</v>
      </c>
      <c r="K16" s="56" t="n">
        <v>3.05</v>
      </c>
      <c r="L16" s="31" t="n">
        <v>4.35</v>
      </c>
      <c r="M16" s="31" t="n">
        <f aca="false">K16*L16</f>
        <v>13.2675</v>
      </c>
      <c r="N16" s="31" t="n">
        <f aca="false">J16 *M16</f>
        <v>7628.8125</v>
      </c>
      <c r="O16" s="55" t="n">
        <v>575</v>
      </c>
      <c r="P16" s="56" t="n">
        <v>3.05</v>
      </c>
      <c r="Q16" s="31" t="n">
        <v>4.35</v>
      </c>
      <c r="R16" s="31" t="n">
        <f aca="false">P16*Q16</f>
        <v>13.2675</v>
      </c>
      <c r="S16" s="31" t="n">
        <f aca="false">O16 *R16</f>
        <v>7628.8125</v>
      </c>
      <c r="T16" s="55" t="n">
        <v>575</v>
      </c>
      <c r="U16" s="56" t="n">
        <v>3.05</v>
      </c>
      <c r="V16" s="31" t="n">
        <v>4.35</v>
      </c>
      <c r="W16" s="31" t="n">
        <f aca="false">U16*V16</f>
        <v>13.2675</v>
      </c>
      <c r="X16" s="31" t="n">
        <f aca="false">T16 *W16</f>
        <v>7628.8125</v>
      </c>
      <c r="Y16" s="55" t="n">
        <v>1575</v>
      </c>
      <c r="Z16" s="56" t="n">
        <v>3.05</v>
      </c>
      <c r="AA16" s="31" t="n">
        <v>4.35</v>
      </c>
      <c r="AB16" s="31" t="n">
        <f aca="false">Z16*AA16</f>
        <v>13.2675</v>
      </c>
      <c r="AC16" s="31" t="n">
        <f aca="false">Y16 *AB16</f>
        <v>20896.3125</v>
      </c>
      <c r="AD16" s="32"/>
      <c r="AE16" s="33"/>
      <c r="AF16" s="34"/>
      <c r="AG16" s="35"/>
      <c r="AI16" s="36"/>
      <c r="AJ16" s="37"/>
    </row>
    <row r="17" customFormat="false" ht="24" hidden="false" customHeight="true" outlineLevel="0" collapsed="false">
      <c r="B17" s="38" t="n">
        <v>14</v>
      </c>
      <c r="C17" s="25" t="s">
        <v>49</v>
      </c>
      <c r="D17" s="39" t="s">
        <v>19</v>
      </c>
      <c r="E17" s="40" t="n">
        <v>1</v>
      </c>
      <c r="F17" s="41" t="s">
        <v>50</v>
      </c>
      <c r="G17" s="39" t="s">
        <v>39</v>
      </c>
      <c r="H17" s="42" t="s">
        <v>51</v>
      </c>
      <c r="I17" s="55" t="n">
        <v>800</v>
      </c>
      <c r="J17" s="55" t="n">
        <v>475</v>
      </c>
      <c r="K17" s="31"/>
      <c r="L17" s="31"/>
      <c r="M17" s="31" t="n">
        <v>12.59</v>
      </c>
      <c r="N17" s="31" t="n">
        <f aca="false">J17 *M17</f>
        <v>5980.25</v>
      </c>
      <c r="O17" s="55" t="n">
        <v>475</v>
      </c>
      <c r="P17" s="31"/>
      <c r="Q17" s="31"/>
      <c r="R17" s="31" t="n">
        <v>12.59</v>
      </c>
      <c r="S17" s="31" t="n">
        <f aca="false">O17 *R17</f>
        <v>5980.25</v>
      </c>
      <c r="T17" s="55" t="n">
        <v>475</v>
      </c>
      <c r="U17" s="31"/>
      <c r="V17" s="31"/>
      <c r="W17" s="31" t="n">
        <v>12.59</v>
      </c>
      <c r="X17" s="31" t="n">
        <f aca="false">T17 *W17</f>
        <v>5980.25</v>
      </c>
      <c r="Y17" s="55" t="n">
        <v>475</v>
      </c>
      <c r="Z17" s="31"/>
      <c r="AA17" s="31"/>
      <c r="AB17" s="31" t="n">
        <v>12.59</v>
      </c>
      <c r="AC17" s="31" t="n">
        <f aca="false">Y17 *AB17</f>
        <v>5980.25</v>
      </c>
      <c r="AD17" s="44"/>
      <c r="AE17" s="33"/>
      <c r="AF17" s="34"/>
      <c r="AG17" s="35"/>
      <c r="AI17" s="36"/>
      <c r="AJ17" s="37"/>
    </row>
    <row r="18" customFormat="false" ht="24" hidden="false" customHeight="true" outlineLevel="0" collapsed="false">
      <c r="B18" s="24" t="n">
        <v>15</v>
      </c>
      <c r="C18" s="25" t="s">
        <v>52</v>
      </c>
      <c r="D18" s="39" t="s">
        <v>53</v>
      </c>
      <c r="E18" s="40" t="n">
        <v>1</v>
      </c>
      <c r="F18" s="41" t="s">
        <v>54</v>
      </c>
      <c r="G18" s="39" t="s">
        <v>39</v>
      </c>
      <c r="H18" s="42" t="s">
        <v>55</v>
      </c>
      <c r="I18" s="55" t="n">
        <v>0</v>
      </c>
      <c r="J18" s="55" t="n">
        <v>0</v>
      </c>
      <c r="K18" s="31"/>
      <c r="L18" s="31"/>
      <c r="M18" s="31" t="n">
        <v>12.19</v>
      </c>
      <c r="N18" s="31" t="n">
        <f aca="false">J18 *M18</f>
        <v>0</v>
      </c>
      <c r="O18" s="55" t="n">
        <v>0</v>
      </c>
      <c r="P18" s="31"/>
      <c r="Q18" s="31"/>
      <c r="R18" s="31" t="n">
        <v>12.19</v>
      </c>
      <c r="S18" s="31" t="n">
        <f aca="false">O18 *R18</f>
        <v>0</v>
      </c>
      <c r="T18" s="55" t="n">
        <v>0</v>
      </c>
      <c r="U18" s="31"/>
      <c r="V18" s="31"/>
      <c r="W18" s="31" t="n">
        <v>12.19</v>
      </c>
      <c r="X18" s="31" t="n">
        <f aca="false">T18 *W18</f>
        <v>0</v>
      </c>
      <c r="Y18" s="55" t="n">
        <v>0</v>
      </c>
      <c r="Z18" s="31"/>
      <c r="AA18" s="31"/>
      <c r="AB18" s="31" t="n">
        <v>12.19</v>
      </c>
      <c r="AC18" s="31" t="n">
        <f aca="false">Y18 *AB18</f>
        <v>0</v>
      </c>
      <c r="AD18" s="32"/>
      <c r="AE18" s="33"/>
      <c r="AF18" s="34"/>
      <c r="AG18" s="35"/>
      <c r="AI18" s="36"/>
      <c r="AJ18" s="37"/>
    </row>
    <row r="19" customFormat="false" ht="24" hidden="false" customHeight="true" outlineLevel="0" collapsed="false">
      <c r="B19" s="38" t="n">
        <v>16</v>
      </c>
      <c r="C19" s="25" t="s">
        <v>56</v>
      </c>
      <c r="D19" s="39" t="s">
        <v>53</v>
      </c>
      <c r="E19" s="40" t="n">
        <v>1</v>
      </c>
      <c r="F19" s="41" t="s">
        <v>57</v>
      </c>
      <c r="G19" s="39" t="s">
        <v>39</v>
      </c>
      <c r="H19" s="42" t="s">
        <v>44</v>
      </c>
      <c r="I19" s="43" t="n">
        <v>1800</v>
      </c>
      <c r="J19" s="43" t="n">
        <v>1275</v>
      </c>
      <c r="K19" s="56" t="n">
        <v>3.05</v>
      </c>
      <c r="L19" s="56" t="n">
        <v>3.05</v>
      </c>
      <c r="M19" s="31" t="n">
        <f aca="false">K19 * L19</f>
        <v>9.3025</v>
      </c>
      <c r="N19" s="31" t="n">
        <f aca="false">J19 *M19</f>
        <v>11860.6875</v>
      </c>
      <c r="O19" s="45" t="n">
        <v>1350</v>
      </c>
      <c r="P19" s="56" t="n">
        <v>3.05</v>
      </c>
      <c r="Q19" s="56" t="n">
        <v>3.05</v>
      </c>
      <c r="R19" s="31" t="n">
        <f aca="false">P19 * Q19</f>
        <v>9.3025</v>
      </c>
      <c r="S19" s="31" t="n">
        <f aca="false">O19 *R19</f>
        <v>12558.375</v>
      </c>
      <c r="T19" s="43" t="n">
        <v>1350</v>
      </c>
      <c r="U19" s="56" t="n">
        <v>3.05</v>
      </c>
      <c r="V19" s="56" t="n">
        <v>3.05</v>
      </c>
      <c r="W19" s="31" t="n">
        <f aca="false">U19 * V19</f>
        <v>9.3025</v>
      </c>
      <c r="X19" s="31" t="n">
        <f aca="false">T19 *W19</f>
        <v>12558.375</v>
      </c>
      <c r="Y19" s="43" t="n">
        <v>1350</v>
      </c>
      <c r="Z19" s="56" t="n">
        <v>3.05</v>
      </c>
      <c r="AA19" s="56" t="n">
        <v>3.05</v>
      </c>
      <c r="AB19" s="31" t="n">
        <f aca="false">Z19 * AA19</f>
        <v>9.3025</v>
      </c>
      <c r="AC19" s="31" t="n">
        <f aca="false">Y19 *AB19</f>
        <v>12558.375</v>
      </c>
      <c r="AD19" s="57"/>
      <c r="AE19" s="33"/>
      <c r="AF19" s="34"/>
      <c r="AG19" s="35"/>
      <c r="AI19" s="36"/>
      <c r="AJ19" s="37"/>
    </row>
    <row r="20" customFormat="false" ht="24" hidden="false" customHeight="true" outlineLevel="0" collapsed="false">
      <c r="B20" s="24" t="n">
        <v>17</v>
      </c>
      <c r="C20" s="47" t="s">
        <v>58</v>
      </c>
      <c r="D20" s="48" t="s">
        <v>53</v>
      </c>
      <c r="E20" s="49" t="n">
        <v>1</v>
      </c>
      <c r="F20" s="50" t="s">
        <v>57</v>
      </c>
      <c r="G20" s="48" t="s">
        <v>39</v>
      </c>
      <c r="H20" s="51" t="s">
        <v>46</v>
      </c>
      <c r="I20" s="45" t="n">
        <v>0</v>
      </c>
      <c r="J20" s="45" t="n">
        <v>0</v>
      </c>
      <c r="K20" s="31"/>
      <c r="L20" s="31"/>
      <c r="M20" s="31" t="n">
        <v>12.19</v>
      </c>
      <c r="N20" s="31" t="n">
        <f aca="false">J20 *M20</f>
        <v>0</v>
      </c>
      <c r="O20" s="45" t="n">
        <v>0</v>
      </c>
      <c r="P20" s="31"/>
      <c r="Q20" s="31"/>
      <c r="R20" s="31" t="n">
        <v>12.19</v>
      </c>
      <c r="S20" s="31" t="n">
        <f aca="false">O20 *R20</f>
        <v>0</v>
      </c>
      <c r="T20" s="45" t="n">
        <v>0</v>
      </c>
      <c r="U20" s="31"/>
      <c r="V20" s="31"/>
      <c r="W20" s="31" t="n">
        <v>12.19</v>
      </c>
      <c r="X20" s="31" t="n">
        <f aca="false">T20 *W20</f>
        <v>0</v>
      </c>
      <c r="Y20" s="45" t="n">
        <v>0</v>
      </c>
      <c r="Z20" s="31"/>
      <c r="AA20" s="31"/>
      <c r="AB20" s="31" t="n">
        <v>12.19</v>
      </c>
      <c r="AC20" s="31" t="n">
        <f aca="false">Y20 *AB20</f>
        <v>0</v>
      </c>
      <c r="AD20" s="57"/>
      <c r="AE20" s="33"/>
      <c r="AF20" s="34"/>
      <c r="AG20" s="35"/>
      <c r="AI20" s="36"/>
      <c r="AJ20" s="37"/>
    </row>
    <row r="21" customFormat="false" ht="23.25" hidden="false" customHeight="true" outlineLevel="0" collapsed="false">
      <c r="B21" s="38" t="n">
        <v>18</v>
      </c>
      <c r="C21" s="25" t="s">
        <v>59</v>
      </c>
      <c r="D21" s="39" t="s">
        <v>53</v>
      </c>
      <c r="E21" s="40" t="n">
        <v>1</v>
      </c>
      <c r="F21" s="41" t="s">
        <v>60</v>
      </c>
      <c r="G21" s="39" t="s">
        <v>34</v>
      </c>
      <c r="H21" s="42" t="s">
        <v>55</v>
      </c>
      <c r="I21" s="43" t="n">
        <v>675</v>
      </c>
      <c r="J21" s="43" t="n">
        <v>500</v>
      </c>
      <c r="K21" s="31"/>
      <c r="L21" s="31"/>
      <c r="M21" s="31" t="n">
        <v>18.5</v>
      </c>
      <c r="N21" s="31" t="n">
        <f aca="false">J21 *M21</f>
        <v>9250</v>
      </c>
      <c r="O21" s="45" t="n">
        <v>500</v>
      </c>
      <c r="P21" s="31"/>
      <c r="Q21" s="31"/>
      <c r="R21" s="31" t="n">
        <v>18.5</v>
      </c>
      <c r="S21" s="31" t="n">
        <f aca="false">O21 *R21</f>
        <v>9250</v>
      </c>
      <c r="T21" s="43" t="n">
        <v>500</v>
      </c>
      <c r="U21" s="31"/>
      <c r="V21" s="31"/>
      <c r="W21" s="31" t="n">
        <v>18.5</v>
      </c>
      <c r="X21" s="31" t="n">
        <f aca="false">T21 *W21</f>
        <v>9250</v>
      </c>
      <c r="Y21" s="43" t="n">
        <v>500</v>
      </c>
      <c r="Z21" s="31"/>
      <c r="AA21" s="31"/>
      <c r="AB21" s="31" t="n">
        <v>18.5</v>
      </c>
      <c r="AC21" s="31" t="n">
        <f aca="false">Y21 *AB21</f>
        <v>9250</v>
      </c>
      <c r="AD21" s="32"/>
      <c r="AE21" s="33"/>
      <c r="AF21" s="34"/>
      <c r="AG21" s="35"/>
      <c r="AI21" s="36"/>
      <c r="AJ21" s="37"/>
    </row>
    <row r="22" customFormat="false" ht="24" hidden="false" customHeight="true" outlineLevel="0" collapsed="false">
      <c r="B22" s="24" t="n">
        <v>19</v>
      </c>
      <c r="C22" s="25" t="s">
        <v>61</v>
      </c>
      <c r="D22" s="39" t="s">
        <v>62</v>
      </c>
      <c r="E22" s="40" t="n">
        <v>1</v>
      </c>
      <c r="F22" s="41" t="s">
        <v>63</v>
      </c>
      <c r="G22" s="39" t="s">
        <v>39</v>
      </c>
      <c r="H22" s="42" t="s">
        <v>64</v>
      </c>
      <c r="I22" s="43" t="n">
        <v>25</v>
      </c>
      <c r="J22" s="43" t="n">
        <v>25</v>
      </c>
      <c r="K22" s="31"/>
      <c r="L22" s="31"/>
      <c r="M22" s="31" t="n">
        <v>8</v>
      </c>
      <c r="N22" s="31" t="n">
        <f aca="false">J22 *M22</f>
        <v>200</v>
      </c>
      <c r="O22" s="45" t="n">
        <v>25</v>
      </c>
      <c r="P22" s="31"/>
      <c r="Q22" s="31"/>
      <c r="R22" s="31" t="n">
        <v>8</v>
      </c>
      <c r="S22" s="31" t="n">
        <f aca="false">O22 *R22</f>
        <v>200</v>
      </c>
      <c r="T22" s="43" t="n">
        <v>25</v>
      </c>
      <c r="U22" s="31"/>
      <c r="V22" s="31"/>
      <c r="W22" s="31" t="n">
        <v>8</v>
      </c>
      <c r="X22" s="31" t="n">
        <f aca="false">T22 *W22</f>
        <v>200</v>
      </c>
      <c r="Y22" s="43" t="n">
        <v>25</v>
      </c>
      <c r="Z22" s="31"/>
      <c r="AA22" s="31"/>
      <c r="AB22" s="31" t="n">
        <v>8</v>
      </c>
      <c r="AC22" s="31" t="n">
        <f aca="false">Y22 *AB22</f>
        <v>200</v>
      </c>
      <c r="AD22" s="44"/>
      <c r="AE22" s="33"/>
      <c r="AF22" s="34"/>
      <c r="AG22" s="35"/>
      <c r="AI22" s="36"/>
      <c r="AJ22" s="37"/>
    </row>
    <row r="23" customFormat="false" ht="24" hidden="false" customHeight="true" outlineLevel="0" collapsed="false">
      <c r="B23" s="38" t="n">
        <v>20</v>
      </c>
      <c r="C23" s="25" t="s">
        <v>65</v>
      </c>
      <c r="D23" s="39" t="s">
        <v>62</v>
      </c>
      <c r="E23" s="40" t="n">
        <v>1</v>
      </c>
      <c r="F23" s="41" t="s">
        <v>66</v>
      </c>
      <c r="G23" s="39" t="s">
        <v>39</v>
      </c>
      <c r="H23" s="42" t="s">
        <v>67</v>
      </c>
      <c r="I23" s="43" t="n">
        <v>0</v>
      </c>
      <c r="J23" s="43" t="n">
        <v>0</v>
      </c>
      <c r="K23" s="31"/>
      <c r="L23" s="31"/>
      <c r="M23" s="31" t="n">
        <v>5.8</v>
      </c>
      <c r="N23" s="31" t="n">
        <f aca="false">J23 *M23</f>
        <v>0</v>
      </c>
      <c r="O23" s="45" t="n">
        <v>0</v>
      </c>
      <c r="P23" s="31"/>
      <c r="Q23" s="31"/>
      <c r="R23" s="31" t="n">
        <v>5.8</v>
      </c>
      <c r="S23" s="31" t="n">
        <f aca="false">O23 *R23</f>
        <v>0</v>
      </c>
      <c r="T23" s="43" t="n">
        <v>0</v>
      </c>
      <c r="U23" s="31"/>
      <c r="V23" s="31"/>
      <c r="W23" s="31" t="n">
        <v>5.8</v>
      </c>
      <c r="X23" s="31" t="n">
        <f aca="false">T23 *W23</f>
        <v>0</v>
      </c>
      <c r="Y23" s="43" t="n">
        <v>0</v>
      </c>
      <c r="Z23" s="31"/>
      <c r="AA23" s="31"/>
      <c r="AB23" s="31" t="n">
        <v>5.8</v>
      </c>
      <c r="AC23" s="31" t="n">
        <f aca="false">Y23 *AB23</f>
        <v>0</v>
      </c>
      <c r="AD23" s="32"/>
      <c r="AE23" s="33"/>
      <c r="AF23" s="34"/>
      <c r="AG23" s="35"/>
      <c r="AI23" s="36"/>
      <c r="AJ23" s="37"/>
    </row>
    <row r="24" customFormat="false" ht="24" hidden="false" customHeight="true" outlineLevel="0" collapsed="false">
      <c r="B24" s="24" t="n">
        <v>21</v>
      </c>
      <c r="C24" s="25" t="s">
        <v>68</v>
      </c>
      <c r="D24" s="39" t="s">
        <v>62</v>
      </c>
      <c r="E24" s="40" t="n">
        <v>1</v>
      </c>
      <c r="F24" s="41" t="s">
        <v>66</v>
      </c>
      <c r="G24" s="39" t="s">
        <v>39</v>
      </c>
      <c r="H24" s="42" t="s">
        <v>64</v>
      </c>
      <c r="I24" s="43" t="n">
        <v>1050</v>
      </c>
      <c r="J24" s="43" t="n">
        <v>2075</v>
      </c>
      <c r="K24" s="31"/>
      <c r="L24" s="31"/>
      <c r="M24" s="31" t="n">
        <v>5.5</v>
      </c>
      <c r="N24" s="31" t="n">
        <f aca="false">J24 *M24</f>
        <v>11412.5</v>
      </c>
      <c r="O24" s="45" t="n">
        <v>1700</v>
      </c>
      <c r="P24" s="31"/>
      <c r="Q24" s="31"/>
      <c r="R24" s="31" t="n">
        <v>5.5</v>
      </c>
      <c r="S24" s="31" t="n">
        <f aca="false">O24 *R24</f>
        <v>9350</v>
      </c>
      <c r="T24" s="43" t="n">
        <v>1700</v>
      </c>
      <c r="U24" s="31"/>
      <c r="V24" s="31"/>
      <c r="W24" s="31" t="n">
        <v>5.5</v>
      </c>
      <c r="X24" s="31" t="n">
        <f aca="false">T24 *W24</f>
        <v>9350</v>
      </c>
      <c r="Y24" s="43" t="n">
        <v>1700</v>
      </c>
      <c r="Z24" s="31"/>
      <c r="AA24" s="31"/>
      <c r="AB24" s="31" t="n">
        <v>5.5</v>
      </c>
      <c r="AC24" s="31" t="n">
        <f aca="false">Y24 *AB24</f>
        <v>9350</v>
      </c>
      <c r="AD24" s="32"/>
      <c r="AE24" s="33"/>
      <c r="AF24" s="34"/>
      <c r="AG24" s="35"/>
      <c r="AI24" s="36"/>
      <c r="AJ24" s="37"/>
    </row>
    <row r="25" customFormat="false" ht="24" hidden="false" customHeight="true" outlineLevel="0" collapsed="false">
      <c r="B25" s="38" t="n">
        <v>22</v>
      </c>
      <c r="C25" s="25" t="s">
        <v>69</v>
      </c>
      <c r="D25" s="39" t="s">
        <v>70</v>
      </c>
      <c r="E25" s="40" t="n">
        <v>1</v>
      </c>
      <c r="F25" s="41" t="s">
        <v>71</v>
      </c>
      <c r="G25" s="39" t="s">
        <v>39</v>
      </c>
      <c r="H25" s="42" t="s">
        <v>72</v>
      </c>
      <c r="I25" s="43" t="n">
        <v>20</v>
      </c>
      <c r="J25" s="43" t="n">
        <v>20</v>
      </c>
      <c r="K25" s="31"/>
      <c r="L25" s="31"/>
      <c r="M25" s="31" t="n">
        <v>12.9</v>
      </c>
      <c r="N25" s="31" t="n">
        <f aca="false">J25 *M25</f>
        <v>258</v>
      </c>
      <c r="O25" s="45" t="n">
        <v>20</v>
      </c>
      <c r="P25" s="31"/>
      <c r="Q25" s="31"/>
      <c r="R25" s="31" t="n">
        <v>12.9</v>
      </c>
      <c r="S25" s="31" t="n">
        <f aca="false">O25 *R25</f>
        <v>258</v>
      </c>
      <c r="T25" s="43" t="n">
        <v>20</v>
      </c>
      <c r="U25" s="31"/>
      <c r="V25" s="31"/>
      <c r="W25" s="31" t="n">
        <v>12.9</v>
      </c>
      <c r="X25" s="31" t="n">
        <f aca="false">T25 *W25</f>
        <v>258</v>
      </c>
      <c r="Y25" s="43" t="n">
        <v>20</v>
      </c>
      <c r="Z25" s="31"/>
      <c r="AA25" s="31"/>
      <c r="AB25" s="31" t="n">
        <v>12.9</v>
      </c>
      <c r="AC25" s="31" t="n">
        <f aca="false">Y25 *AB25</f>
        <v>258</v>
      </c>
      <c r="AD25" s="44"/>
      <c r="AE25" s="33"/>
      <c r="AF25" s="34"/>
      <c r="AG25" s="35"/>
      <c r="AI25" s="36"/>
      <c r="AJ25" s="37"/>
    </row>
    <row r="26" customFormat="false" ht="27" hidden="false" customHeight="true" outlineLevel="0" collapsed="false">
      <c r="B26" s="24" t="n">
        <v>23</v>
      </c>
      <c r="C26" s="25" t="s">
        <v>73</v>
      </c>
      <c r="D26" s="39" t="s">
        <v>70</v>
      </c>
      <c r="E26" s="40" t="n">
        <v>1</v>
      </c>
      <c r="F26" s="41" t="s">
        <v>74</v>
      </c>
      <c r="G26" s="39" t="s">
        <v>39</v>
      </c>
      <c r="H26" s="42" t="s">
        <v>75</v>
      </c>
      <c r="I26" s="43" t="n">
        <v>600</v>
      </c>
      <c r="J26" s="43" t="n">
        <v>600</v>
      </c>
      <c r="K26" s="56" t="n">
        <v>2.75</v>
      </c>
      <c r="L26" s="31" t="n">
        <v>4.35</v>
      </c>
      <c r="M26" s="31" t="n">
        <f aca="false">K26 *L26</f>
        <v>11.9625</v>
      </c>
      <c r="N26" s="31" t="n">
        <f aca="false">J26 *M26</f>
        <v>7177.5</v>
      </c>
      <c r="O26" s="45" t="n">
        <v>2400</v>
      </c>
      <c r="P26" s="56" t="n">
        <v>2.75</v>
      </c>
      <c r="Q26" s="31" t="n">
        <v>4.35</v>
      </c>
      <c r="R26" s="31" t="n">
        <f aca="false">P26 *Q26</f>
        <v>11.9625</v>
      </c>
      <c r="S26" s="31" t="n">
        <f aca="false">O26 *R26</f>
        <v>28710</v>
      </c>
      <c r="T26" s="43" t="n">
        <v>2400</v>
      </c>
      <c r="U26" s="56" t="n">
        <v>2.75</v>
      </c>
      <c r="V26" s="31" t="n">
        <v>4.35</v>
      </c>
      <c r="W26" s="31" t="n">
        <f aca="false">U26 *V26</f>
        <v>11.9625</v>
      </c>
      <c r="X26" s="31" t="n">
        <f aca="false">T26 *W26</f>
        <v>28710</v>
      </c>
      <c r="Y26" s="43" t="n">
        <v>2150</v>
      </c>
      <c r="Z26" s="56" t="n">
        <v>2.75</v>
      </c>
      <c r="AA26" s="31" t="n">
        <v>4.35</v>
      </c>
      <c r="AB26" s="31" t="n">
        <f aca="false">Z26 *AA26</f>
        <v>11.9625</v>
      </c>
      <c r="AC26" s="31" t="n">
        <f aca="false">Y26 *AB26</f>
        <v>25719.375</v>
      </c>
      <c r="AD26" s="58"/>
      <c r="AE26" s="33"/>
      <c r="AF26" s="34"/>
      <c r="AG26" s="35"/>
      <c r="AH26" s="53"/>
      <c r="AI26" s="36"/>
      <c r="AJ26" s="37"/>
    </row>
    <row r="27" customFormat="false" ht="30.75" hidden="false" customHeight="false" outlineLevel="0" collapsed="false">
      <c r="B27" s="38" t="n">
        <v>24</v>
      </c>
      <c r="C27" s="25" t="s">
        <v>76</v>
      </c>
      <c r="D27" s="39" t="s">
        <v>77</v>
      </c>
      <c r="E27" s="40" t="n">
        <v>1</v>
      </c>
      <c r="F27" s="41" t="s">
        <v>78</v>
      </c>
      <c r="G27" s="39" t="s">
        <v>41</v>
      </c>
      <c r="H27" s="42" t="s">
        <v>67</v>
      </c>
      <c r="I27" s="43" t="n">
        <v>150</v>
      </c>
      <c r="J27" s="43" t="n">
        <v>125</v>
      </c>
      <c r="K27" s="31"/>
      <c r="L27" s="31"/>
      <c r="M27" s="31" t="n">
        <v>11.4</v>
      </c>
      <c r="N27" s="31" t="n">
        <f aca="false">J27 *M27</f>
        <v>1425</v>
      </c>
      <c r="O27" s="45" t="n">
        <v>125</v>
      </c>
      <c r="P27" s="31"/>
      <c r="Q27" s="31"/>
      <c r="R27" s="31" t="n">
        <v>11.4</v>
      </c>
      <c r="S27" s="31" t="n">
        <f aca="false">O27 *R27</f>
        <v>1425</v>
      </c>
      <c r="T27" s="43" t="n">
        <v>125</v>
      </c>
      <c r="U27" s="31"/>
      <c r="V27" s="31"/>
      <c r="W27" s="31" t="n">
        <v>11.4</v>
      </c>
      <c r="X27" s="31" t="n">
        <f aca="false">T27 *W27</f>
        <v>1425</v>
      </c>
      <c r="Y27" s="43" t="n">
        <v>1275</v>
      </c>
      <c r="Z27" s="31"/>
      <c r="AA27" s="31"/>
      <c r="AB27" s="31" t="n">
        <v>11.4</v>
      </c>
      <c r="AC27" s="31" t="n">
        <f aca="false">Y27 *AB27</f>
        <v>14535</v>
      </c>
      <c r="AD27" s="44"/>
      <c r="AE27" s="33"/>
      <c r="AF27" s="34"/>
      <c r="AG27" s="35"/>
      <c r="AH27" s="53"/>
      <c r="AI27" s="36"/>
      <c r="AJ27" s="37"/>
    </row>
    <row r="28" customFormat="false" ht="28.5" hidden="false" customHeight="true" outlineLevel="0" collapsed="false">
      <c r="B28" s="24" t="n">
        <v>25</v>
      </c>
      <c r="C28" s="25" t="s">
        <v>79</v>
      </c>
      <c r="D28" s="39" t="s">
        <v>80</v>
      </c>
      <c r="E28" s="40" t="n">
        <v>1</v>
      </c>
      <c r="F28" s="41" t="s">
        <v>81</v>
      </c>
      <c r="G28" s="39" t="s">
        <v>39</v>
      </c>
      <c r="H28" s="42" t="s">
        <v>67</v>
      </c>
      <c r="I28" s="43" t="n">
        <v>230</v>
      </c>
      <c r="J28" s="43" t="n">
        <v>250</v>
      </c>
      <c r="K28" s="31"/>
      <c r="L28" s="31"/>
      <c r="M28" s="31" t="n">
        <v>13</v>
      </c>
      <c r="N28" s="31" t="n">
        <f aca="false">J28 *M28</f>
        <v>3250</v>
      </c>
      <c r="O28" s="43" t="n">
        <v>650</v>
      </c>
      <c r="P28" s="31"/>
      <c r="Q28" s="31"/>
      <c r="R28" s="31" t="n">
        <v>13</v>
      </c>
      <c r="S28" s="31" t="n">
        <f aca="false">O28 *R28</f>
        <v>8450</v>
      </c>
      <c r="T28" s="43" t="n">
        <v>650</v>
      </c>
      <c r="U28" s="31"/>
      <c r="V28" s="31"/>
      <c r="W28" s="31" t="n">
        <v>13</v>
      </c>
      <c r="X28" s="31" t="n">
        <f aca="false">T28 *W28</f>
        <v>8450</v>
      </c>
      <c r="Y28" s="43" t="n">
        <v>650</v>
      </c>
      <c r="Z28" s="31"/>
      <c r="AA28" s="31"/>
      <c r="AB28" s="31" t="n">
        <v>13</v>
      </c>
      <c r="AC28" s="31" t="n">
        <f aca="false">Y28 *AB28</f>
        <v>8450</v>
      </c>
      <c r="AD28" s="32"/>
      <c r="AE28" s="33"/>
      <c r="AF28" s="34"/>
      <c r="AG28" s="35"/>
      <c r="AH28" s="53"/>
      <c r="AI28" s="36"/>
      <c r="AJ28" s="37"/>
    </row>
    <row r="29" customFormat="false" ht="27" hidden="false" customHeight="true" outlineLevel="0" collapsed="false">
      <c r="B29" s="38" t="n">
        <v>26</v>
      </c>
      <c r="C29" s="25" t="s">
        <v>82</v>
      </c>
      <c r="D29" s="39" t="s">
        <v>83</v>
      </c>
      <c r="E29" s="40" t="n">
        <v>1</v>
      </c>
      <c r="F29" s="41" t="s">
        <v>84</v>
      </c>
      <c r="G29" s="39" t="s">
        <v>39</v>
      </c>
      <c r="H29" s="42" t="s">
        <v>67</v>
      </c>
      <c r="I29" s="43" t="n">
        <v>45</v>
      </c>
      <c r="J29" s="43" t="n">
        <v>50</v>
      </c>
      <c r="K29" s="31"/>
      <c r="L29" s="31"/>
      <c r="M29" s="31" t="n">
        <v>13</v>
      </c>
      <c r="N29" s="31" t="n">
        <f aca="false">J29 *M29</f>
        <v>650</v>
      </c>
      <c r="O29" s="43" t="n">
        <v>50</v>
      </c>
      <c r="P29" s="31"/>
      <c r="Q29" s="31"/>
      <c r="R29" s="31" t="n">
        <v>13</v>
      </c>
      <c r="S29" s="31" t="n">
        <f aca="false">O29 *R29</f>
        <v>650</v>
      </c>
      <c r="T29" s="43" t="n">
        <v>50</v>
      </c>
      <c r="U29" s="31"/>
      <c r="V29" s="31"/>
      <c r="W29" s="31" t="n">
        <v>13</v>
      </c>
      <c r="X29" s="31" t="n">
        <f aca="false">T29 *W29</f>
        <v>650</v>
      </c>
      <c r="Y29" s="43" t="n">
        <v>50</v>
      </c>
      <c r="Z29" s="31"/>
      <c r="AA29" s="31"/>
      <c r="AB29" s="31" t="n">
        <v>13</v>
      </c>
      <c r="AC29" s="31" t="n">
        <f aca="false">Y29 *AB29</f>
        <v>650</v>
      </c>
      <c r="AD29" s="44"/>
      <c r="AE29" s="33"/>
      <c r="AF29" s="34"/>
      <c r="AG29" s="35"/>
      <c r="AH29" s="53"/>
      <c r="AI29" s="36"/>
      <c r="AJ29" s="37"/>
    </row>
    <row r="30" customFormat="false" ht="24.75" hidden="false" customHeight="true" outlineLevel="0" collapsed="false">
      <c r="B30" s="24" t="n">
        <v>27</v>
      </c>
      <c r="C30" s="25" t="s">
        <v>85</v>
      </c>
      <c r="D30" s="39" t="s">
        <v>70</v>
      </c>
      <c r="E30" s="40" t="n">
        <v>1</v>
      </c>
      <c r="F30" s="41" t="s">
        <v>86</v>
      </c>
      <c r="G30" s="39" t="s">
        <v>39</v>
      </c>
      <c r="H30" s="42" t="s">
        <v>67</v>
      </c>
      <c r="I30" s="43" t="n">
        <v>0</v>
      </c>
      <c r="J30" s="43" t="n">
        <v>0</v>
      </c>
      <c r="K30" s="31"/>
      <c r="L30" s="31"/>
      <c r="M30" s="31" t="n">
        <v>11.5</v>
      </c>
      <c r="N30" s="31" t="n">
        <f aca="false">J30 *M30</f>
        <v>0</v>
      </c>
      <c r="O30" s="43" t="n">
        <v>0</v>
      </c>
      <c r="P30" s="31"/>
      <c r="Q30" s="31"/>
      <c r="R30" s="31" t="n">
        <v>11.5</v>
      </c>
      <c r="S30" s="31" t="n">
        <f aca="false">O30 *R30</f>
        <v>0</v>
      </c>
      <c r="T30" s="43" t="n">
        <v>0</v>
      </c>
      <c r="U30" s="31"/>
      <c r="V30" s="31"/>
      <c r="W30" s="31" t="n">
        <v>11.5</v>
      </c>
      <c r="X30" s="31" t="n">
        <f aca="false">T30 *W30</f>
        <v>0</v>
      </c>
      <c r="Y30" s="43" t="n">
        <v>0</v>
      </c>
      <c r="Z30" s="31"/>
      <c r="AA30" s="31"/>
      <c r="AB30" s="31" t="n">
        <v>11.5</v>
      </c>
      <c r="AC30" s="31" t="n">
        <f aca="false">Y30 *AB30</f>
        <v>0</v>
      </c>
      <c r="AD30" s="32"/>
      <c r="AE30" s="33" t="n">
        <v>2375</v>
      </c>
      <c r="AF30" s="34"/>
      <c r="AG30" s="35"/>
      <c r="AH30" s="53"/>
      <c r="AI30" s="36"/>
      <c r="AJ30" s="37"/>
    </row>
    <row r="31" customFormat="false" ht="29.25" hidden="false" customHeight="true" outlineLevel="0" collapsed="false">
      <c r="B31" s="38" t="n">
        <v>28</v>
      </c>
      <c r="C31" s="25" t="s">
        <v>87</v>
      </c>
      <c r="D31" s="39" t="s">
        <v>80</v>
      </c>
      <c r="E31" s="40" t="n">
        <v>1</v>
      </c>
      <c r="F31" s="41" t="s">
        <v>88</v>
      </c>
      <c r="G31" s="39" t="s">
        <v>39</v>
      </c>
      <c r="H31" s="42" t="s">
        <v>89</v>
      </c>
      <c r="I31" s="55" t="n">
        <v>55</v>
      </c>
      <c r="J31" s="55" t="n">
        <v>55</v>
      </c>
      <c r="K31" s="31"/>
      <c r="L31" s="31"/>
      <c r="M31" s="31" t="n">
        <v>10.45</v>
      </c>
      <c r="N31" s="31" t="n">
        <f aca="false">J31 *M31</f>
        <v>574.75</v>
      </c>
      <c r="O31" s="55" t="n">
        <v>55</v>
      </c>
      <c r="P31" s="31"/>
      <c r="Q31" s="31"/>
      <c r="R31" s="31" t="n">
        <v>10.45</v>
      </c>
      <c r="S31" s="31" t="n">
        <f aca="false">O31 *R31</f>
        <v>574.75</v>
      </c>
      <c r="T31" s="55" t="n">
        <v>55</v>
      </c>
      <c r="U31" s="31"/>
      <c r="V31" s="31"/>
      <c r="W31" s="31" t="n">
        <v>10.45</v>
      </c>
      <c r="X31" s="31" t="n">
        <f aca="false">T31 *W31</f>
        <v>574.75</v>
      </c>
      <c r="Y31" s="55" t="n">
        <v>55</v>
      </c>
      <c r="Z31" s="31"/>
      <c r="AA31" s="31"/>
      <c r="AB31" s="31" t="n">
        <v>10.45</v>
      </c>
      <c r="AC31" s="31" t="n">
        <f aca="false">Y31 *AB31</f>
        <v>574.75</v>
      </c>
      <c r="AD31" s="44"/>
      <c r="AE31" s="33"/>
      <c r="AF31" s="34"/>
      <c r="AG31" s="35"/>
      <c r="AH31" s="53"/>
      <c r="AI31" s="36"/>
      <c r="AJ31" s="37"/>
    </row>
    <row r="32" customFormat="false" ht="24" hidden="false" customHeight="true" outlineLevel="0" collapsed="false">
      <c r="B32" s="24" t="n">
        <v>29</v>
      </c>
      <c r="C32" s="47"/>
      <c r="D32" s="48" t="s">
        <v>70</v>
      </c>
      <c r="E32" s="49" t="n">
        <v>1</v>
      </c>
      <c r="F32" s="50" t="s">
        <v>90</v>
      </c>
      <c r="G32" s="48" t="s">
        <v>39</v>
      </c>
      <c r="H32" s="51" t="s">
        <v>67</v>
      </c>
      <c r="I32" s="45" t="n">
        <v>1100</v>
      </c>
      <c r="J32" s="45" t="n">
        <v>875</v>
      </c>
      <c r="K32" s="31"/>
      <c r="L32" s="31"/>
      <c r="M32" s="31" t="n">
        <v>9.8</v>
      </c>
      <c r="N32" s="31" t="n">
        <f aca="false">J32 *M32</f>
        <v>8575</v>
      </c>
      <c r="O32" s="45" t="n">
        <v>800</v>
      </c>
      <c r="P32" s="31"/>
      <c r="Q32" s="31"/>
      <c r="R32" s="31" t="n">
        <v>9.8</v>
      </c>
      <c r="S32" s="31" t="n">
        <f aca="false">O32 *R32</f>
        <v>7840</v>
      </c>
      <c r="T32" s="45" t="n">
        <v>800</v>
      </c>
      <c r="U32" s="31"/>
      <c r="V32" s="31"/>
      <c r="W32" s="31" t="n">
        <v>9.8</v>
      </c>
      <c r="X32" s="31" t="n">
        <f aca="false">T32 *W32</f>
        <v>7840</v>
      </c>
      <c r="Y32" s="45" t="n">
        <v>800</v>
      </c>
      <c r="Z32" s="31"/>
      <c r="AA32" s="31"/>
      <c r="AB32" s="31" t="n">
        <v>9.8</v>
      </c>
      <c r="AC32" s="31" t="n">
        <f aca="false">Y32 *AB32</f>
        <v>7840</v>
      </c>
      <c r="AD32" s="57"/>
      <c r="AE32" s="33"/>
      <c r="AF32" s="34"/>
      <c r="AG32" s="35"/>
      <c r="AI32" s="36"/>
      <c r="AJ32" s="37"/>
    </row>
    <row r="33" customFormat="false" ht="24" hidden="false" customHeight="true" outlineLevel="0" collapsed="false">
      <c r="B33" s="38" t="n">
        <v>30</v>
      </c>
      <c r="C33" s="25" t="s">
        <v>91</v>
      </c>
      <c r="D33" s="39" t="s">
        <v>70</v>
      </c>
      <c r="E33" s="40" t="n">
        <v>1</v>
      </c>
      <c r="F33" s="41" t="s">
        <v>92</v>
      </c>
      <c r="G33" s="39" t="s">
        <v>39</v>
      </c>
      <c r="H33" s="42" t="s">
        <v>93</v>
      </c>
      <c r="I33" s="55" t="n">
        <v>600</v>
      </c>
      <c r="J33" s="55" t="n">
        <v>600</v>
      </c>
      <c r="K33" s="31"/>
      <c r="L33" s="31"/>
      <c r="M33" s="31" t="n">
        <v>15</v>
      </c>
      <c r="N33" s="31" t="n">
        <f aca="false">J33 *M33</f>
        <v>9000</v>
      </c>
      <c r="O33" s="55" t="n">
        <v>600</v>
      </c>
      <c r="P33" s="31"/>
      <c r="Q33" s="31"/>
      <c r="R33" s="31" t="n">
        <v>15</v>
      </c>
      <c r="S33" s="31" t="n">
        <f aca="false">O33 *R33</f>
        <v>9000</v>
      </c>
      <c r="T33" s="55" t="n">
        <v>600</v>
      </c>
      <c r="U33" s="31"/>
      <c r="V33" s="31"/>
      <c r="W33" s="31" t="n">
        <v>15</v>
      </c>
      <c r="X33" s="31" t="n">
        <f aca="false">T33 *W33</f>
        <v>9000</v>
      </c>
      <c r="Y33" s="55" t="n">
        <v>600</v>
      </c>
      <c r="Z33" s="31"/>
      <c r="AA33" s="31"/>
      <c r="AB33" s="31" t="n">
        <v>15</v>
      </c>
      <c r="AC33" s="31" t="n">
        <f aca="false">Y33 *AB33</f>
        <v>9000</v>
      </c>
      <c r="AD33" s="32"/>
      <c r="AE33" s="33"/>
      <c r="AF33" s="34"/>
      <c r="AG33" s="35"/>
      <c r="AH33" s="53"/>
      <c r="AI33" s="36"/>
      <c r="AJ33" s="37"/>
    </row>
    <row r="34" customFormat="false" ht="24" hidden="false" customHeight="true" outlineLevel="0" collapsed="false">
      <c r="B34" s="24" t="n">
        <v>31</v>
      </c>
      <c r="C34" s="25" t="s">
        <v>94</v>
      </c>
      <c r="D34" s="39" t="s">
        <v>95</v>
      </c>
      <c r="E34" s="40" t="n">
        <v>2</v>
      </c>
      <c r="F34" s="41" t="s">
        <v>96</v>
      </c>
      <c r="G34" s="39" t="s">
        <v>39</v>
      </c>
      <c r="H34" s="42" t="s">
        <v>93</v>
      </c>
      <c r="I34" s="55" t="n">
        <v>1700</v>
      </c>
      <c r="J34" s="55" t="n">
        <v>1700</v>
      </c>
      <c r="K34" s="31"/>
      <c r="L34" s="31"/>
      <c r="M34" s="31" t="n">
        <v>9</v>
      </c>
      <c r="N34" s="31" t="n">
        <f aca="false">J34 *M34</f>
        <v>15300</v>
      </c>
      <c r="O34" s="55" t="n">
        <v>1700</v>
      </c>
      <c r="P34" s="31"/>
      <c r="Q34" s="31"/>
      <c r="R34" s="31" t="n">
        <v>9</v>
      </c>
      <c r="S34" s="31" t="n">
        <f aca="false">O34 *R34</f>
        <v>15300</v>
      </c>
      <c r="T34" s="55" t="n">
        <v>1700</v>
      </c>
      <c r="U34" s="31"/>
      <c r="V34" s="31"/>
      <c r="W34" s="31" t="n">
        <v>9</v>
      </c>
      <c r="X34" s="31" t="n">
        <f aca="false">T34 *W34</f>
        <v>15300</v>
      </c>
      <c r="Y34" s="55" t="n">
        <v>1700</v>
      </c>
      <c r="Z34" s="31"/>
      <c r="AA34" s="31"/>
      <c r="AB34" s="31" t="n">
        <v>9</v>
      </c>
      <c r="AC34" s="31" t="n">
        <f aca="false">Y34 *AB34</f>
        <v>15300</v>
      </c>
      <c r="AD34" s="44"/>
      <c r="AE34" s="33"/>
      <c r="AF34" s="34"/>
      <c r="AG34" s="35"/>
      <c r="AH34" s="53"/>
      <c r="AI34" s="36"/>
      <c r="AJ34" s="37"/>
    </row>
    <row r="35" customFormat="false" ht="24" hidden="false" customHeight="true" outlineLevel="0" collapsed="false">
      <c r="B35" s="38" t="n">
        <v>32</v>
      </c>
      <c r="C35" s="25" t="s">
        <v>97</v>
      </c>
      <c r="D35" s="39" t="s">
        <v>98</v>
      </c>
      <c r="E35" s="40" t="n">
        <v>2</v>
      </c>
      <c r="F35" s="41" t="s">
        <v>99</v>
      </c>
      <c r="G35" s="39" t="s">
        <v>39</v>
      </c>
      <c r="H35" s="42" t="s">
        <v>100</v>
      </c>
      <c r="I35" s="54" t="n">
        <v>1000</v>
      </c>
      <c r="J35" s="54" t="n">
        <v>1000</v>
      </c>
      <c r="K35" s="31"/>
      <c r="L35" s="31"/>
      <c r="M35" s="31" t="n">
        <v>6.02</v>
      </c>
      <c r="N35" s="31" t="n">
        <f aca="false">J35 *M35</f>
        <v>6020</v>
      </c>
      <c r="O35" s="54" t="n">
        <v>1000</v>
      </c>
      <c r="P35" s="31"/>
      <c r="Q35" s="31"/>
      <c r="R35" s="31" t="n">
        <v>6.02</v>
      </c>
      <c r="S35" s="31" t="n">
        <f aca="false">O35 *R35</f>
        <v>6020</v>
      </c>
      <c r="T35" s="54" t="n">
        <v>300</v>
      </c>
      <c r="U35" s="31"/>
      <c r="V35" s="31"/>
      <c r="W35" s="31" t="n">
        <v>6.02</v>
      </c>
      <c r="X35" s="31" t="n">
        <f aca="false">T35 *W35</f>
        <v>1806</v>
      </c>
      <c r="Y35" s="54" t="n">
        <v>300</v>
      </c>
      <c r="Z35" s="31"/>
      <c r="AA35" s="31"/>
      <c r="AB35" s="31" t="n">
        <v>6.02</v>
      </c>
      <c r="AC35" s="31" t="n">
        <f aca="false">Y35 *AB35</f>
        <v>1806</v>
      </c>
      <c r="AD35" s="32"/>
      <c r="AE35" s="33"/>
      <c r="AF35" s="34"/>
      <c r="AG35" s="35"/>
      <c r="AH35" s="53"/>
      <c r="AI35" s="36"/>
      <c r="AJ35" s="37"/>
    </row>
    <row r="36" customFormat="false" ht="24" hidden="false" customHeight="true" outlineLevel="0" collapsed="false">
      <c r="B36" s="24" t="n">
        <v>33</v>
      </c>
      <c r="C36" s="25" t="s">
        <v>101</v>
      </c>
      <c r="D36" s="39" t="s">
        <v>95</v>
      </c>
      <c r="E36" s="40" t="n">
        <v>2</v>
      </c>
      <c r="F36" s="41" t="s">
        <v>102</v>
      </c>
      <c r="G36" s="39" t="s">
        <v>39</v>
      </c>
      <c r="H36" s="42" t="s">
        <v>103</v>
      </c>
      <c r="I36" s="55" t="n">
        <v>2700</v>
      </c>
      <c r="J36" s="55" t="n">
        <v>2700</v>
      </c>
      <c r="K36" s="31"/>
      <c r="L36" s="31"/>
      <c r="M36" s="31" t="n">
        <v>7.04</v>
      </c>
      <c r="N36" s="31" t="n">
        <f aca="false">J36 *M36</f>
        <v>19008</v>
      </c>
      <c r="O36" s="55" t="n">
        <v>2700</v>
      </c>
      <c r="P36" s="31"/>
      <c r="Q36" s="31"/>
      <c r="R36" s="31" t="n">
        <v>7.04</v>
      </c>
      <c r="S36" s="31" t="n">
        <f aca="false">O36 *R36</f>
        <v>19008</v>
      </c>
      <c r="T36" s="55" t="n">
        <v>2700</v>
      </c>
      <c r="U36" s="31"/>
      <c r="V36" s="31"/>
      <c r="W36" s="31" t="n">
        <v>7.04</v>
      </c>
      <c r="X36" s="31" t="n">
        <f aca="false">T36 *W36</f>
        <v>19008</v>
      </c>
      <c r="Y36" s="55" t="n">
        <v>2700</v>
      </c>
      <c r="Z36" s="31"/>
      <c r="AA36" s="31"/>
      <c r="AB36" s="31" t="n">
        <v>7.04</v>
      </c>
      <c r="AC36" s="31" t="n">
        <f aca="false">Y36 *AB36</f>
        <v>19008</v>
      </c>
      <c r="AD36" s="44"/>
      <c r="AE36" s="33"/>
      <c r="AF36" s="34"/>
      <c r="AG36" s="35"/>
      <c r="AH36" s="53"/>
      <c r="AI36" s="36"/>
      <c r="AJ36" s="37"/>
    </row>
    <row r="37" customFormat="false" ht="24" hidden="false" customHeight="true" outlineLevel="0" collapsed="false">
      <c r="B37" s="38" t="n">
        <v>34</v>
      </c>
      <c r="C37" s="25" t="s">
        <v>104</v>
      </c>
      <c r="D37" s="39" t="s">
        <v>105</v>
      </c>
      <c r="E37" s="40" t="n">
        <v>1</v>
      </c>
      <c r="F37" s="41" t="s">
        <v>106</v>
      </c>
      <c r="G37" s="39" t="s">
        <v>39</v>
      </c>
      <c r="H37" s="42" t="s">
        <v>44</v>
      </c>
      <c r="I37" s="43" t="n">
        <v>900</v>
      </c>
      <c r="J37" s="43" t="n">
        <v>450</v>
      </c>
      <c r="K37" s="56" t="n">
        <v>1.85</v>
      </c>
      <c r="L37" s="31" t="n">
        <v>4.35</v>
      </c>
      <c r="M37" s="31" t="n">
        <f aca="false">K37 * L37</f>
        <v>8.0475</v>
      </c>
      <c r="N37" s="31" t="n">
        <f aca="false">J37 *M37</f>
        <v>3621.375</v>
      </c>
      <c r="O37" s="43" t="n">
        <v>450</v>
      </c>
      <c r="P37" s="56" t="n">
        <v>1.85</v>
      </c>
      <c r="Q37" s="31" t="n">
        <v>4.35</v>
      </c>
      <c r="R37" s="31" t="n">
        <f aca="false">P37 * Q37</f>
        <v>8.0475</v>
      </c>
      <c r="S37" s="31" t="n">
        <f aca="false">O37 *R37</f>
        <v>3621.375</v>
      </c>
      <c r="T37" s="43" t="n">
        <v>450</v>
      </c>
      <c r="U37" s="56" t="n">
        <v>1.85</v>
      </c>
      <c r="V37" s="31" t="n">
        <v>4.35</v>
      </c>
      <c r="W37" s="31" t="n">
        <f aca="false">U37 * V37</f>
        <v>8.0475</v>
      </c>
      <c r="X37" s="31" t="n">
        <f aca="false">T37 *W37</f>
        <v>3621.375</v>
      </c>
      <c r="Y37" s="43" t="n">
        <v>450</v>
      </c>
      <c r="Z37" s="56" t="n">
        <v>1.85</v>
      </c>
      <c r="AA37" s="31" t="n">
        <v>4.35</v>
      </c>
      <c r="AB37" s="31" t="n">
        <f aca="false">Z37 * AA37</f>
        <v>8.0475</v>
      </c>
      <c r="AC37" s="31" t="n">
        <f aca="false">Y37 *AB37</f>
        <v>3621.375</v>
      </c>
      <c r="AD37" s="32"/>
      <c r="AE37" s="33"/>
      <c r="AF37" s="34"/>
      <c r="AG37" s="35"/>
      <c r="AH37" s="53"/>
      <c r="AI37" s="36"/>
      <c r="AJ37" s="37"/>
    </row>
    <row r="38" customFormat="false" ht="27.75" hidden="false" customHeight="true" outlineLevel="0" collapsed="false">
      <c r="B38" s="24" t="n">
        <v>35</v>
      </c>
      <c r="C38" s="25" t="s">
        <v>107</v>
      </c>
      <c r="D38" s="39" t="s">
        <v>108</v>
      </c>
      <c r="E38" s="40" t="n">
        <v>1</v>
      </c>
      <c r="F38" s="41" t="s">
        <v>109</v>
      </c>
      <c r="G38" s="39" t="s">
        <v>39</v>
      </c>
      <c r="H38" s="42" t="s">
        <v>44</v>
      </c>
      <c r="I38" s="43" t="n">
        <v>1250</v>
      </c>
      <c r="J38" s="43" t="n">
        <v>225</v>
      </c>
      <c r="K38" s="56" t="n">
        <v>2.3</v>
      </c>
      <c r="L38" s="31" t="n">
        <v>4.35</v>
      </c>
      <c r="M38" s="31" t="n">
        <v>10.005</v>
      </c>
      <c r="N38" s="31" t="n">
        <f aca="false">J38 *M38</f>
        <v>2251.125</v>
      </c>
      <c r="O38" s="43" t="n">
        <v>275</v>
      </c>
      <c r="P38" s="56" t="n">
        <v>2.3</v>
      </c>
      <c r="Q38" s="31" t="n">
        <v>4.35</v>
      </c>
      <c r="R38" s="31" t="n">
        <f aca="false">Q38*P38</f>
        <v>10.005</v>
      </c>
      <c r="S38" s="31" t="n">
        <f aca="false">O38 *R38</f>
        <v>2751.375</v>
      </c>
      <c r="T38" s="43" t="n">
        <v>275</v>
      </c>
      <c r="U38" s="56" t="n">
        <v>2.3</v>
      </c>
      <c r="V38" s="31" t="n">
        <v>4.35</v>
      </c>
      <c r="W38" s="31" t="n">
        <v>10.005</v>
      </c>
      <c r="X38" s="31" t="n">
        <f aca="false">T38 *W38</f>
        <v>2751.375</v>
      </c>
      <c r="Y38" s="43" t="n">
        <v>275</v>
      </c>
      <c r="Z38" s="56" t="n">
        <v>2.3</v>
      </c>
      <c r="AA38" s="31" t="n">
        <v>4.35</v>
      </c>
      <c r="AB38" s="31" t="n">
        <v>10.005</v>
      </c>
      <c r="AC38" s="31" t="n">
        <f aca="false">Y38 *AB38</f>
        <v>2751.375</v>
      </c>
      <c r="AD38" s="59"/>
      <c r="AE38" s="33"/>
      <c r="AF38" s="34"/>
      <c r="AG38" s="35"/>
      <c r="AH38" s="53"/>
      <c r="AI38" s="36"/>
      <c r="AJ38" s="37"/>
    </row>
    <row r="39" customFormat="false" ht="24" hidden="false" customHeight="true" outlineLevel="0" collapsed="false">
      <c r="B39" s="38" t="n">
        <v>36</v>
      </c>
      <c r="C39" s="25" t="s">
        <v>110</v>
      </c>
      <c r="D39" s="39" t="s">
        <v>111</v>
      </c>
      <c r="E39" s="40" t="n">
        <v>1</v>
      </c>
      <c r="F39" s="41" t="s">
        <v>112</v>
      </c>
      <c r="G39" s="39" t="s">
        <v>39</v>
      </c>
      <c r="H39" s="42" t="s">
        <v>64</v>
      </c>
      <c r="I39" s="43" t="n">
        <v>325</v>
      </c>
      <c r="J39" s="43" t="n">
        <v>325</v>
      </c>
      <c r="K39" s="56"/>
      <c r="L39" s="31"/>
      <c r="M39" s="31" t="n">
        <v>7.83</v>
      </c>
      <c r="N39" s="31" t="n">
        <f aca="false">J39 *M39</f>
        <v>2544.75</v>
      </c>
      <c r="O39" s="43" t="n">
        <v>420</v>
      </c>
      <c r="P39" s="31"/>
      <c r="Q39" s="31"/>
      <c r="R39" s="31" t="n">
        <v>5.98</v>
      </c>
      <c r="S39" s="31" t="n">
        <f aca="false">O39 *R39</f>
        <v>2511.6</v>
      </c>
      <c r="T39" s="43" t="n">
        <v>420</v>
      </c>
      <c r="U39" s="56"/>
      <c r="V39" s="31"/>
      <c r="W39" s="31" t="n">
        <v>7.83</v>
      </c>
      <c r="X39" s="31" t="n">
        <f aca="false">T39 *W39</f>
        <v>3288.6</v>
      </c>
      <c r="Y39" s="43" t="n">
        <v>1775</v>
      </c>
      <c r="Z39" s="56"/>
      <c r="AA39" s="31"/>
      <c r="AB39" s="31" t="n">
        <v>7.83</v>
      </c>
      <c r="AC39" s="31" t="n">
        <f aca="false">Y39 *AB39</f>
        <v>13898.25</v>
      </c>
      <c r="AD39" s="32"/>
      <c r="AE39" s="33"/>
      <c r="AF39" s="34"/>
      <c r="AG39" s="35"/>
      <c r="AH39" s="53"/>
      <c r="AI39" s="36"/>
      <c r="AJ39" s="37"/>
    </row>
    <row r="40" customFormat="false" ht="24" hidden="false" customHeight="true" outlineLevel="0" collapsed="false">
      <c r="B40" s="24" t="n">
        <v>37</v>
      </c>
      <c r="C40" s="25" t="s">
        <v>113</v>
      </c>
      <c r="D40" s="39" t="s">
        <v>111</v>
      </c>
      <c r="E40" s="40" t="n">
        <v>1</v>
      </c>
      <c r="F40" s="41" t="s">
        <v>114</v>
      </c>
      <c r="G40" s="39" t="s">
        <v>39</v>
      </c>
      <c r="H40" s="42" t="s">
        <v>67</v>
      </c>
      <c r="I40" s="43" t="n">
        <v>25</v>
      </c>
      <c r="J40" s="43" t="n">
        <v>25</v>
      </c>
      <c r="K40" s="31"/>
      <c r="L40" s="31"/>
      <c r="M40" s="31" t="n">
        <v>6.4</v>
      </c>
      <c r="N40" s="31" t="n">
        <f aca="false">J40 *M40</f>
        <v>160</v>
      </c>
      <c r="O40" s="43" t="n">
        <v>25</v>
      </c>
      <c r="P40" s="31"/>
      <c r="Q40" s="31"/>
      <c r="R40" s="31" t="n">
        <v>6.4</v>
      </c>
      <c r="S40" s="31" t="n">
        <f aca="false">O40 *R40</f>
        <v>160</v>
      </c>
      <c r="T40" s="43" t="n">
        <v>25</v>
      </c>
      <c r="U40" s="31"/>
      <c r="V40" s="31"/>
      <c r="W40" s="31" t="n">
        <v>6.4</v>
      </c>
      <c r="X40" s="31" t="n">
        <f aca="false">T40 *W40</f>
        <v>160</v>
      </c>
      <c r="Y40" s="43" t="n">
        <v>25</v>
      </c>
      <c r="Z40" s="31"/>
      <c r="AA40" s="31"/>
      <c r="AB40" s="31" t="n">
        <v>6.4</v>
      </c>
      <c r="AC40" s="31" t="n">
        <f aca="false">Y40 *AB40</f>
        <v>160</v>
      </c>
      <c r="AD40" s="44"/>
      <c r="AE40" s="33"/>
      <c r="AF40" s="34"/>
      <c r="AG40" s="35"/>
      <c r="AH40" s="53"/>
      <c r="AI40" s="36"/>
      <c r="AJ40" s="37"/>
    </row>
    <row r="41" customFormat="false" ht="24" hidden="false" customHeight="true" outlineLevel="0" collapsed="false">
      <c r="B41" s="38" t="n">
        <v>38</v>
      </c>
      <c r="C41" s="25" t="s">
        <v>115</v>
      </c>
      <c r="D41" s="39" t="s">
        <v>111</v>
      </c>
      <c r="E41" s="40" t="n">
        <v>1</v>
      </c>
      <c r="F41" s="41" t="s">
        <v>116</v>
      </c>
      <c r="G41" s="39" t="s">
        <v>39</v>
      </c>
      <c r="H41" s="42" t="s">
        <v>64</v>
      </c>
      <c r="I41" s="43" t="n">
        <v>0</v>
      </c>
      <c r="J41" s="43" t="n">
        <v>0</v>
      </c>
      <c r="K41" s="31"/>
      <c r="L41" s="31"/>
      <c r="M41" s="31" t="n">
        <v>8.5</v>
      </c>
      <c r="N41" s="31" t="n">
        <f aca="false">J41 *M41</f>
        <v>0</v>
      </c>
      <c r="O41" s="43" t="n">
        <v>0</v>
      </c>
      <c r="P41" s="31"/>
      <c r="Q41" s="31"/>
      <c r="R41" s="31" t="n">
        <v>8.5</v>
      </c>
      <c r="S41" s="31" t="n">
        <f aca="false">O41 *R41</f>
        <v>0</v>
      </c>
      <c r="T41" s="43" t="n">
        <v>0</v>
      </c>
      <c r="U41" s="31"/>
      <c r="V41" s="31"/>
      <c r="W41" s="31" t="n">
        <v>8.5</v>
      </c>
      <c r="X41" s="31" t="n">
        <f aca="false">T41 *W41</f>
        <v>0</v>
      </c>
      <c r="Y41" s="43" t="n">
        <v>0</v>
      </c>
      <c r="Z41" s="31"/>
      <c r="AA41" s="31"/>
      <c r="AB41" s="31" t="n">
        <v>8.5</v>
      </c>
      <c r="AC41" s="31" t="n">
        <f aca="false">Y41 *AB41</f>
        <v>0</v>
      </c>
      <c r="AD41" s="58"/>
      <c r="AE41" s="52"/>
      <c r="AF41" s="34"/>
      <c r="AG41" s="35"/>
      <c r="AH41" s="53"/>
      <c r="AI41" s="36"/>
      <c r="AJ41" s="37"/>
    </row>
    <row r="42" customFormat="false" ht="24" hidden="false" customHeight="true" outlineLevel="0" collapsed="false">
      <c r="B42" s="24" t="n">
        <v>39</v>
      </c>
      <c r="C42" s="25" t="s">
        <v>117</v>
      </c>
      <c r="D42" s="39" t="s">
        <v>118</v>
      </c>
      <c r="E42" s="40" t="n">
        <v>2</v>
      </c>
      <c r="F42" s="41" t="s">
        <v>119</v>
      </c>
      <c r="G42" s="39" t="s">
        <v>41</v>
      </c>
      <c r="H42" s="42" t="s">
        <v>37</v>
      </c>
      <c r="I42" s="43" t="n">
        <v>2700</v>
      </c>
      <c r="J42" s="43" t="n">
        <v>2700</v>
      </c>
      <c r="K42" s="31"/>
      <c r="L42" s="31"/>
      <c r="M42" s="31" t="n">
        <v>3.7</v>
      </c>
      <c r="N42" s="31" t="n">
        <f aca="false">J42 *M42</f>
        <v>9990</v>
      </c>
      <c r="O42" s="43" t="n">
        <v>2700</v>
      </c>
      <c r="P42" s="31"/>
      <c r="Q42" s="31"/>
      <c r="R42" s="31" t="n">
        <v>3.7</v>
      </c>
      <c r="S42" s="31" t="n">
        <f aca="false">O42 *R42</f>
        <v>9990</v>
      </c>
      <c r="T42" s="43" t="n">
        <v>2700</v>
      </c>
      <c r="U42" s="31"/>
      <c r="V42" s="31"/>
      <c r="W42" s="31" t="n">
        <v>3.7</v>
      </c>
      <c r="X42" s="31" t="n">
        <f aca="false">T42 *W42</f>
        <v>9990</v>
      </c>
      <c r="Y42" s="43" t="n">
        <v>2700</v>
      </c>
      <c r="Z42" s="31"/>
      <c r="AA42" s="31"/>
      <c r="AB42" s="31" t="n">
        <v>3.7</v>
      </c>
      <c r="AC42" s="31" t="n">
        <f aca="false">Y42 *AB42</f>
        <v>9990</v>
      </c>
      <c r="AD42" s="44"/>
      <c r="AE42" s="52"/>
      <c r="AF42" s="34"/>
      <c r="AG42" s="35"/>
      <c r="AH42" s="53"/>
      <c r="AI42" s="36"/>
      <c r="AJ42" s="37"/>
    </row>
    <row r="43" customFormat="false" ht="24" hidden="false" customHeight="true" outlineLevel="0" collapsed="false">
      <c r="B43" s="38" t="n">
        <v>40</v>
      </c>
      <c r="C43" s="25" t="s">
        <v>120</v>
      </c>
      <c r="D43" s="39" t="s">
        <v>111</v>
      </c>
      <c r="E43" s="40" t="n">
        <v>2</v>
      </c>
      <c r="F43" s="41" t="s">
        <v>121</v>
      </c>
      <c r="G43" s="39" t="s">
        <v>34</v>
      </c>
      <c r="H43" s="42" t="s">
        <v>37</v>
      </c>
      <c r="I43" s="43" t="n">
        <v>2000</v>
      </c>
      <c r="J43" s="43" t="n">
        <v>1700</v>
      </c>
      <c r="K43" s="31"/>
      <c r="L43" s="31"/>
      <c r="M43" s="31" t="n">
        <v>5.5</v>
      </c>
      <c r="N43" s="31" t="n">
        <f aca="false">J43 *M43</f>
        <v>9350</v>
      </c>
      <c r="O43" s="43" t="n">
        <v>1700</v>
      </c>
      <c r="P43" s="31"/>
      <c r="Q43" s="31"/>
      <c r="R43" s="31" t="n">
        <v>5.5</v>
      </c>
      <c r="S43" s="31" t="n">
        <f aca="false">O43 *R43</f>
        <v>9350</v>
      </c>
      <c r="T43" s="43" t="n">
        <v>1700</v>
      </c>
      <c r="U43" s="31"/>
      <c r="V43" s="31"/>
      <c r="W43" s="31" t="n">
        <v>5.5</v>
      </c>
      <c r="X43" s="31" t="n">
        <f aca="false">T43 *W43</f>
        <v>9350</v>
      </c>
      <c r="Y43" s="43" t="n">
        <v>1550</v>
      </c>
      <c r="Z43" s="31"/>
      <c r="AA43" s="31"/>
      <c r="AB43" s="31" t="n">
        <v>5.5</v>
      </c>
      <c r="AC43" s="31" t="n">
        <f aca="false">Y43 *AB43</f>
        <v>8525</v>
      </c>
      <c r="AD43" s="32"/>
      <c r="AE43" s="52"/>
      <c r="AF43" s="34"/>
      <c r="AG43" s="35"/>
      <c r="AH43" s="53"/>
      <c r="AI43" s="36"/>
      <c r="AJ43" s="37"/>
    </row>
    <row r="44" customFormat="false" ht="24" hidden="false" customHeight="true" outlineLevel="0" collapsed="false">
      <c r="B44" s="24" t="n">
        <v>41</v>
      </c>
      <c r="C44" s="25" t="s">
        <v>122</v>
      </c>
      <c r="D44" s="39" t="s">
        <v>111</v>
      </c>
      <c r="E44" s="40" t="n">
        <v>2</v>
      </c>
      <c r="F44" s="41" t="s">
        <v>111</v>
      </c>
      <c r="G44" s="39" t="s">
        <v>34</v>
      </c>
      <c r="H44" s="42" t="s">
        <v>123</v>
      </c>
      <c r="I44" s="43" t="n">
        <v>3000</v>
      </c>
      <c r="J44" s="43" t="n">
        <v>2000</v>
      </c>
      <c r="K44" s="31"/>
      <c r="L44" s="31"/>
      <c r="M44" s="31" t="n">
        <v>3.5</v>
      </c>
      <c r="N44" s="31" t="n">
        <f aca="false">J44 *M44</f>
        <v>7000</v>
      </c>
      <c r="O44" s="43" t="n">
        <v>2000</v>
      </c>
      <c r="P44" s="31"/>
      <c r="Q44" s="31"/>
      <c r="R44" s="31" t="n">
        <v>3.5</v>
      </c>
      <c r="S44" s="31" t="n">
        <f aca="false">O44 *R44</f>
        <v>7000</v>
      </c>
      <c r="T44" s="43" t="n">
        <v>2000</v>
      </c>
      <c r="U44" s="31"/>
      <c r="V44" s="31"/>
      <c r="W44" s="31" t="n">
        <v>3.5</v>
      </c>
      <c r="X44" s="31" t="n">
        <f aca="false">T44 *W44</f>
        <v>7000</v>
      </c>
      <c r="Y44" s="43" t="n">
        <v>2000</v>
      </c>
      <c r="Z44" s="31"/>
      <c r="AA44" s="31"/>
      <c r="AB44" s="31" t="n">
        <v>3.5</v>
      </c>
      <c r="AC44" s="31" t="n">
        <f aca="false">Y44 *AB44</f>
        <v>7000</v>
      </c>
      <c r="AD44" s="44"/>
      <c r="AE44" s="52"/>
      <c r="AF44" s="34"/>
      <c r="AG44" s="35"/>
      <c r="AH44" s="53"/>
      <c r="AI44" s="36"/>
      <c r="AJ44" s="37"/>
    </row>
    <row r="45" customFormat="false" ht="24" hidden="false" customHeight="true" outlineLevel="0" collapsed="false">
      <c r="B45" s="38" t="n">
        <v>42</v>
      </c>
      <c r="C45" s="25" t="s">
        <v>124</v>
      </c>
      <c r="D45" s="39" t="s">
        <v>111</v>
      </c>
      <c r="E45" s="40" t="n">
        <v>1</v>
      </c>
      <c r="F45" s="41" t="s">
        <v>125</v>
      </c>
      <c r="G45" s="39" t="s">
        <v>39</v>
      </c>
      <c r="H45" s="42" t="s">
        <v>67</v>
      </c>
      <c r="I45" s="43" t="n">
        <v>3100</v>
      </c>
      <c r="J45" s="43" t="n">
        <v>2400</v>
      </c>
      <c r="K45" s="31"/>
      <c r="L45" s="31"/>
      <c r="M45" s="31" t="n">
        <v>6.7</v>
      </c>
      <c r="N45" s="31" t="n">
        <f aca="false">J45 *M45</f>
        <v>16080</v>
      </c>
      <c r="O45" s="43" t="n">
        <v>2275</v>
      </c>
      <c r="P45" s="31"/>
      <c r="Q45" s="31"/>
      <c r="R45" s="31" t="n">
        <v>6.7</v>
      </c>
      <c r="S45" s="31" t="n">
        <f aca="false">O45 *R45</f>
        <v>15242.5</v>
      </c>
      <c r="T45" s="43" t="n">
        <v>2275</v>
      </c>
      <c r="U45" s="31"/>
      <c r="V45" s="31"/>
      <c r="W45" s="31" t="n">
        <v>6.7</v>
      </c>
      <c r="X45" s="31" t="n">
        <f aca="false">T45 *W45</f>
        <v>15242.5</v>
      </c>
      <c r="Y45" s="43" t="n">
        <v>2225</v>
      </c>
      <c r="Z45" s="31"/>
      <c r="AA45" s="31"/>
      <c r="AB45" s="31" t="n">
        <v>6.7</v>
      </c>
      <c r="AC45" s="31" t="n">
        <f aca="false">Y45 *AB45</f>
        <v>14907.5</v>
      </c>
      <c r="AD45" s="32"/>
      <c r="AE45" s="52"/>
      <c r="AF45" s="34"/>
      <c r="AG45" s="35"/>
      <c r="AH45" s="53"/>
      <c r="AI45" s="36"/>
      <c r="AJ45" s="37"/>
    </row>
    <row r="46" customFormat="false" ht="24" hidden="false" customHeight="true" outlineLevel="0" collapsed="false">
      <c r="B46" s="24" t="n">
        <v>43</v>
      </c>
      <c r="C46" s="25" t="s">
        <v>126</v>
      </c>
      <c r="D46" s="39" t="s">
        <v>111</v>
      </c>
      <c r="E46" s="40" t="n">
        <v>1</v>
      </c>
      <c r="F46" s="41" t="s">
        <v>127</v>
      </c>
      <c r="G46" s="39" t="s">
        <v>39</v>
      </c>
      <c r="H46" s="42" t="s">
        <v>44</v>
      </c>
      <c r="I46" s="43" t="n">
        <v>6125</v>
      </c>
      <c r="J46" s="43" t="n">
        <v>4725</v>
      </c>
      <c r="K46" s="56" t="n">
        <v>1.8</v>
      </c>
      <c r="L46" s="31" t="n">
        <v>4.35</v>
      </c>
      <c r="M46" s="31" t="n">
        <f aca="false">L46*K46</f>
        <v>7.83</v>
      </c>
      <c r="N46" s="31" t="n">
        <f aca="false">J46 *M46</f>
        <v>36996.75</v>
      </c>
      <c r="O46" s="43" t="n">
        <v>4700</v>
      </c>
      <c r="P46" s="56" t="n">
        <v>1.8</v>
      </c>
      <c r="Q46" s="31" t="n">
        <v>4.35</v>
      </c>
      <c r="R46" s="31" t="n">
        <f aca="false">Q46*P46</f>
        <v>7.83</v>
      </c>
      <c r="S46" s="31" t="n">
        <f aca="false">O46 *R46</f>
        <v>36801</v>
      </c>
      <c r="T46" s="43" t="n">
        <v>4675</v>
      </c>
      <c r="U46" s="56" t="n">
        <v>1.8</v>
      </c>
      <c r="V46" s="31" t="n">
        <v>4.35</v>
      </c>
      <c r="W46" s="31" t="n">
        <f aca="false">V46*U46</f>
        <v>7.83</v>
      </c>
      <c r="X46" s="31" t="n">
        <f aca="false">T46 *W46</f>
        <v>36605.25</v>
      </c>
      <c r="Y46" s="43" t="n">
        <v>4650</v>
      </c>
      <c r="Z46" s="56" t="n">
        <v>1.8</v>
      </c>
      <c r="AA46" s="31" t="n">
        <v>4.35</v>
      </c>
      <c r="AB46" s="31" t="n">
        <f aca="false">AA46*Z46</f>
        <v>7.83</v>
      </c>
      <c r="AC46" s="31" t="n">
        <f aca="false">Y46 *AB46</f>
        <v>36409.5</v>
      </c>
      <c r="AD46" s="44"/>
      <c r="AE46" s="52"/>
      <c r="AF46" s="34"/>
      <c r="AG46" s="35"/>
      <c r="AH46" s="53"/>
      <c r="AI46" s="36"/>
      <c r="AJ46" s="37"/>
    </row>
    <row r="47" customFormat="false" ht="24" hidden="false" customHeight="true" outlineLevel="0" collapsed="false">
      <c r="B47" s="38" t="n">
        <v>44</v>
      </c>
      <c r="C47" s="25" t="s">
        <v>128</v>
      </c>
      <c r="D47" s="39" t="s">
        <v>111</v>
      </c>
      <c r="E47" s="40" t="n">
        <v>1</v>
      </c>
      <c r="F47" s="41" t="s">
        <v>129</v>
      </c>
      <c r="G47" s="39" t="s">
        <v>39</v>
      </c>
      <c r="H47" s="42" t="s">
        <v>44</v>
      </c>
      <c r="I47" s="43" t="n">
        <v>0</v>
      </c>
      <c r="J47" s="43" t="n">
        <v>0</v>
      </c>
      <c r="K47" s="31"/>
      <c r="L47" s="31"/>
      <c r="M47" s="31" t="n">
        <v>1.48</v>
      </c>
      <c r="N47" s="31" t="n">
        <f aca="false">J47 *M47</f>
        <v>0</v>
      </c>
      <c r="O47" s="43" t="n">
        <v>0</v>
      </c>
      <c r="P47" s="31"/>
      <c r="Q47" s="31"/>
      <c r="R47" s="31" t="n">
        <v>1.48</v>
      </c>
      <c r="S47" s="31" t="n">
        <f aca="false">O47 *R47</f>
        <v>0</v>
      </c>
      <c r="T47" s="43" t="n">
        <v>0</v>
      </c>
      <c r="U47" s="31"/>
      <c r="V47" s="31"/>
      <c r="W47" s="31" t="n">
        <v>1.48</v>
      </c>
      <c r="X47" s="31" t="n">
        <f aca="false">T47 *W47</f>
        <v>0</v>
      </c>
      <c r="Y47" s="43" t="n">
        <v>0</v>
      </c>
      <c r="Z47" s="31"/>
      <c r="AA47" s="31"/>
      <c r="AB47" s="31" t="n">
        <v>1.48</v>
      </c>
      <c r="AC47" s="31" t="n">
        <f aca="false">Y47 *AB47</f>
        <v>0</v>
      </c>
      <c r="AD47" s="32"/>
      <c r="AE47" s="52"/>
      <c r="AF47" s="34"/>
      <c r="AG47" s="35"/>
      <c r="AH47" s="53"/>
      <c r="AI47" s="36"/>
      <c r="AJ47" s="37"/>
    </row>
    <row r="48" customFormat="false" ht="24" hidden="false" customHeight="true" outlineLevel="0" collapsed="false">
      <c r="B48" s="24" t="n">
        <v>45</v>
      </c>
      <c r="C48" s="47" t="s">
        <v>130</v>
      </c>
      <c r="D48" s="48" t="s">
        <v>111</v>
      </c>
      <c r="E48" s="49" t="n">
        <v>1</v>
      </c>
      <c r="F48" s="50" t="s">
        <v>131</v>
      </c>
      <c r="G48" s="48" t="s">
        <v>39</v>
      </c>
      <c r="H48" s="51" t="s">
        <v>64</v>
      </c>
      <c r="I48" s="45" t="n">
        <v>3150</v>
      </c>
      <c r="J48" s="45" t="n">
        <v>0</v>
      </c>
      <c r="K48" s="31"/>
      <c r="L48" s="31"/>
      <c r="M48" s="31" t="n">
        <v>5.8</v>
      </c>
      <c r="N48" s="31" t="n">
        <f aca="false">J48 *M48</f>
        <v>0</v>
      </c>
      <c r="O48" s="45" t="n">
        <v>0</v>
      </c>
      <c r="P48" s="31"/>
      <c r="Q48" s="31"/>
      <c r="R48" s="31" t="n">
        <v>5.8</v>
      </c>
      <c r="S48" s="31" t="n">
        <f aca="false">O48 *R48</f>
        <v>0</v>
      </c>
      <c r="T48" s="45" t="n">
        <v>0</v>
      </c>
      <c r="U48" s="31"/>
      <c r="V48" s="31"/>
      <c r="W48" s="31" t="n">
        <v>5.8</v>
      </c>
      <c r="X48" s="31" t="n">
        <f aca="false">T48 *W48</f>
        <v>0</v>
      </c>
      <c r="Y48" s="45" t="n">
        <v>0</v>
      </c>
      <c r="Z48" s="31"/>
      <c r="AA48" s="31"/>
      <c r="AB48" s="31" t="n">
        <v>5.8</v>
      </c>
      <c r="AC48" s="31" t="n">
        <f aca="false">Y48 *AB48</f>
        <v>0</v>
      </c>
      <c r="AD48" s="44"/>
      <c r="AE48" s="52"/>
      <c r="AF48" s="34"/>
      <c r="AG48" s="35"/>
      <c r="AH48" s="53"/>
      <c r="AI48" s="36"/>
      <c r="AJ48" s="37"/>
    </row>
    <row r="49" customFormat="false" ht="24" hidden="false" customHeight="true" outlineLevel="0" collapsed="false">
      <c r="B49" s="38" t="n">
        <v>46</v>
      </c>
      <c r="C49" s="25" t="s">
        <v>132</v>
      </c>
      <c r="D49" s="39" t="s">
        <v>133</v>
      </c>
      <c r="E49" s="40" t="n">
        <v>1</v>
      </c>
      <c r="F49" s="41" t="s">
        <v>134</v>
      </c>
      <c r="G49" s="39" t="s">
        <v>39</v>
      </c>
      <c r="H49" s="42" t="s">
        <v>44</v>
      </c>
      <c r="I49" s="43" t="n">
        <v>1300</v>
      </c>
      <c r="J49" s="43" t="n">
        <v>1450</v>
      </c>
      <c r="K49" s="56" t="n">
        <v>1.95</v>
      </c>
      <c r="L49" s="31" t="n">
        <v>4.35</v>
      </c>
      <c r="M49" s="31" t="n">
        <f aca="false">K49 * L49</f>
        <v>8.4825</v>
      </c>
      <c r="N49" s="31" t="n">
        <f aca="false">J49 *M49</f>
        <v>12299.625</v>
      </c>
      <c r="O49" s="43" t="n">
        <v>800</v>
      </c>
      <c r="P49" s="56" t="n">
        <v>1.95</v>
      </c>
      <c r="Q49" s="31" t="n">
        <v>4.35</v>
      </c>
      <c r="R49" s="31" t="n">
        <f aca="false">P49 * Q49</f>
        <v>8.4825</v>
      </c>
      <c r="S49" s="31" t="n">
        <f aca="false">O49 *R49</f>
        <v>6786</v>
      </c>
      <c r="T49" s="43" t="n">
        <v>800</v>
      </c>
      <c r="U49" s="56" t="n">
        <v>1.95</v>
      </c>
      <c r="V49" s="31" t="n">
        <v>4.35</v>
      </c>
      <c r="W49" s="31" t="n">
        <f aca="false">U49 * V49</f>
        <v>8.4825</v>
      </c>
      <c r="X49" s="31" t="n">
        <f aca="false">T49 *W49</f>
        <v>6786</v>
      </c>
      <c r="Y49" s="43" t="n">
        <v>750</v>
      </c>
      <c r="Z49" s="56" t="n">
        <v>1.95</v>
      </c>
      <c r="AA49" s="31" t="n">
        <v>4.35</v>
      </c>
      <c r="AB49" s="31" t="n">
        <f aca="false">Z49 * AA49</f>
        <v>8.4825</v>
      </c>
      <c r="AC49" s="31" t="n">
        <f aca="false">Y49 *AB49</f>
        <v>6361.875</v>
      </c>
      <c r="AD49" s="44"/>
      <c r="AE49" s="52"/>
      <c r="AF49" s="34"/>
      <c r="AG49" s="35"/>
      <c r="AH49" s="53"/>
      <c r="AI49" s="36"/>
      <c r="AJ49" s="37"/>
    </row>
    <row r="50" customFormat="false" ht="24" hidden="false" customHeight="true" outlineLevel="0" collapsed="false">
      <c r="B50" s="24" t="n">
        <v>47</v>
      </c>
      <c r="C50" s="25" t="s">
        <v>135</v>
      </c>
      <c r="D50" s="39" t="s">
        <v>133</v>
      </c>
      <c r="E50" s="40" t="n">
        <v>1</v>
      </c>
      <c r="F50" s="41" t="s">
        <v>136</v>
      </c>
      <c r="G50" s="39" t="s">
        <v>39</v>
      </c>
      <c r="H50" s="42" t="s">
        <v>44</v>
      </c>
      <c r="I50" s="43" t="n">
        <v>0</v>
      </c>
      <c r="J50" s="43" t="n">
        <v>0</v>
      </c>
      <c r="K50" s="31"/>
      <c r="L50" s="31"/>
      <c r="M50" s="31" t="n">
        <v>10.48</v>
      </c>
      <c r="N50" s="31" t="n">
        <f aca="false">J50 *M50</f>
        <v>0</v>
      </c>
      <c r="O50" s="43" t="n">
        <v>0</v>
      </c>
      <c r="P50" s="31"/>
      <c r="Q50" s="31"/>
      <c r="R50" s="31" t="n">
        <v>10.48</v>
      </c>
      <c r="S50" s="31" t="n">
        <f aca="false">O50 *R50</f>
        <v>0</v>
      </c>
      <c r="T50" s="43" t="n">
        <v>0</v>
      </c>
      <c r="U50" s="31"/>
      <c r="V50" s="31"/>
      <c r="W50" s="31" t="n">
        <v>10.48</v>
      </c>
      <c r="X50" s="31" t="n">
        <f aca="false">T50 *W50</f>
        <v>0</v>
      </c>
      <c r="Y50" s="43" t="n">
        <v>0</v>
      </c>
      <c r="Z50" s="31"/>
      <c r="AA50" s="31"/>
      <c r="AB50" s="31" t="n">
        <v>10.48</v>
      </c>
      <c r="AC50" s="31" t="n">
        <f aca="false">Y50 *AB50</f>
        <v>0</v>
      </c>
      <c r="AD50" s="32"/>
      <c r="AE50" s="52"/>
      <c r="AF50" s="34"/>
      <c r="AG50" s="35"/>
      <c r="AH50" s="53"/>
      <c r="AI50" s="36"/>
      <c r="AJ50" s="37"/>
    </row>
    <row r="51" customFormat="false" ht="24" hidden="false" customHeight="true" outlineLevel="0" collapsed="false">
      <c r="B51" s="38" t="n">
        <v>48</v>
      </c>
      <c r="C51" s="25" t="s">
        <v>137</v>
      </c>
      <c r="D51" s="39" t="s">
        <v>138</v>
      </c>
      <c r="E51" s="40" t="n">
        <v>2</v>
      </c>
      <c r="F51" s="41" t="s">
        <v>139</v>
      </c>
      <c r="G51" s="39" t="s">
        <v>41</v>
      </c>
      <c r="H51" s="42" t="s">
        <v>35</v>
      </c>
      <c r="I51" s="43" t="n">
        <v>5600</v>
      </c>
      <c r="J51" s="43" t="n">
        <v>3400</v>
      </c>
      <c r="K51" s="31"/>
      <c r="L51" s="31"/>
      <c r="M51" s="31" t="n">
        <v>3.5</v>
      </c>
      <c r="N51" s="31" t="n">
        <f aca="false">J51 *M51</f>
        <v>11900</v>
      </c>
      <c r="O51" s="43" t="n">
        <v>3400</v>
      </c>
      <c r="P51" s="31"/>
      <c r="Q51" s="31"/>
      <c r="R51" s="31" t="n">
        <v>3.5</v>
      </c>
      <c r="S51" s="31" t="n">
        <f aca="false">O51 *R51</f>
        <v>11900</v>
      </c>
      <c r="T51" s="43" t="n">
        <v>3400</v>
      </c>
      <c r="U51" s="31"/>
      <c r="V51" s="31"/>
      <c r="W51" s="31" t="n">
        <v>3.5</v>
      </c>
      <c r="X51" s="31" t="n">
        <f aca="false">T51 *W51</f>
        <v>11900</v>
      </c>
      <c r="Y51" s="43" t="n">
        <v>3400</v>
      </c>
      <c r="Z51" s="31"/>
      <c r="AA51" s="31"/>
      <c r="AB51" s="31" t="n">
        <v>3.5</v>
      </c>
      <c r="AC51" s="31" t="n">
        <f aca="false">Y51 *AB51</f>
        <v>11900</v>
      </c>
      <c r="AD51" s="60"/>
      <c r="AE51" s="52"/>
      <c r="AF51" s="34"/>
      <c r="AG51" s="35"/>
      <c r="AH51" s="53"/>
      <c r="AI51" s="36"/>
      <c r="AJ51" s="37"/>
    </row>
    <row r="52" customFormat="false" ht="24" hidden="false" customHeight="true" outlineLevel="0" collapsed="false">
      <c r="B52" s="24" t="n">
        <v>49</v>
      </c>
      <c r="C52" s="25" t="s">
        <v>140</v>
      </c>
      <c r="D52" s="39" t="s">
        <v>141</v>
      </c>
      <c r="E52" s="40" t="n">
        <v>1</v>
      </c>
      <c r="F52" s="41" t="s">
        <v>142</v>
      </c>
      <c r="G52" s="39" t="s">
        <v>39</v>
      </c>
      <c r="H52" s="42" t="s">
        <v>67</v>
      </c>
      <c r="I52" s="43" t="n">
        <v>0</v>
      </c>
      <c r="J52" s="43" t="n">
        <v>0</v>
      </c>
      <c r="K52" s="31"/>
      <c r="L52" s="31"/>
      <c r="M52" s="31" t="n">
        <v>5.85</v>
      </c>
      <c r="N52" s="31" t="n">
        <f aca="false">J52 *M52</f>
        <v>0</v>
      </c>
      <c r="O52" s="43" t="n">
        <v>0</v>
      </c>
      <c r="P52" s="31"/>
      <c r="Q52" s="31"/>
      <c r="R52" s="31" t="n">
        <v>5.85</v>
      </c>
      <c r="S52" s="31" t="n">
        <f aca="false">O52 *R52</f>
        <v>0</v>
      </c>
      <c r="T52" s="43" t="n">
        <v>0</v>
      </c>
      <c r="U52" s="31"/>
      <c r="V52" s="31"/>
      <c r="W52" s="31" t="n">
        <v>5.85</v>
      </c>
      <c r="X52" s="31" t="n">
        <f aca="false">T52 *W52</f>
        <v>0</v>
      </c>
      <c r="Y52" s="43" t="n">
        <v>0</v>
      </c>
      <c r="Z52" s="31"/>
      <c r="AA52" s="31"/>
      <c r="AB52" s="31" t="n">
        <v>5.85</v>
      </c>
      <c r="AC52" s="31" t="n">
        <f aca="false">Y52 *AB52</f>
        <v>0</v>
      </c>
      <c r="AD52" s="32"/>
      <c r="AE52" s="52"/>
      <c r="AF52" s="34"/>
      <c r="AG52" s="35"/>
      <c r="AH52" s="53"/>
      <c r="AI52" s="36"/>
      <c r="AJ52" s="37"/>
    </row>
    <row r="53" customFormat="false" ht="24" hidden="false" customHeight="true" outlineLevel="0" collapsed="false">
      <c r="B53" s="38" t="n">
        <v>50</v>
      </c>
      <c r="C53" s="47" t="s">
        <v>143</v>
      </c>
      <c r="D53" s="48" t="s">
        <v>118</v>
      </c>
      <c r="E53" s="49" t="n">
        <v>1</v>
      </c>
      <c r="F53" s="50" t="s">
        <v>142</v>
      </c>
      <c r="G53" s="48" t="s">
        <v>39</v>
      </c>
      <c r="H53" s="51" t="s">
        <v>64</v>
      </c>
      <c r="I53" s="45" t="n">
        <v>3350</v>
      </c>
      <c r="J53" s="45" t="n">
        <v>3350</v>
      </c>
      <c r="K53" s="31"/>
      <c r="L53" s="31"/>
      <c r="M53" s="31" t="n">
        <v>6</v>
      </c>
      <c r="N53" s="31" t="n">
        <f aca="false">J53 *M53</f>
        <v>20100</v>
      </c>
      <c r="O53" s="45" t="n">
        <v>2850</v>
      </c>
      <c r="P53" s="31"/>
      <c r="Q53" s="31"/>
      <c r="R53" s="31" t="n">
        <v>6</v>
      </c>
      <c r="S53" s="31" t="n">
        <f aca="false">O53 *R53</f>
        <v>17100</v>
      </c>
      <c r="T53" s="45" t="n">
        <v>2850</v>
      </c>
      <c r="U53" s="31"/>
      <c r="V53" s="31"/>
      <c r="W53" s="31" t="n">
        <v>6</v>
      </c>
      <c r="X53" s="31" t="n">
        <f aca="false">T53 *W53</f>
        <v>17100</v>
      </c>
      <c r="Y53" s="45" t="n">
        <v>2200</v>
      </c>
      <c r="Z53" s="31"/>
      <c r="AA53" s="31"/>
      <c r="AB53" s="31" t="n">
        <v>6</v>
      </c>
      <c r="AC53" s="31" t="n">
        <f aca="false">Y53 *AB53</f>
        <v>13200</v>
      </c>
      <c r="AD53" s="32"/>
      <c r="AE53" s="52"/>
      <c r="AF53" s="34"/>
      <c r="AG53" s="35"/>
      <c r="AH53" s="53"/>
      <c r="AI53" s="36"/>
      <c r="AJ53" s="37"/>
    </row>
    <row r="54" customFormat="false" ht="24" hidden="false" customHeight="true" outlineLevel="0" collapsed="false">
      <c r="B54" s="24" t="n">
        <v>51</v>
      </c>
      <c r="C54" s="25" t="s">
        <v>144</v>
      </c>
      <c r="D54" s="39" t="s">
        <v>145</v>
      </c>
      <c r="E54" s="40" t="n">
        <v>2</v>
      </c>
      <c r="F54" s="41" t="s">
        <v>146</v>
      </c>
      <c r="G54" s="39" t="s">
        <v>34</v>
      </c>
      <c r="H54" s="42" t="s">
        <v>147</v>
      </c>
      <c r="I54" s="43" t="n">
        <v>1500</v>
      </c>
      <c r="J54" s="43" t="n">
        <v>1500</v>
      </c>
      <c r="K54" s="31"/>
      <c r="L54" s="31"/>
      <c r="M54" s="31" t="n">
        <v>7.25</v>
      </c>
      <c r="N54" s="31" t="n">
        <f aca="false">J54 *M54</f>
        <v>10875</v>
      </c>
      <c r="O54" s="43" t="n">
        <v>1500</v>
      </c>
      <c r="P54" s="31"/>
      <c r="Q54" s="31"/>
      <c r="R54" s="31" t="n">
        <v>7.25</v>
      </c>
      <c r="S54" s="31" t="n">
        <f aca="false">O54 *R54</f>
        <v>10875</v>
      </c>
      <c r="T54" s="43" t="n">
        <v>1500</v>
      </c>
      <c r="U54" s="31"/>
      <c r="V54" s="31"/>
      <c r="W54" s="31" t="n">
        <v>7.25</v>
      </c>
      <c r="X54" s="31" t="n">
        <f aca="false">T54 *W54</f>
        <v>10875</v>
      </c>
      <c r="Y54" s="43" t="n">
        <v>1500</v>
      </c>
      <c r="Z54" s="31"/>
      <c r="AA54" s="31"/>
      <c r="AB54" s="31" t="n">
        <v>7.25</v>
      </c>
      <c r="AC54" s="31" t="n">
        <f aca="false">Y54 *AB54</f>
        <v>10875</v>
      </c>
      <c r="AD54" s="44"/>
      <c r="AE54" s="52"/>
      <c r="AF54" s="34"/>
      <c r="AG54" s="35"/>
      <c r="AH54" s="53"/>
      <c r="AI54" s="36"/>
      <c r="AJ54" s="37"/>
    </row>
    <row r="55" customFormat="false" ht="24" hidden="false" customHeight="true" outlineLevel="0" collapsed="false">
      <c r="B55" s="38" t="n">
        <v>52</v>
      </c>
      <c r="C55" s="25" t="s">
        <v>148</v>
      </c>
      <c r="D55" s="39" t="s">
        <v>145</v>
      </c>
      <c r="E55" s="40" t="n">
        <v>2</v>
      </c>
      <c r="F55" s="41" t="s">
        <v>149</v>
      </c>
      <c r="G55" s="39" t="s">
        <v>41</v>
      </c>
      <c r="H55" s="42" t="s">
        <v>150</v>
      </c>
      <c r="I55" s="43" t="n">
        <v>500</v>
      </c>
      <c r="J55" s="43" t="n">
        <v>500</v>
      </c>
      <c r="K55" s="31"/>
      <c r="L55" s="31"/>
      <c r="M55" s="31" t="n">
        <v>6.07</v>
      </c>
      <c r="N55" s="31" t="n">
        <f aca="false">J55 *M55</f>
        <v>3035</v>
      </c>
      <c r="O55" s="43" t="n">
        <v>500</v>
      </c>
      <c r="P55" s="31"/>
      <c r="Q55" s="31"/>
      <c r="R55" s="31" t="n">
        <v>6.07</v>
      </c>
      <c r="S55" s="31" t="n">
        <f aca="false">O55 *R55</f>
        <v>3035</v>
      </c>
      <c r="T55" s="43" t="n">
        <v>500</v>
      </c>
      <c r="U55" s="31"/>
      <c r="V55" s="31"/>
      <c r="W55" s="31" t="n">
        <v>6.07</v>
      </c>
      <c r="X55" s="31" t="n">
        <f aca="false">T55 *W55</f>
        <v>3035</v>
      </c>
      <c r="Y55" s="43" t="n">
        <v>500</v>
      </c>
      <c r="Z55" s="31"/>
      <c r="AA55" s="31"/>
      <c r="AB55" s="31" t="n">
        <v>6.07</v>
      </c>
      <c r="AC55" s="31" t="n">
        <f aca="false">Y55 *AB55</f>
        <v>3035</v>
      </c>
      <c r="AD55" s="32"/>
      <c r="AE55" s="52"/>
      <c r="AF55" s="34"/>
      <c r="AG55" s="35"/>
      <c r="AH55" s="53"/>
      <c r="AI55" s="36"/>
      <c r="AJ55" s="37"/>
    </row>
    <row r="56" customFormat="false" ht="24" hidden="false" customHeight="true" outlineLevel="0" collapsed="false">
      <c r="B56" s="24" t="n">
        <v>53</v>
      </c>
      <c r="C56" s="25" t="s">
        <v>151</v>
      </c>
      <c r="D56" s="39" t="s">
        <v>145</v>
      </c>
      <c r="E56" s="40" t="n">
        <v>2</v>
      </c>
      <c r="F56" s="41" t="s">
        <v>152</v>
      </c>
      <c r="G56" s="39" t="s">
        <v>41</v>
      </c>
      <c r="H56" s="42" t="s">
        <v>153</v>
      </c>
      <c r="I56" s="43" t="n">
        <v>2000</v>
      </c>
      <c r="J56" s="43" t="n">
        <v>4000</v>
      </c>
      <c r="K56" s="31"/>
      <c r="L56" s="31"/>
      <c r="M56" s="31" t="n">
        <v>4.6</v>
      </c>
      <c r="N56" s="31" t="n">
        <f aca="false">J56 *M56</f>
        <v>18400</v>
      </c>
      <c r="O56" s="43" t="n">
        <v>4000</v>
      </c>
      <c r="P56" s="31"/>
      <c r="Q56" s="31"/>
      <c r="R56" s="31" t="n">
        <v>4.6</v>
      </c>
      <c r="S56" s="31" t="n">
        <f aca="false">O56 *R56</f>
        <v>18400</v>
      </c>
      <c r="T56" s="43" t="n">
        <v>4000</v>
      </c>
      <c r="U56" s="31"/>
      <c r="V56" s="31"/>
      <c r="W56" s="31" t="n">
        <v>4.6</v>
      </c>
      <c r="X56" s="31" t="n">
        <f aca="false">T56 *W56</f>
        <v>18400</v>
      </c>
      <c r="Y56" s="43" t="n">
        <v>4000</v>
      </c>
      <c r="Z56" s="31"/>
      <c r="AA56" s="31"/>
      <c r="AB56" s="31" t="n">
        <v>4.6</v>
      </c>
      <c r="AC56" s="31" t="n">
        <f aca="false">Y56 *AB56</f>
        <v>18400</v>
      </c>
      <c r="AD56" s="44"/>
      <c r="AE56" s="52"/>
      <c r="AF56" s="34"/>
      <c r="AG56" s="35"/>
      <c r="AH56" s="53"/>
      <c r="AI56" s="36"/>
      <c r="AJ56" s="37"/>
    </row>
    <row r="57" customFormat="false" ht="24" hidden="false" customHeight="true" outlineLevel="0" collapsed="false">
      <c r="B57" s="38" t="n">
        <v>54</v>
      </c>
      <c r="C57" s="25" t="s">
        <v>154</v>
      </c>
      <c r="D57" s="39" t="s">
        <v>145</v>
      </c>
      <c r="E57" s="40" t="n">
        <v>1</v>
      </c>
      <c r="F57" s="41" t="s">
        <v>155</v>
      </c>
      <c r="G57" s="39" t="s">
        <v>39</v>
      </c>
      <c r="H57" s="42" t="s">
        <v>67</v>
      </c>
      <c r="I57" s="43" t="n">
        <v>60</v>
      </c>
      <c r="J57" s="43" t="n">
        <v>60</v>
      </c>
      <c r="K57" s="31"/>
      <c r="L57" s="31"/>
      <c r="M57" s="31" t="n">
        <v>8.1</v>
      </c>
      <c r="N57" s="31" t="n">
        <f aca="false">J57 *M57</f>
        <v>486</v>
      </c>
      <c r="O57" s="43" t="n">
        <v>60</v>
      </c>
      <c r="P57" s="31"/>
      <c r="Q57" s="31"/>
      <c r="R57" s="31" t="n">
        <v>8.1</v>
      </c>
      <c r="S57" s="31" t="n">
        <f aca="false">O57 *R57</f>
        <v>486</v>
      </c>
      <c r="T57" s="43" t="n">
        <v>60</v>
      </c>
      <c r="U57" s="31"/>
      <c r="V57" s="31"/>
      <c r="W57" s="31" t="n">
        <v>8.1</v>
      </c>
      <c r="X57" s="31" t="n">
        <f aca="false">T57 *W57</f>
        <v>486</v>
      </c>
      <c r="Y57" s="43" t="n">
        <v>60</v>
      </c>
      <c r="Z57" s="31"/>
      <c r="AA57" s="31"/>
      <c r="AB57" s="31" t="n">
        <v>8.1</v>
      </c>
      <c r="AC57" s="31" t="n">
        <f aca="false">Y57 *AB57</f>
        <v>486</v>
      </c>
      <c r="AD57" s="32"/>
      <c r="AE57" s="52"/>
      <c r="AF57" s="34"/>
      <c r="AG57" s="35"/>
      <c r="AH57" s="53"/>
      <c r="AI57" s="36"/>
      <c r="AJ57" s="37"/>
    </row>
    <row r="58" customFormat="false" ht="24" hidden="false" customHeight="true" outlineLevel="0" collapsed="false">
      <c r="B58" s="24" t="n">
        <v>55</v>
      </c>
      <c r="C58" s="25" t="s">
        <v>156</v>
      </c>
      <c r="D58" s="39" t="s">
        <v>145</v>
      </c>
      <c r="E58" s="40" t="n">
        <v>1</v>
      </c>
      <c r="F58" s="41" t="s">
        <v>157</v>
      </c>
      <c r="G58" s="39" t="s">
        <v>39</v>
      </c>
      <c r="H58" s="42" t="s">
        <v>67</v>
      </c>
      <c r="I58" s="43" t="n">
        <v>0</v>
      </c>
      <c r="J58" s="43" t="n">
        <v>0</v>
      </c>
      <c r="K58" s="31"/>
      <c r="L58" s="31"/>
      <c r="M58" s="31" t="n">
        <v>7.8</v>
      </c>
      <c r="N58" s="31" t="n">
        <f aca="false">J58 *M58</f>
        <v>0</v>
      </c>
      <c r="O58" s="43" t="n">
        <v>0</v>
      </c>
      <c r="P58" s="31"/>
      <c r="Q58" s="31"/>
      <c r="R58" s="31" t="n">
        <v>7.8</v>
      </c>
      <c r="S58" s="31" t="n">
        <f aca="false">O58 *R58</f>
        <v>0</v>
      </c>
      <c r="T58" s="43" t="n">
        <v>0</v>
      </c>
      <c r="U58" s="31"/>
      <c r="V58" s="31"/>
      <c r="W58" s="31" t="n">
        <v>7.8</v>
      </c>
      <c r="X58" s="31" t="n">
        <f aca="false">T58 *W58</f>
        <v>0</v>
      </c>
      <c r="Y58" s="43" t="n">
        <v>0</v>
      </c>
      <c r="Z58" s="31"/>
      <c r="AA58" s="31"/>
      <c r="AB58" s="31" t="n">
        <v>7.8</v>
      </c>
      <c r="AC58" s="31" t="n">
        <f aca="false">Y58 *AB58</f>
        <v>0</v>
      </c>
      <c r="AD58" s="44"/>
      <c r="AE58" s="52"/>
      <c r="AF58" s="34"/>
      <c r="AG58" s="35"/>
      <c r="AH58" s="53"/>
      <c r="AI58" s="36"/>
      <c r="AJ58" s="37"/>
    </row>
    <row r="59" customFormat="false" ht="24" hidden="false" customHeight="true" outlineLevel="0" collapsed="false">
      <c r="B59" s="38" t="n">
        <v>56</v>
      </c>
      <c r="C59" s="25" t="s">
        <v>158</v>
      </c>
      <c r="D59" s="39" t="s">
        <v>159</v>
      </c>
      <c r="E59" s="40" t="n">
        <v>2</v>
      </c>
      <c r="F59" s="41" t="s">
        <v>160</v>
      </c>
      <c r="G59" s="39" t="s">
        <v>41</v>
      </c>
      <c r="H59" s="42" t="s">
        <v>22</v>
      </c>
      <c r="I59" s="45" t="n">
        <v>4000</v>
      </c>
      <c r="J59" s="45" t="n">
        <v>4000</v>
      </c>
      <c r="K59" s="31"/>
      <c r="L59" s="31"/>
      <c r="M59" s="31" t="n">
        <v>6.9</v>
      </c>
      <c r="N59" s="31" t="n">
        <f aca="false">J59 *M59</f>
        <v>27600</v>
      </c>
      <c r="O59" s="45" t="n">
        <v>3900</v>
      </c>
      <c r="P59" s="31"/>
      <c r="Q59" s="31"/>
      <c r="R59" s="31" t="n">
        <v>6.9</v>
      </c>
      <c r="S59" s="31" t="n">
        <f aca="false">O59 *R59</f>
        <v>26910</v>
      </c>
      <c r="T59" s="45" t="n">
        <v>3900</v>
      </c>
      <c r="U59" s="31"/>
      <c r="V59" s="31"/>
      <c r="W59" s="31" t="n">
        <v>6.9</v>
      </c>
      <c r="X59" s="31" t="n">
        <f aca="false">T59 *W59</f>
        <v>26910</v>
      </c>
      <c r="Y59" s="45" t="n">
        <v>3900</v>
      </c>
      <c r="Z59" s="31"/>
      <c r="AA59" s="31"/>
      <c r="AB59" s="31" t="n">
        <v>6.9</v>
      </c>
      <c r="AC59" s="31" t="n">
        <f aca="false">Y59 *AB59</f>
        <v>26910</v>
      </c>
      <c r="AD59" s="32"/>
      <c r="AE59" s="52"/>
      <c r="AF59" s="34"/>
      <c r="AG59" s="35"/>
      <c r="AH59" s="53"/>
      <c r="AI59" s="36"/>
      <c r="AJ59" s="37"/>
    </row>
    <row r="60" customFormat="false" ht="24" hidden="false" customHeight="true" outlineLevel="0" collapsed="false">
      <c r="B60" s="24" t="n">
        <v>57</v>
      </c>
      <c r="C60" s="25" t="s">
        <v>161</v>
      </c>
      <c r="D60" s="39" t="s">
        <v>159</v>
      </c>
      <c r="E60" s="40" t="n">
        <v>2</v>
      </c>
      <c r="F60" s="41" t="s">
        <v>160</v>
      </c>
      <c r="G60" s="39" t="s">
        <v>34</v>
      </c>
      <c r="H60" s="42" t="s">
        <v>162</v>
      </c>
      <c r="I60" s="45" t="n">
        <v>2250</v>
      </c>
      <c r="J60" s="45" t="n">
        <v>1700</v>
      </c>
      <c r="K60" s="31"/>
      <c r="L60" s="31"/>
      <c r="M60" s="31" t="n">
        <v>6</v>
      </c>
      <c r="N60" s="31" t="n">
        <f aca="false">J60 *M60</f>
        <v>10200</v>
      </c>
      <c r="O60" s="45" t="n">
        <v>1500</v>
      </c>
      <c r="P60" s="31"/>
      <c r="Q60" s="31"/>
      <c r="R60" s="31" t="n">
        <v>6</v>
      </c>
      <c r="S60" s="31" t="n">
        <f aca="false">O60 *R60</f>
        <v>9000</v>
      </c>
      <c r="T60" s="45" t="n">
        <v>1500</v>
      </c>
      <c r="U60" s="31"/>
      <c r="V60" s="31"/>
      <c r="W60" s="31" t="n">
        <v>6</v>
      </c>
      <c r="X60" s="31" t="n">
        <f aca="false">T60 *W60</f>
        <v>9000</v>
      </c>
      <c r="Y60" s="45" t="n">
        <v>1500</v>
      </c>
      <c r="Z60" s="31"/>
      <c r="AA60" s="31"/>
      <c r="AB60" s="31" t="n">
        <v>6</v>
      </c>
      <c r="AC60" s="31" t="n">
        <f aca="false">Y60 *AB60</f>
        <v>9000</v>
      </c>
      <c r="AD60" s="44"/>
      <c r="AE60" s="52"/>
      <c r="AF60" s="34"/>
      <c r="AG60" s="35"/>
      <c r="AH60" s="53"/>
      <c r="AI60" s="36"/>
      <c r="AJ60" s="37"/>
    </row>
    <row r="61" customFormat="false" ht="24" hidden="false" customHeight="true" outlineLevel="0" collapsed="false">
      <c r="B61" s="38" t="n">
        <v>58</v>
      </c>
      <c r="C61" s="25" t="s">
        <v>163</v>
      </c>
      <c r="D61" s="39" t="s">
        <v>159</v>
      </c>
      <c r="E61" s="40" t="n">
        <v>2</v>
      </c>
      <c r="F61" s="41" t="s">
        <v>160</v>
      </c>
      <c r="G61" s="39" t="s">
        <v>34</v>
      </c>
      <c r="H61" s="42" t="s">
        <v>35</v>
      </c>
      <c r="I61" s="45" t="n">
        <v>0</v>
      </c>
      <c r="J61" s="45" t="n">
        <v>0</v>
      </c>
      <c r="K61" s="31"/>
      <c r="L61" s="31"/>
      <c r="M61" s="31" t="n">
        <v>6.7</v>
      </c>
      <c r="N61" s="31" t="n">
        <f aca="false">J61 *M61</f>
        <v>0</v>
      </c>
      <c r="O61" s="45" t="n">
        <v>0</v>
      </c>
      <c r="P61" s="31"/>
      <c r="Q61" s="31"/>
      <c r="R61" s="31" t="n">
        <v>6.7</v>
      </c>
      <c r="S61" s="31" t="n">
        <f aca="false">O61 *R61</f>
        <v>0</v>
      </c>
      <c r="T61" s="45" t="n">
        <v>0</v>
      </c>
      <c r="U61" s="31"/>
      <c r="V61" s="31"/>
      <c r="W61" s="31" t="n">
        <v>6.7</v>
      </c>
      <c r="X61" s="31" t="n">
        <f aca="false">T61 *W61</f>
        <v>0</v>
      </c>
      <c r="Y61" s="45" t="n">
        <v>0</v>
      </c>
      <c r="Z61" s="31"/>
      <c r="AA61" s="31"/>
      <c r="AB61" s="31" t="n">
        <v>6.7</v>
      </c>
      <c r="AC61" s="31" t="n">
        <f aca="false">Y61 *AB61</f>
        <v>0</v>
      </c>
      <c r="AD61" s="32"/>
      <c r="AE61" s="52"/>
      <c r="AF61" s="34"/>
      <c r="AG61" s="35"/>
      <c r="AH61" s="53"/>
      <c r="AI61" s="36"/>
      <c r="AJ61" s="37"/>
    </row>
    <row r="62" customFormat="false" ht="24" hidden="false" customHeight="true" outlineLevel="0" collapsed="false">
      <c r="B62" s="24" t="n">
        <v>59</v>
      </c>
      <c r="C62" s="25" t="s">
        <v>164</v>
      </c>
      <c r="D62" s="39" t="s">
        <v>159</v>
      </c>
      <c r="E62" s="40" t="n">
        <v>2</v>
      </c>
      <c r="F62" s="41" t="s">
        <v>160</v>
      </c>
      <c r="G62" s="39" t="s">
        <v>34</v>
      </c>
      <c r="H62" s="42" t="s">
        <v>22</v>
      </c>
      <c r="I62" s="45" t="n">
        <v>6750</v>
      </c>
      <c r="J62" s="45" t="n">
        <v>2380</v>
      </c>
      <c r="K62" s="31"/>
      <c r="L62" s="31"/>
      <c r="M62" s="31" t="n">
        <v>6</v>
      </c>
      <c r="N62" s="31" t="n">
        <f aca="false">J62 *M62</f>
        <v>14280</v>
      </c>
      <c r="O62" s="45" t="n">
        <v>980</v>
      </c>
      <c r="P62" s="31"/>
      <c r="Q62" s="31"/>
      <c r="R62" s="31" t="n">
        <v>6</v>
      </c>
      <c r="S62" s="31" t="n">
        <f aca="false">O62 *R62</f>
        <v>5880</v>
      </c>
      <c r="T62" s="45" t="n">
        <v>980</v>
      </c>
      <c r="U62" s="31"/>
      <c r="V62" s="31"/>
      <c r="W62" s="31" t="n">
        <v>6</v>
      </c>
      <c r="X62" s="31" t="n">
        <f aca="false">T62 *W62</f>
        <v>5880</v>
      </c>
      <c r="Y62" s="45" t="n">
        <v>980</v>
      </c>
      <c r="Z62" s="31"/>
      <c r="AA62" s="31"/>
      <c r="AB62" s="31" t="n">
        <v>6</v>
      </c>
      <c r="AC62" s="31" t="n">
        <f aca="false">Y62 *AB62</f>
        <v>5880</v>
      </c>
      <c r="AD62" s="44"/>
      <c r="AE62" s="52"/>
      <c r="AF62" s="34"/>
      <c r="AG62" s="35"/>
      <c r="AH62" s="53"/>
      <c r="AI62" s="36"/>
      <c r="AJ62" s="37"/>
    </row>
    <row r="63" customFormat="false" ht="24" hidden="false" customHeight="true" outlineLevel="0" collapsed="false">
      <c r="B63" s="38" t="n">
        <v>60</v>
      </c>
      <c r="C63" s="25" t="s">
        <v>165</v>
      </c>
      <c r="D63" s="39" t="s">
        <v>159</v>
      </c>
      <c r="E63" s="40" t="n">
        <v>2</v>
      </c>
      <c r="F63" s="41" t="s">
        <v>160</v>
      </c>
      <c r="G63" s="39" t="s">
        <v>34</v>
      </c>
      <c r="H63" s="42" t="s">
        <v>166</v>
      </c>
      <c r="I63" s="45" t="n">
        <v>0</v>
      </c>
      <c r="J63" s="45" t="n">
        <v>0</v>
      </c>
      <c r="K63" s="31"/>
      <c r="L63" s="31"/>
      <c r="M63" s="31" t="n">
        <v>6</v>
      </c>
      <c r="N63" s="31" t="n">
        <f aca="false">J63 *M63</f>
        <v>0</v>
      </c>
      <c r="O63" s="45" t="n">
        <v>0</v>
      </c>
      <c r="P63" s="31"/>
      <c r="Q63" s="31"/>
      <c r="R63" s="31" t="n">
        <v>6</v>
      </c>
      <c r="S63" s="31" t="n">
        <f aca="false">O63 *R63</f>
        <v>0</v>
      </c>
      <c r="T63" s="45" t="n">
        <v>0</v>
      </c>
      <c r="U63" s="31"/>
      <c r="V63" s="31"/>
      <c r="W63" s="31" t="n">
        <v>6</v>
      </c>
      <c r="X63" s="31" t="n">
        <f aca="false">T63 *W63</f>
        <v>0</v>
      </c>
      <c r="Y63" s="45" t="n">
        <v>0</v>
      </c>
      <c r="Z63" s="31"/>
      <c r="AA63" s="31"/>
      <c r="AB63" s="31" t="n">
        <v>6</v>
      </c>
      <c r="AC63" s="31" t="n">
        <f aca="false">Y63 *AB63</f>
        <v>0</v>
      </c>
      <c r="AD63" s="32"/>
      <c r="AE63" s="52"/>
      <c r="AF63" s="34"/>
      <c r="AG63" s="35"/>
      <c r="AH63" s="53"/>
      <c r="AI63" s="36"/>
      <c r="AJ63" s="37"/>
    </row>
    <row r="64" customFormat="false" ht="24" hidden="false" customHeight="true" outlineLevel="0" collapsed="false">
      <c r="B64" s="24" t="n">
        <v>61</v>
      </c>
      <c r="C64" s="25" t="s">
        <v>167</v>
      </c>
      <c r="D64" s="39" t="s">
        <v>159</v>
      </c>
      <c r="E64" s="40" t="n">
        <v>1</v>
      </c>
      <c r="F64" s="41" t="s">
        <v>160</v>
      </c>
      <c r="G64" s="39" t="s">
        <v>34</v>
      </c>
      <c r="H64" s="42" t="s">
        <v>166</v>
      </c>
      <c r="I64" s="43" t="n">
        <v>0</v>
      </c>
      <c r="J64" s="43" t="n">
        <v>0</v>
      </c>
      <c r="K64" s="31"/>
      <c r="L64" s="31"/>
      <c r="M64" s="31" t="n">
        <v>6.3</v>
      </c>
      <c r="N64" s="31" t="n">
        <f aca="false">J64 *M64</f>
        <v>0</v>
      </c>
      <c r="O64" s="45" t="n">
        <v>0</v>
      </c>
      <c r="P64" s="31"/>
      <c r="Q64" s="31"/>
      <c r="R64" s="31" t="n">
        <v>6.3</v>
      </c>
      <c r="S64" s="31" t="n">
        <f aca="false">O64 *R64</f>
        <v>0</v>
      </c>
      <c r="T64" s="43" t="n">
        <v>0</v>
      </c>
      <c r="U64" s="31"/>
      <c r="V64" s="31"/>
      <c r="W64" s="31" t="n">
        <v>6.3</v>
      </c>
      <c r="X64" s="31" t="n">
        <f aca="false">T64 *W64</f>
        <v>0</v>
      </c>
      <c r="Y64" s="43" t="n">
        <v>0</v>
      </c>
      <c r="Z64" s="31"/>
      <c r="AA64" s="31"/>
      <c r="AB64" s="31" t="n">
        <v>6.3</v>
      </c>
      <c r="AC64" s="31" t="n">
        <f aca="false">Y64 *AB64</f>
        <v>0</v>
      </c>
      <c r="AD64" s="44"/>
      <c r="AE64" s="52"/>
      <c r="AF64" s="34"/>
      <c r="AG64" s="35"/>
      <c r="AH64" s="53"/>
      <c r="AI64" s="36"/>
      <c r="AJ64" s="37"/>
    </row>
    <row r="65" customFormat="false" ht="24" hidden="false" customHeight="true" outlineLevel="0" collapsed="false">
      <c r="B65" s="38" t="n">
        <v>62</v>
      </c>
      <c r="C65" s="25" t="s">
        <v>168</v>
      </c>
      <c r="D65" s="39" t="s">
        <v>159</v>
      </c>
      <c r="E65" s="40" t="n">
        <v>1</v>
      </c>
      <c r="F65" s="41" t="s">
        <v>169</v>
      </c>
      <c r="G65" s="39" t="s">
        <v>170</v>
      </c>
      <c r="H65" s="42" t="s">
        <v>67</v>
      </c>
      <c r="I65" s="43" t="n">
        <v>925</v>
      </c>
      <c r="J65" s="43" t="n">
        <v>700</v>
      </c>
      <c r="K65" s="31"/>
      <c r="L65" s="31"/>
      <c r="M65" s="61" t="n">
        <v>11.5</v>
      </c>
      <c r="N65" s="31" t="n">
        <f aca="false">J65 *M65</f>
        <v>8050</v>
      </c>
      <c r="O65" s="45" t="n">
        <v>525</v>
      </c>
      <c r="P65" s="31"/>
      <c r="Q65" s="31"/>
      <c r="R65" s="61" t="n">
        <v>11.5</v>
      </c>
      <c r="S65" s="31" t="n">
        <f aca="false">O65 *R65</f>
        <v>6037.5</v>
      </c>
      <c r="T65" s="43" t="n">
        <v>1250</v>
      </c>
      <c r="U65" s="31"/>
      <c r="V65" s="31"/>
      <c r="W65" s="61" t="n">
        <v>11.5</v>
      </c>
      <c r="X65" s="31" t="n">
        <f aca="false">T65 *W65</f>
        <v>14375</v>
      </c>
      <c r="Y65" s="43" t="n">
        <v>1150</v>
      </c>
      <c r="Z65" s="31"/>
      <c r="AA65" s="31"/>
      <c r="AB65" s="61" t="n">
        <v>11.5</v>
      </c>
      <c r="AC65" s="31" t="n">
        <f aca="false">Y65 *AB65</f>
        <v>13225</v>
      </c>
      <c r="AD65" s="32"/>
      <c r="AE65" s="52"/>
      <c r="AF65" s="34"/>
      <c r="AG65" s="35"/>
      <c r="AH65" s="53"/>
      <c r="AI65" s="36"/>
      <c r="AJ65" s="37"/>
    </row>
    <row r="66" customFormat="false" ht="28.5" hidden="false" customHeight="true" outlineLevel="0" collapsed="false">
      <c r="B66" s="24" t="n">
        <v>63</v>
      </c>
      <c r="C66" s="25" t="s">
        <v>171</v>
      </c>
      <c r="D66" s="39" t="s">
        <v>172</v>
      </c>
      <c r="E66" s="40" t="n">
        <v>1</v>
      </c>
      <c r="F66" s="41" t="s">
        <v>173</v>
      </c>
      <c r="G66" s="39" t="s">
        <v>39</v>
      </c>
      <c r="H66" s="42" t="s">
        <v>44</v>
      </c>
      <c r="I66" s="43" t="n">
        <v>70</v>
      </c>
      <c r="J66" s="43" t="n">
        <v>70</v>
      </c>
      <c r="K66" s="31"/>
      <c r="L66" s="31"/>
      <c r="M66" s="31" t="n">
        <v>18.48</v>
      </c>
      <c r="N66" s="31" t="n">
        <f aca="false">J66 *M66</f>
        <v>1293.6</v>
      </c>
      <c r="O66" s="45" t="n">
        <v>70</v>
      </c>
      <c r="P66" s="31"/>
      <c r="Q66" s="31"/>
      <c r="R66" s="31" t="n">
        <v>18.48</v>
      </c>
      <c r="S66" s="31" t="n">
        <f aca="false">O66 *R66</f>
        <v>1293.6</v>
      </c>
      <c r="T66" s="43" t="n">
        <v>70</v>
      </c>
      <c r="U66" s="31"/>
      <c r="V66" s="31"/>
      <c r="W66" s="31" t="n">
        <v>18.48</v>
      </c>
      <c r="X66" s="31" t="n">
        <f aca="false">T66 *W66</f>
        <v>1293.6</v>
      </c>
      <c r="Y66" s="43" t="n">
        <v>70</v>
      </c>
      <c r="Z66" s="31"/>
      <c r="AA66" s="31"/>
      <c r="AB66" s="31" t="n">
        <v>18.48</v>
      </c>
      <c r="AC66" s="31" t="n">
        <f aca="false">Y66 *AB66</f>
        <v>1293.6</v>
      </c>
      <c r="AD66" s="44"/>
      <c r="AE66" s="52"/>
      <c r="AF66" s="34"/>
      <c r="AG66" s="35"/>
      <c r="AH66" s="53"/>
      <c r="AI66" s="36"/>
      <c r="AJ66" s="37"/>
    </row>
    <row r="67" customFormat="false" ht="24" hidden="false" customHeight="true" outlineLevel="0" collapsed="false">
      <c r="B67" s="38" t="n">
        <v>64</v>
      </c>
      <c r="C67" s="25" t="s">
        <v>174</v>
      </c>
      <c r="D67" s="39" t="s">
        <v>172</v>
      </c>
      <c r="E67" s="40" t="n">
        <v>2</v>
      </c>
      <c r="F67" s="41" t="s">
        <v>175</v>
      </c>
      <c r="G67" s="39" t="s">
        <v>39</v>
      </c>
      <c r="H67" s="42" t="s">
        <v>176</v>
      </c>
      <c r="I67" s="43" t="n">
        <v>400</v>
      </c>
      <c r="J67" s="43" t="n">
        <v>400</v>
      </c>
      <c r="K67" s="31"/>
      <c r="L67" s="31"/>
      <c r="M67" s="31" t="n">
        <v>10.9</v>
      </c>
      <c r="N67" s="31" t="n">
        <f aca="false">J67 *M67</f>
        <v>4360</v>
      </c>
      <c r="O67" s="45" t="n">
        <v>400</v>
      </c>
      <c r="P67" s="31"/>
      <c r="Q67" s="31"/>
      <c r="R67" s="31" t="n">
        <v>10.9</v>
      </c>
      <c r="S67" s="31" t="n">
        <f aca="false">O67 *R67</f>
        <v>4360</v>
      </c>
      <c r="T67" s="43" t="n">
        <v>400</v>
      </c>
      <c r="U67" s="31"/>
      <c r="V67" s="31"/>
      <c r="W67" s="31" t="n">
        <v>10.9</v>
      </c>
      <c r="X67" s="31" t="n">
        <f aca="false">T67 *W67</f>
        <v>4360</v>
      </c>
      <c r="Y67" s="43" t="n">
        <v>400</v>
      </c>
      <c r="Z67" s="31"/>
      <c r="AA67" s="31"/>
      <c r="AB67" s="31" t="n">
        <v>10.9</v>
      </c>
      <c r="AC67" s="31" t="n">
        <f aca="false">Y67 *AB67</f>
        <v>4360</v>
      </c>
      <c r="AD67" s="32"/>
      <c r="AE67" s="52"/>
      <c r="AF67" s="34"/>
      <c r="AG67" s="35"/>
      <c r="AH67" s="53"/>
      <c r="AI67" s="36"/>
      <c r="AJ67" s="37"/>
    </row>
    <row r="68" customFormat="false" ht="24" hidden="false" customHeight="true" outlineLevel="0" collapsed="false">
      <c r="B68" s="24" t="n">
        <v>65</v>
      </c>
      <c r="C68" s="25" t="s">
        <v>174</v>
      </c>
      <c r="D68" s="39" t="s">
        <v>172</v>
      </c>
      <c r="E68" s="40" t="n">
        <v>2</v>
      </c>
      <c r="F68" s="41" t="s">
        <v>175</v>
      </c>
      <c r="G68" s="39" t="s">
        <v>39</v>
      </c>
      <c r="H68" s="42" t="s">
        <v>176</v>
      </c>
      <c r="I68" s="43" t="n">
        <v>800</v>
      </c>
      <c r="J68" s="43" t="n">
        <v>800</v>
      </c>
      <c r="K68" s="31"/>
      <c r="L68" s="31"/>
      <c r="M68" s="31" t="n">
        <v>8.7</v>
      </c>
      <c r="N68" s="31" t="n">
        <f aca="false">J68 *M68</f>
        <v>6960</v>
      </c>
      <c r="O68" s="45" t="n">
        <v>800</v>
      </c>
      <c r="P68" s="31"/>
      <c r="Q68" s="31"/>
      <c r="R68" s="31" t="n">
        <v>8.7</v>
      </c>
      <c r="S68" s="31" t="n">
        <f aca="false">O68 *R68</f>
        <v>6960</v>
      </c>
      <c r="T68" s="43" t="n">
        <v>800</v>
      </c>
      <c r="U68" s="31"/>
      <c r="V68" s="31"/>
      <c r="W68" s="31" t="n">
        <v>8.7</v>
      </c>
      <c r="X68" s="31" t="n">
        <f aca="false">T68 *W68</f>
        <v>6960</v>
      </c>
      <c r="Y68" s="43" t="n">
        <v>800</v>
      </c>
      <c r="Z68" s="31"/>
      <c r="AA68" s="31"/>
      <c r="AB68" s="31" t="n">
        <v>8.7</v>
      </c>
      <c r="AC68" s="31" t="n">
        <f aca="false">Y68 *AB68</f>
        <v>6960</v>
      </c>
      <c r="AD68" s="44"/>
      <c r="AE68" s="52"/>
      <c r="AF68" s="34"/>
      <c r="AG68" s="35"/>
      <c r="AH68" s="53"/>
      <c r="AI68" s="36"/>
      <c r="AJ68" s="37"/>
    </row>
    <row r="69" customFormat="false" ht="24" hidden="false" customHeight="true" outlineLevel="0" collapsed="false">
      <c r="B69" s="38" t="n">
        <v>66</v>
      </c>
      <c r="C69" s="25" t="s">
        <v>177</v>
      </c>
      <c r="D69" s="62" t="s">
        <v>178</v>
      </c>
      <c r="E69" s="40" t="n">
        <v>2</v>
      </c>
      <c r="F69" s="63" t="s">
        <v>179</v>
      </c>
      <c r="G69" s="62" t="s">
        <v>39</v>
      </c>
      <c r="H69" s="64" t="s">
        <v>180</v>
      </c>
      <c r="I69" s="43" t="n">
        <v>400</v>
      </c>
      <c r="J69" s="43" t="n">
        <v>400</v>
      </c>
      <c r="K69" s="31"/>
      <c r="L69" s="31"/>
      <c r="M69" s="65" t="n">
        <v>9.08</v>
      </c>
      <c r="N69" s="31" t="n">
        <f aca="false">J69 *M69</f>
        <v>3632</v>
      </c>
      <c r="O69" s="45" t="n">
        <v>400</v>
      </c>
      <c r="P69" s="31"/>
      <c r="Q69" s="31"/>
      <c r="R69" s="65" t="n">
        <v>9.08</v>
      </c>
      <c r="S69" s="31" t="n">
        <f aca="false">O69 *R69</f>
        <v>3632</v>
      </c>
      <c r="T69" s="43" t="n">
        <v>400</v>
      </c>
      <c r="U69" s="31"/>
      <c r="V69" s="31"/>
      <c r="W69" s="65" t="n">
        <v>9.08</v>
      </c>
      <c r="X69" s="31" t="n">
        <f aca="false">T69 *W69</f>
        <v>3632</v>
      </c>
      <c r="Y69" s="43" t="n">
        <v>400</v>
      </c>
      <c r="Z69" s="31"/>
      <c r="AA69" s="31"/>
      <c r="AB69" s="65" t="n">
        <v>9.08</v>
      </c>
      <c r="AC69" s="31" t="n">
        <f aca="false">Y69 *AB69</f>
        <v>3632</v>
      </c>
      <c r="AD69" s="32"/>
      <c r="AE69" s="52"/>
      <c r="AF69" s="34"/>
      <c r="AG69" s="35"/>
      <c r="AH69" s="53"/>
      <c r="AI69" s="36"/>
      <c r="AJ69" s="37"/>
    </row>
    <row r="70" customFormat="false" ht="30" hidden="false" customHeight="true" outlineLevel="0" collapsed="false">
      <c r="B70" s="24" t="n">
        <v>67</v>
      </c>
      <c r="C70" s="25" t="s">
        <v>181</v>
      </c>
      <c r="D70" s="39" t="s">
        <v>182</v>
      </c>
      <c r="E70" s="40" t="n">
        <v>1</v>
      </c>
      <c r="F70" s="41" t="s">
        <v>183</v>
      </c>
      <c r="G70" s="39" t="s">
        <v>39</v>
      </c>
      <c r="H70" s="42" t="s">
        <v>184</v>
      </c>
      <c r="I70" s="43" t="n">
        <v>300</v>
      </c>
      <c r="J70" s="43" t="n">
        <v>300</v>
      </c>
      <c r="K70" s="56" t="n">
        <v>4.01</v>
      </c>
      <c r="L70" s="31" t="n">
        <v>4.35</v>
      </c>
      <c r="M70" s="31" t="n">
        <f aca="false">K70*L70</f>
        <v>17.4435</v>
      </c>
      <c r="N70" s="31" t="n">
        <f aca="false">J70 *M70</f>
        <v>5233.05</v>
      </c>
      <c r="O70" s="45" t="n">
        <v>300</v>
      </c>
      <c r="P70" s="56" t="n">
        <v>4.01</v>
      </c>
      <c r="Q70" s="31" t="n">
        <v>4.35</v>
      </c>
      <c r="R70" s="31" t="n">
        <f aca="false">P70*Q70</f>
        <v>17.4435</v>
      </c>
      <c r="S70" s="31" t="n">
        <f aca="false">O70 *R70</f>
        <v>5233.05</v>
      </c>
      <c r="T70" s="43" t="n">
        <v>300</v>
      </c>
      <c r="U70" s="56" t="n">
        <v>4.01</v>
      </c>
      <c r="V70" s="31" t="n">
        <v>4.35</v>
      </c>
      <c r="W70" s="31" t="n">
        <f aca="false">U70*V70</f>
        <v>17.4435</v>
      </c>
      <c r="X70" s="31" t="n">
        <f aca="false">T70 *W70</f>
        <v>5233.05</v>
      </c>
      <c r="Y70" s="43" t="n">
        <v>300</v>
      </c>
      <c r="Z70" s="56" t="n">
        <v>4.01</v>
      </c>
      <c r="AA70" s="31" t="n">
        <v>4.35</v>
      </c>
      <c r="AB70" s="31" t="n">
        <f aca="false">Z70*AA70</f>
        <v>17.4435</v>
      </c>
      <c r="AC70" s="31" t="n">
        <f aca="false">Y70 *AB70</f>
        <v>5233.05</v>
      </c>
      <c r="AD70" s="44"/>
      <c r="AE70" s="52"/>
      <c r="AF70" s="34"/>
      <c r="AG70" s="35"/>
      <c r="AH70" s="53"/>
      <c r="AI70" s="36"/>
      <c r="AJ70" s="37"/>
    </row>
    <row r="71" customFormat="false" ht="24" hidden="false" customHeight="true" outlineLevel="0" collapsed="false">
      <c r="B71" s="38" t="n">
        <v>68</v>
      </c>
      <c r="C71" s="25" t="s">
        <v>185</v>
      </c>
      <c r="D71" s="39" t="s">
        <v>182</v>
      </c>
      <c r="E71" s="40" t="n">
        <v>1</v>
      </c>
      <c r="F71" s="41" t="s">
        <v>186</v>
      </c>
      <c r="G71" s="39" t="s">
        <v>39</v>
      </c>
      <c r="H71" s="42" t="s">
        <v>184</v>
      </c>
      <c r="I71" s="43" t="n">
        <v>6240</v>
      </c>
      <c r="J71" s="43" t="n">
        <v>16020</v>
      </c>
      <c r="K71" s="56" t="n">
        <v>4.01</v>
      </c>
      <c r="L71" s="31" t="n">
        <v>4.35</v>
      </c>
      <c r="M71" s="31" t="n">
        <f aca="false">K71*L71</f>
        <v>17.4435</v>
      </c>
      <c r="N71" s="31" t="n">
        <f aca="false">J71 *M71</f>
        <v>279444.87</v>
      </c>
      <c r="O71" s="43" t="n">
        <v>14640</v>
      </c>
      <c r="P71" s="56" t="n">
        <v>3.93</v>
      </c>
      <c r="Q71" s="31" t="n">
        <v>4.35</v>
      </c>
      <c r="R71" s="31" t="n">
        <v>17.748</v>
      </c>
      <c r="S71" s="31" t="n">
        <f aca="false">O71 *R71</f>
        <v>259830.72</v>
      </c>
      <c r="T71" s="43" t="n">
        <v>12620</v>
      </c>
      <c r="U71" s="56" t="n">
        <v>3.93</v>
      </c>
      <c r="V71" s="31" t="n">
        <v>4.35</v>
      </c>
      <c r="W71" s="31" t="n">
        <v>17.748</v>
      </c>
      <c r="X71" s="31" t="n">
        <f aca="false">T71 *W71</f>
        <v>223979.76</v>
      </c>
      <c r="Y71" s="43" t="n">
        <v>11080</v>
      </c>
      <c r="Z71" s="56" t="n">
        <v>4.01</v>
      </c>
      <c r="AA71" s="31" t="n">
        <v>4.35</v>
      </c>
      <c r="AB71" s="31" t="n">
        <f aca="false">Z71*AA71</f>
        <v>17.4435</v>
      </c>
      <c r="AC71" s="31" t="n">
        <f aca="false">Y71 *AB71</f>
        <v>193273.98</v>
      </c>
      <c r="AD71" s="32"/>
      <c r="AE71" s="52"/>
      <c r="AF71" s="34"/>
      <c r="AG71" s="35"/>
      <c r="AH71" s="53"/>
      <c r="AI71" s="36"/>
      <c r="AJ71" s="37"/>
    </row>
    <row r="72" customFormat="false" ht="30.75" hidden="false" customHeight="true" outlineLevel="0" collapsed="false">
      <c r="B72" s="24" t="n">
        <v>69</v>
      </c>
      <c r="C72" s="25" t="s">
        <v>187</v>
      </c>
      <c r="D72" s="39" t="s">
        <v>182</v>
      </c>
      <c r="E72" s="40" t="n">
        <v>1</v>
      </c>
      <c r="F72" s="41" t="s">
        <v>188</v>
      </c>
      <c r="G72" s="39" t="s">
        <v>39</v>
      </c>
      <c r="H72" s="42" t="s">
        <v>189</v>
      </c>
      <c r="I72" s="43" t="n">
        <v>0</v>
      </c>
      <c r="J72" s="43" t="n">
        <v>0</v>
      </c>
      <c r="K72" s="31"/>
      <c r="L72" s="31"/>
      <c r="M72" s="31" t="n">
        <v>12.35</v>
      </c>
      <c r="N72" s="31" t="n">
        <f aca="false">J72 *M72</f>
        <v>0</v>
      </c>
      <c r="O72" s="43" t="n">
        <v>0</v>
      </c>
      <c r="P72" s="31"/>
      <c r="Q72" s="31"/>
      <c r="R72" s="31" t="n">
        <v>12.35</v>
      </c>
      <c r="S72" s="31" t="n">
        <f aca="false">O72 *R72</f>
        <v>0</v>
      </c>
      <c r="T72" s="43" t="n">
        <v>0</v>
      </c>
      <c r="U72" s="56"/>
      <c r="V72" s="31"/>
      <c r="W72" s="31" t="n">
        <v>12.35</v>
      </c>
      <c r="X72" s="31" t="n">
        <f aca="false">T72 *W72</f>
        <v>0</v>
      </c>
      <c r="Y72" s="43" t="n">
        <v>0</v>
      </c>
      <c r="Z72" s="31"/>
      <c r="AA72" s="31"/>
      <c r="AB72" s="31" t="n">
        <v>12.35</v>
      </c>
      <c r="AC72" s="31" t="n">
        <f aca="false">Y72 *AB72</f>
        <v>0</v>
      </c>
      <c r="AD72" s="44"/>
      <c r="AE72" s="52"/>
      <c r="AF72" s="34"/>
      <c r="AG72" s="35"/>
      <c r="AH72" s="53"/>
      <c r="AI72" s="36"/>
      <c r="AJ72" s="37"/>
    </row>
    <row r="73" customFormat="false" ht="28.5" hidden="false" customHeight="true" outlineLevel="0" collapsed="false">
      <c r="B73" s="38" t="n">
        <v>70</v>
      </c>
      <c r="C73" s="25" t="s">
        <v>190</v>
      </c>
      <c r="D73" s="39" t="s">
        <v>182</v>
      </c>
      <c r="E73" s="40" t="n">
        <v>1</v>
      </c>
      <c r="F73" s="41" t="s">
        <v>191</v>
      </c>
      <c r="G73" s="39" t="s">
        <v>39</v>
      </c>
      <c r="H73" s="42" t="s">
        <v>189</v>
      </c>
      <c r="I73" s="43" t="n">
        <v>3100</v>
      </c>
      <c r="J73" s="43" t="n">
        <v>2700</v>
      </c>
      <c r="K73" s="56" t="n">
        <v>3</v>
      </c>
      <c r="L73" s="31" t="n">
        <v>4.35</v>
      </c>
      <c r="M73" s="31" t="n">
        <f aca="false">K73 * L73</f>
        <v>13.05</v>
      </c>
      <c r="N73" s="31" t="n">
        <f aca="false">J73 *M73</f>
        <v>35235</v>
      </c>
      <c r="O73" s="43" t="n">
        <v>4325</v>
      </c>
      <c r="P73" s="56" t="n">
        <v>2.97</v>
      </c>
      <c r="Q73" s="31" t="n">
        <v>4.35</v>
      </c>
      <c r="R73" s="31" t="n">
        <f aca="false">P73 * Q73</f>
        <v>12.9195</v>
      </c>
      <c r="S73" s="31" t="n">
        <f aca="false">O73 *R73</f>
        <v>55876.8375</v>
      </c>
      <c r="T73" s="43" t="n">
        <v>3075</v>
      </c>
      <c r="U73" s="56" t="n">
        <v>2.97</v>
      </c>
      <c r="V73" s="31" t="n">
        <v>4.35</v>
      </c>
      <c r="W73" s="31" t="n">
        <f aca="false">U73 * V73</f>
        <v>12.9195</v>
      </c>
      <c r="X73" s="31" t="n">
        <f aca="false">T73 *W73</f>
        <v>39727.4625</v>
      </c>
      <c r="Y73" s="43" t="n">
        <v>1625</v>
      </c>
      <c r="Z73" s="56" t="n">
        <v>3</v>
      </c>
      <c r="AA73" s="31" t="n">
        <v>4.35</v>
      </c>
      <c r="AB73" s="31" t="n">
        <f aca="false">Z73 * AA73</f>
        <v>13.05</v>
      </c>
      <c r="AC73" s="31" t="n">
        <f aca="false">Y73 *AB73</f>
        <v>21206.25</v>
      </c>
      <c r="AD73" s="58"/>
      <c r="AE73" s="52"/>
      <c r="AF73" s="34"/>
      <c r="AG73" s="35"/>
      <c r="AH73" s="53"/>
      <c r="AI73" s="36"/>
      <c r="AJ73" s="37"/>
    </row>
    <row r="74" customFormat="false" ht="30.75" hidden="false" customHeight="true" outlineLevel="0" collapsed="false">
      <c r="B74" s="24" t="n">
        <v>71</v>
      </c>
      <c r="C74" s="25" t="s">
        <v>192</v>
      </c>
      <c r="D74" s="39" t="s">
        <v>182</v>
      </c>
      <c r="E74" s="40" t="n">
        <v>1</v>
      </c>
      <c r="F74" s="41" t="s">
        <v>193</v>
      </c>
      <c r="G74" s="39" t="s">
        <v>39</v>
      </c>
      <c r="H74" s="42" t="s">
        <v>189</v>
      </c>
      <c r="I74" s="43" t="n">
        <v>350</v>
      </c>
      <c r="J74" s="43" t="n">
        <v>350</v>
      </c>
      <c r="K74" s="31"/>
      <c r="L74" s="31"/>
      <c r="M74" s="66" t="n">
        <v>14.38</v>
      </c>
      <c r="N74" s="31" t="n">
        <f aca="false">J74 *M74</f>
        <v>5033</v>
      </c>
      <c r="O74" s="43" t="n">
        <v>350</v>
      </c>
      <c r="P74" s="31"/>
      <c r="Q74" s="31"/>
      <c r="R74" s="66" t="n">
        <v>14.38</v>
      </c>
      <c r="S74" s="31" t="n">
        <f aca="false">O74 *R74</f>
        <v>5033</v>
      </c>
      <c r="T74" s="43" t="n">
        <v>350</v>
      </c>
      <c r="U74" s="31"/>
      <c r="V74" s="31"/>
      <c r="W74" s="66" t="n">
        <v>14.38</v>
      </c>
      <c r="X74" s="31" t="n">
        <f aca="false">T74 *W74</f>
        <v>5033</v>
      </c>
      <c r="Y74" s="43" t="n">
        <v>350</v>
      </c>
      <c r="Z74" s="31"/>
      <c r="AA74" s="31"/>
      <c r="AB74" s="66" t="n">
        <v>14.38</v>
      </c>
      <c r="AC74" s="31" t="n">
        <f aca="false">Y74 *AB74</f>
        <v>5033</v>
      </c>
      <c r="AD74" s="44"/>
      <c r="AE74" s="52"/>
      <c r="AF74" s="34"/>
      <c r="AG74" s="35"/>
      <c r="AH74" s="53"/>
      <c r="AI74" s="36"/>
      <c r="AJ74" s="37"/>
    </row>
    <row r="75" customFormat="false" ht="24" hidden="false" customHeight="true" outlineLevel="0" collapsed="false">
      <c r="B75" s="38" t="n">
        <v>72</v>
      </c>
      <c r="C75" s="25" t="s">
        <v>194</v>
      </c>
      <c r="D75" s="67" t="s">
        <v>182</v>
      </c>
      <c r="E75" s="40" t="n">
        <v>1</v>
      </c>
      <c r="F75" s="63" t="s">
        <v>195</v>
      </c>
      <c r="G75" s="39" t="s">
        <v>39</v>
      </c>
      <c r="H75" s="42" t="s">
        <v>184</v>
      </c>
      <c r="I75" s="43" t="n">
        <v>2850</v>
      </c>
      <c r="J75" s="43" t="n">
        <v>2850</v>
      </c>
      <c r="K75" s="56" t="n">
        <v>4.01</v>
      </c>
      <c r="L75" s="31" t="n">
        <v>4.35</v>
      </c>
      <c r="M75" s="31" t="n">
        <f aca="false">K75*L75</f>
        <v>17.4435</v>
      </c>
      <c r="N75" s="31" t="n">
        <f aca="false">J75 *M75</f>
        <v>49713.975</v>
      </c>
      <c r="O75" s="43" t="n">
        <v>3420</v>
      </c>
      <c r="P75" s="56" t="n">
        <v>4.01</v>
      </c>
      <c r="Q75" s="31" t="n">
        <v>4.35</v>
      </c>
      <c r="R75" s="31" t="n">
        <f aca="false">P75*Q75</f>
        <v>17.4435</v>
      </c>
      <c r="S75" s="31" t="n">
        <f aca="false">O75 *R75</f>
        <v>59656.77</v>
      </c>
      <c r="T75" s="43" t="n">
        <v>3420</v>
      </c>
      <c r="U75" s="56" t="n">
        <v>4.01</v>
      </c>
      <c r="V75" s="31" t="n">
        <v>4.35</v>
      </c>
      <c r="W75" s="31" t="n">
        <f aca="false">U75*V75</f>
        <v>17.4435</v>
      </c>
      <c r="X75" s="31" t="n">
        <f aca="false">T75 *W75</f>
        <v>59656.77</v>
      </c>
      <c r="Y75" s="43" t="n">
        <v>3420</v>
      </c>
      <c r="Z75" s="56" t="n">
        <v>4.01</v>
      </c>
      <c r="AA75" s="31" t="n">
        <v>4.35</v>
      </c>
      <c r="AB75" s="31" t="n">
        <f aca="false">Z75*AA75</f>
        <v>17.4435</v>
      </c>
      <c r="AC75" s="31" t="n">
        <f aca="false">Y75 *AB75</f>
        <v>59656.77</v>
      </c>
      <c r="AD75" s="32"/>
      <c r="AE75" s="52"/>
      <c r="AF75" s="34"/>
      <c r="AG75" s="35"/>
      <c r="AH75" s="53"/>
      <c r="AI75" s="36"/>
      <c r="AJ75" s="37"/>
    </row>
    <row r="76" customFormat="false" ht="24" hidden="false" customHeight="true" outlineLevel="0" collapsed="false">
      <c r="B76" s="24" t="n">
        <v>73</v>
      </c>
      <c r="C76" s="47" t="s">
        <v>196</v>
      </c>
      <c r="D76" s="48" t="s">
        <v>197</v>
      </c>
      <c r="E76" s="49" t="n">
        <v>1</v>
      </c>
      <c r="F76" s="50" t="s">
        <v>198</v>
      </c>
      <c r="G76" s="48" t="s">
        <v>41</v>
      </c>
      <c r="H76" s="51" t="s">
        <v>199</v>
      </c>
      <c r="I76" s="45" t="n">
        <v>1570</v>
      </c>
      <c r="J76" s="45" t="n">
        <v>1570</v>
      </c>
      <c r="K76" s="31"/>
      <c r="L76" s="31"/>
      <c r="M76" s="31" t="n">
        <v>7.9</v>
      </c>
      <c r="N76" s="31" t="n">
        <f aca="false">J76 *M76</f>
        <v>12403</v>
      </c>
      <c r="O76" s="45" t="n">
        <v>1570</v>
      </c>
      <c r="P76" s="31"/>
      <c r="Q76" s="31"/>
      <c r="R76" s="31" t="n">
        <v>7.9</v>
      </c>
      <c r="S76" s="31" t="n">
        <f aca="false">O76 *R76</f>
        <v>12403</v>
      </c>
      <c r="T76" s="45" t="n">
        <v>1570</v>
      </c>
      <c r="U76" s="31"/>
      <c r="V76" s="31"/>
      <c r="W76" s="31" t="n">
        <v>7.9</v>
      </c>
      <c r="X76" s="31" t="n">
        <f aca="false">T76 *W76</f>
        <v>12403</v>
      </c>
      <c r="Y76" s="45" t="n">
        <v>1570</v>
      </c>
      <c r="Z76" s="31"/>
      <c r="AA76" s="31"/>
      <c r="AB76" s="31" t="n">
        <v>7.9</v>
      </c>
      <c r="AC76" s="31" t="n">
        <f aca="false">Y76 *AB76</f>
        <v>12403</v>
      </c>
      <c r="AD76" s="44"/>
      <c r="AE76" s="52"/>
      <c r="AF76" s="34"/>
      <c r="AG76" s="35"/>
      <c r="AH76" s="53"/>
      <c r="AI76" s="36"/>
      <c r="AJ76" s="37"/>
    </row>
    <row r="77" customFormat="false" ht="24" hidden="false" customHeight="true" outlineLevel="0" collapsed="false">
      <c r="B77" s="38" t="n">
        <v>74</v>
      </c>
      <c r="C77" s="47" t="s">
        <v>200</v>
      </c>
      <c r="D77" s="48" t="s">
        <v>178</v>
      </c>
      <c r="E77" s="49" t="n">
        <v>1</v>
      </c>
      <c r="F77" s="50" t="s">
        <v>201</v>
      </c>
      <c r="G77" s="48" t="s">
        <v>39</v>
      </c>
      <c r="H77" s="51" t="s">
        <v>44</v>
      </c>
      <c r="I77" s="45" t="n">
        <v>0</v>
      </c>
      <c r="J77" s="45" t="n">
        <v>0</v>
      </c>
      <c r="K77" s="56" t="n">
        <v>3.9</v>
      </c>
      <c r="L77" s="31" t="n">
        <v>4.35</v>
      </c>
      <c r="M77" s="31" t="n">
        <f aca="false">K77 *L77</f>
        <v>16.965</v>
      </c>
      <c r="N77" s="31" t="n">
        <f aca="false">J77 *M77</f>
        <v>0</v>
      </c>
      <c r="O77" s="45" t="n">
        <v>0</v>
      </c>
      <c r="P77" s="56" t="n">
        <v>3.9</v>
      </c>
      <c r="Q77" s="31" t="n">
        <v>4.35</v>
      </c>
      <c r="R77" s="31" t="n">
        <f aca="false">P77 *Q77</f>
        <v>16.965</v>
      </c>
      <c r="S77" s="31" t="n">
        <f aca="false">O77 *R77</f>
        <v>0</v>
      </c>
      <c r="T77" s="45" t="n">
        <v>0</v>
      </c>
      <c r="U77" s="56" t="n">
        <v>3.9</v>
      </c>
      <c r="V77" s="31" t="n">
        <v>4.35</v>
      </c>
      <c r="W77" s="31" t="n">
        <f aca="false">U77 *V77</f>
        <v>16.965</v>
      </c>
      <c r="X77" s="31" t="n">
        <f aca="false">T77 *W77</f>
        <v>0</v>
      </c>
      <c r="Y77" s="45" t="n">
        <v>0</v>
      </c>
      <c r="Z77" s="56" t="n">
        <v>3.9</v>
      </c>
      <c r="AA77" s="31" t="n">
        <v>4.35</v>
      </c>
      <c r="AB77" s="31" t="n">
        <f aca="false">Z77 *AA77</f>
        <v>16.965</v>
      </c>
      <c r="AC77" s="31" t="n">
        <f aca="false">Y77 *AB77</f>
        <v>0</v>
      </c>
      <c r="AD77" s="32"/>
      <c r="AE77" s="52"/>
      <c r="AF77" s="34"/>
      <c r="AG77" s="35"/>
      <c r="AH77" s="53"/>
      <c r="AI77" s="36"/>
      <c r="AJ77" s="37"/>
    </row>
    <row r="78" customFormat="false" ht="24" hidden="false" customHeight="true" outlineLevel="0" collapsed="false">
      <c r="B78" s="24" t="n">
        <v>75</v>
      </c>
      <c r="C78" s="47" t="s">
        <v>202</v>
      </c>
      <c r="D78" s="48"/>
      <c r="E78" s="49" t="n">
        <v>1</v>
      </c>
      <c r="F78" s="50" t="s">
        <v>203</v>
      </c>
      <c r="G78" s="48" t="s">
        <v>170</v>
      </c>
      <c r="H78" s="51" t="s">
        <v>204</v>
      </c>
      <c r="I78" s="45" t="n">
        <v>1060</v>
      </c>
      <c r="J78" s="45" t="n">
        <v>1060</v>
      </c>
      <c r="K78" s="56" t="n">
        <v>2</v>
      </c>
      <c r="L78" s="31" t="n">
        <v>4.35</v>
      </c>
      <c r="M78" s="31" t="n">
        <f aca="false">K78 *L78</f>
        <v>8.7</v>
      </c>
      <c r="N78" s="31" t="n">
        <f aca="false">J78 *M78</f>
        <v>9222</v>
      </c>
      <c r="O78" s="45" t="n">
        <v>1060</v>
      </c>
      <c r="P78" s="56" t="n">
        <v>2</v>
      </c>
      <c r="Q78" s="31" t="n">
        <v>4.35</v>
      </c>
      <c r="R78" s="31" t="n">
        <f aca="false">P78 *Q78</f>
        <v>8.7</v>
      </c>
      <c r="S78" s="31" t="n">
        <f aca="false">O78 *R78</f>
        <v>9222</v>
      </c>
      <c r="T78" s="45" t="n">
        <v>1060</v>
      </c>
      <c r="U78" s="56" t="n">
        <v>2</v>
      </c>
      <c r="V78" s="31" t="n">
        <v>4.35</v>
      </c>
      <c r="W78" s="31" t="n">
        <f aca="false">U78 *V78</f>
        <v>8.7</v>
      </c>
      <c r="X78" s="31" t="n">
        <f aca="false">T78 *W78</f>
        <v>9222</v>
      </c>
      <c r="Y78" s="45" t="n">
        <v>1060</v>
      </c>
      <c r="Z78" s="56" t="n">
        <v>2</v>
      </c>
      <c r="AA78" s="31" t="n">
        <v>4.35</v>
      </c>
      <c r="AB78" s="31" t="n">
        <f aca="false">Z78 *AA78</f>
        <v>8.7</v>
      </c>
      <c r="AC78" s="31" t="n">
        <f aca="false">Y78 *AB78</f>
        <v>9222</v>
      </c>
      <c r="AD78" s="44"/>
      <c r="AE78" s="52"/>
      <c r="AF78" s="34"/>
      <c r="AG78" s="35"/>
      <c r="AH78" s="53"/>
      <c r="AI78" s="36"/>
      <c r="AJ78" s="37"/>
    </row>
    <row r="79" customFormat="false" ht="24" hidden="false" customHeight="true" outlineLevel="0" collapsed="false">
      <c r="B79" s="38" t="n">
        <v>76</v>
      </c>
      <c r="C79" s="68" t="s">
        <v>205</v>
      </c>
      <c r="D79" s="69"/>
      <c r="E79" s="70" t="n">
        <v>1</v>
      </c>
      <c r="F79" s="71" t="s">
        <v>206</v>
      </c>
      <c r="G79" s="69" t="s">
        <v>170</v>
      </c>
      <c r="H79" s="72" t="s">
        <v>204</v>
      </c>
      <c r="I79" s="73" t="n">
        <v>1060</v>
      </c>
      <c r="J79" s="73" t="n">
        <v>1020</v>
      </c>
      <c r="K79" s="74" t="n">
        <v>2</v>
      </c>
      <c r="L79" s="75" t="n">
        <v>4.35</v>
      </c>
      <c r="M79" s="75" t="n">
        <f aca="false">K79 *L79</f>
        <v>8.7</v>
      </c>
      <c r="N79" s="75" t="n">
        <f aca="false">J79 *M79</f>
        <v>8874</v>
      </c>
      <c r="O79" s="73" t="n">
        <v>1020</v>
      </c>
      <c r="P79" s="74" t="n">
        <v>2</v>
      </c>
      <c r="Q79" s="75" t="n">
        <v>4.35</v>
      </c>
      <c r="R79" s="75" t="n">
        <f aca="false">P79 *Q79</f>
        <v>8.7</v>
      </c>
      <c r="S79" s="75" t="n">
        <f aca="false">O79 *R79</f>
        <v>8874</v>
      </c>
      <c r="T79" s="73" t="n">
        <v>1020</v>
      </c>
      <c r="U79" s="74" t="n">
        <v>2</v>
      </c>
      <c r="V79" s="75" t="n">
        <v>4.35</v>
      </c>
      <c r="W79" s="75" t="n">
        <f aca="false">U79 *V79</f>
        <v>8.7</v>
      </c>
      <c r="X79" s="75" t="n">
        <f aca="false">T79 *W79</f>
        <v>8874</v>
      </c>
      <c r="Y79" s="73" t="n">
        <v>1020</v>
      </c>
      <c r="Z79" s="74" t="n">
        <v>2</v>
      </c>
      <c r="AA79" s="75" t="n">
        <v>4.35</v>
      </c>
      <c r="AB79" s="75" t="n">
        <f aca="false">Z79 *AA79</f>
        <v>8.7</v>
      </c>
      <c r="AC79" s="75" t="n">
        <f aca="false">Y79 *AB79</f>
        <v>8874</v>
      </c>
      <c r="AD79" s="76"/>
      <c r="AE79" s="52"/>
      <c r="AF79" s="34"/>
      <c r="AG79" s="35"/>
      <c r="AH79" s="53"/>
      <c r="AI79" s="36"/>
      <c r="AJ79" s="37"/>
    </row>
    <row r="80" customFormat="false" ht="24" hidden="false" customHeight="true" outlineLevel="0" collapsed="false">
      <c r="B80" s="24" t="n">
        <v>77</v>
      </c>
      <c r="C80" s="47" t="s">
        <v>207</v>
      </c>
      <c r="D80" s="48"/>
      <c r="E80" s="49" t="n">
        <v>1</v>
      </c>
      <c r="F80" s="50" t="s">
        <v>208</v>
      </c>
      <c r="G80" s="48" t="s">
        <v>170</v>
      </c>
      <c r="H80" s="72" t="s">
        <v>204</v>
      </c>
      <c r="I80" s="45" t="n">
        <v>3952</v>
      </c>
      <c r="J80" s="45" t="n">
        <v>3952</v>
      </c>
      <c r="K80" s="74" t="n">
        <v>3.92</v>
      </c>
      <c r="L80" s="75" t="n">
        <v>4.35</v>
      </c>
      <c r="M80" s="75" t="n">
        <f aca="false">K80 *L80</f>
        <v>17.052</v>
      </c>
      <c r="N80" s="75" t="n">
        <f aca="false">J80 *M80</f>
        <v>67389.504</v>
      </c>
      <c r="O80" s="45" t="n">
        <v>3952</v>
      </c>
      <c r="P80" s="74" t="n">
        <v>3.92</v>
      </c>
      <c r="Q80" s="75" t="n">
        <v>4.35</v>
      </c>
      <c r="R80" s="75" t="n">
        <f aca="false">P80 *Q80</f>
        <v>17.052</v>
      </c>
      <c r="S80" s="75" t="n">
        <f aca="false">O80 *R80</f>
        <v>67389.504</v>
      </c>
      <c r="T80" s="45" t="n">
        <v>3952</v>
      </c>
      <c r="U80" s="74" t="n">
        <v>3.92</v>
      </c>
      <c r="V80" s="75" t="n">
        <v>4.35</v>
      </c>
      <c r="W80" s="75" t="n">
        <f aca="false">U80 *V80</f>
        <v>17.052</v>
      </c>
      <c r="X80" s="75" t="n">
        <f aca="false">T80 *W80</f>
        <v>67389.504</v>
      </c>
      <c r="Y80" s="45" t="n">
        <v>3952</v>
      </c>
      <c r="Z80" s="74" t="n">
        <v>3.92</v>
      </c>
      <c r="AA80" s="75" t="n">
        <v>4.35</v>
      </c>
      <c r="AB80" s="75" t="n">
        <f aca="false">Z80 *AA80</f>
        <v>17.052</v>
      </c>
      <c r="AC80" s="75" t="n">
        <f aca="false">Y80 *AB80</f>
        <v>67389.504</v>
      </c>
      <c r="AD80" s="32" t="s">
        <v>209</v>
      </c>
      <c r="AE80" s="52"/>
      <c r="AF80" s="34"/>
      <c r="AG80" s="35"/>
      <c r="AH80" s="53"/>
      <c r="AI80" s="36"/>
      <c r="AJ80" s="37"/>
    </row>
    <row r="81" customFormat="false" ht="24" hidden="false" customHeight="true" outlineLevel="0" collapsed="false">
      <c r="B81" s="38" t="n">
        <v>78</v>
      </c>
      <c r="C81" s="47"/>
      <c r="D81" s="48"/>
      <c r="E81" s="49"/>
      <c r="F81" s="77"/>
      <c r="G81" s="48"/>
      <c r="H81" s="51"/>
      <c r="I81" s="45"/>
      <c r="J81" s="45"/>
      <c r="K81" s="56"/>
      <c r="L81" s="31"/>
      <c r="M81" s="31"/>
      <c r="N81" s="31"/>
      <c r="O81" s="45"/>
      <c r="P81" s="56"/>
      <c r="Q81" s="31"/>
      <c r="R81" s="31"/>
      <c r="S81" s="31"/>
      <c r="T81" s="45"/>
      <c r="U81" s="56"/>
      <c r="V81" s="31"/>
      <c r="W81" s="31"/>
      <c r="X81" s="31"/>
      <c r="Y81" s="45"/>
      <c r="Z81" s="56"/>
      <c r="AA81" s="31"/>
      <c r="AB81" s="31"/>
      <c r="AC81" s="31"/>
      <c r="AD81" s="32"/>
      <c r="AE81" s="52"/>
      <c r="AF81" s="34"/>
      <c r="AG81" s="35"/>
      <c r="AH81" s="53"/>
      <c r="AI81" s="36"/>
      <c r="AJ81" s="37"/>
    </row>
    <row r="82" customFormat="false" ht="24" hidden="false" customHeight="true" outlineLevel="0" collapsed="false">
      <c r="B82" s="24" t="n">
        <v>79</v>
      </c>
      <c r="C82" s="47"/>
      <c r="D82" s="48"/>
      <c r="E82" s="49"/>
      <c r="F82" s="50"/>
      <c r="G82" s="48"/>
      <c r="H82" s="51"/>
      <c r="I82" s="45"/>
      <c r="J82" s="45"/>
      <c r="K82" s="56"/>
      <c r="L82" s="31"/>
      <c r="M82" s="31"/>
      <c r="N82" s="31"/>
      <c r="O82" s="45"/>
      <c r="P82" s="56"/>
      <c r="Q82" s="31"/>
      <c r="R82" s="31"/>
      <c r="S82" s="31"/>
      <c r="T82" s="45"/>
      <c r="U82" s="56"/>
      <c r="V82" s="31"/>
      <c r="W82" s="31"/>
      <c r="X82" s="31"/>
      <c r="Y82" s="45"/>
      <c r="Z82" s="56"/>
      <c r="AA82" s="31"/>
      <c r="AB82" s="31"/>
      <c r="AC82" s="31"/>
      <c r="AD82" s="32"/>
      <c r="AE82" s="52"/>
      <c r="AF82" s="34"/>
      <c r="AG82" s="35"/>
      <c r="AH82" s="53"/>
      <c r="AI82" s="36"/>
      <c r="AJ82" s="37"/>
    </row>
    <row r="83" customFormat="false" ht="15" hidden="false" customHeight="false" outlineLevel="0" collapsed="false">
      <c r="F83" s="78" t="s">
        <v>210</v>
      </c>
      <c r="G83" s="78" t="s">
        <v>211</v>
      </c>
      <c r="H83" s="79"/>
      <c r="N83" s="80" t="n">
        <f aca="false">SUM(N4:N82)</f>
        <v>922709.874</v>
      </c>
      <c r="S83" s="80" t="n">
        <f aca="false">SUM(S4:S82)</f>
        <v>947099.5815</v>
      </c>
      <c r="X83" s="80" t="n">
        <f aca="false">SUM(X4:X82)</f>
        <v>899140.6215</v>
      </c>
      <c r="AC83" s="80" t="n">
        <f aca="false">SUM(AC4:AC82)</f>
        <v>876210.279</v>
      </c>
      <c r="AD83" s="81"/>
    </row>
    <row r="84" customFormat="false" ht="15" hidden="false" customHeight="false" outlineLevel="0" collapsed="false">
      <c r="F84" s="82" t="s">
        <v>19</v>
      </c>
      <c r="G84" s="82" t="s">
        <v>212</v>
      </c>
      <c r="H84" s="83" t="s">
        <v>39</v>
      </c>
    </row>
    <row r="85" customFormat="false" ht="15" hidden="false" customHeight="false" outlineLevel="0" collapsed="false">
      <c r="F85" s="82" t="s">
        <v>213</v>
      </c>
      <c r="G85" s="82" t="s">
        <v>214</v>
      </c>
      <c r="H85" s="83"/>
    </row>
  </sheetData>
  <autoFilter ref="C3:AD85"/>
  <mergeCells count="5">
    <mergeCell ref="B2:H2"/>
    <mergeCell ref="I2:N2"/>
    <mergeCell ref="O2:S2"/>
    <mergeCell ref="T2:X2"/>
    <mergeCell ref="Y2:AC2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M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.57"/>
    <col collapsed="false" customWidth="true" hidden="false" outlineLevel="0" max="3" min="3" style="2" width="6.14"/>
    <col collapsed="false" customWidth="true" hidden="false" outlineLevel="0" max="4" min="4" style="0" width="20.71"/>
    <col collapsed="false" customWidth="true" hidden="false" outlineLevel="0" max="5" min="5" style="0" width="17.28"/>
    <col collapsed="false" customWidth="true" hidden="false" outlineLevel="0" max="6" min="6" style="0" width="15.28"/>
    <col collapsed="false" customWidth="true" hidden="false" outlineLevel="0" max="7" min="7" style="0" width="8.43"/>
    <col collapsed="false" customWidth="true" hidden="false" outlineLevel="0" max="9" min="8" style="0" width="17"/>
    <col collapsed="false" customWidth="true" hidden="false" outlineLevel="0" max="10" min="10" style="0" width="8.85"/>
    <col collapsed="false" customWidth="true" hidden="false" outlineLevel="0" max="12" min="11" style="0" width="17"/>
    <col collapsed="false" customWidth="true" hidden="false" outlineLevel="0" max="13" min="13" style="0" width="25.85"/>
  </cols>
  <sheetData>
    <row r="1" customFormat="false" ht="30.75" hidden="false" customHeight="true" outlineLevel="0" collapsed="false"/>
    <row r="2" customFormat="false" ht="42" hidden="false" customHeight="true" outlineLevel="0" collapsed="false">
      <c r="C2" s="84" t="s">
        <v>215</v>
      </c>
      <c r="D2" s="84"/>
      <c r="E2" s="84"/>
      <c r="F2" s="84"/>
      <c r="G2" s="85" t="s">
        <v>216</v>
      </c>
      <c r="H2" s="85"/>
      <c r="I2" s="85"/>
      <c r="J2" s="85" t="s">
        <v>217</v>
      </c>
      <c r="K2" s="85"/>
      <c r="L2" s="85"/>
      <c r="M2" s="86" t="s">
        <v>17</v>
      </c>
    </row>
    <row r="3" s="87" customFormat="true" ht="72" hidden="false" customHeight="true" outlineLevel="0" collapsed="false">
      <c r="C3" s="88" t="s">
        <v>218</v>
      </c>
      <c r="D3" s="88" t="s">
        <v>219</v>
      </c>
      <c r="E3" s="88" t="s">
        <v>10</v>
      </c>
      <c r="F3" s="88" t="s">
        <v>11</v>
      </c>
      <c r="G3" s="89" t="s">
        <v>12</v>
      </c>
      <c r="H3" s="89" t="s">
        <v>220</v>
      </c>
      <c r="I3" s="90" t="s">
        <v>221</v>
      </c>
      <c r="J3" s="89" t="s">
        <v>12</v>
      </c>
      <c r="K3" s="89" t="s">
        <v>220</v>
      </c>
      <c r="L3" s="90" t="s">
        <v>221</v>
      </c>
      <c r="M3" s="91"/>
    </row>
    <row r="4" customFormat="false" ht="15" hidden="false" customHeight="false" outlineLevel="0" collapsed="false">
      <c r="C4" s="92" t="n">
        <v>1</v>
      </c>
      <c r="D4" s="93" t="s">
        <v>222</v>
      </c>
      <c r="E4" s="93" t="s">
        <v>223</v>
      </c>
      <c r="F4" s="94" t="s">
        <v>224</v>
      </c>
      <c r="G4" s="95" t="n">
        <v>9</v>
      </c>
      <c r="H4" s="96" t="n">
        <v>26.7</v>
      </c>
      <c r="I4" s="97" t="n">
        <f aca="false">G4 *H4</f>
        <v>240.3</v>
      </c>
      <c r="J4" s="95"/>
      <c r="K4" s="96" t="n">
        <v>26.7</v>
      </c>
      <c r="L4" s="98" t="n">
        <f aca="false">J4 *K4</f>
        <v>0</v>
      </c>
      <c r="M4" s="99"/>
    </row>
    <row r="5" customFormat="false" ht="15" hidden="false" customHeight="false" outlineLevel="0" collapsed="false">
      <c r="C5" s="100" t="n">
        <v>2</v>
      </c>
      <c r="D5" s="93" t="s">
        <v>225</v>
      </c>
      <c r="E5" s="93" t="s">
        <v>24</v>
      </c>
      <c r="F5" s="94" t="s">
        <v>224</v>
      </c>
      <c r="G5" s="95" t="n">
        <v>22</v>
      </c>
      <c r="H5" s="96" t="n">
        <v>57</v>
      </c>
      <c r="I5" s="97" t="n">
        <f aca="false">G5 *H5</f>
        <v>1254</v>
      </c>
      <c r="J5" s="95"/>
      <c r="K5" s="96" t="n">
        <v>57</v>
      </c>
      <c r="L5" s="98" t="n">
        <f aca="false">J5 *K5</f>
        <v>0</v>
      </c>
      <c r="M5" s="99"/>
    </row>
    <row r="6" customFormat="false" ht="15" hidden="false" customHeight="false" outlineLevel="0" collapsed="false">
      <c r="C6" s="92" t="n">
        <v>3</v>
      </c>
      <c r="D6" s="93" t="s">
        <v>226</v>
      </c>
      <c r="E6" s="93" t="s">
        <v>227</v>
      </c>
      <c r="F6" s="94" t="s">
        <v>224</v>
      </c>
      <c r="G6" s="95" t="n">
        <v>42</v>
      </c>
      <c r="H6" s="96" t="n">
        <v>33.7</v>
      </c>
      <c r="I6" s="97" t="n">
        <f aca="false">G6 *H6</f>
        <v>1415.4</v>
      </c>
      <c r="J6" s="95"/>
      <c r="K6" s="96" t="n">
        <v>33.7</v>
      </c>
      <c r="L6" s="98" t="n">
        <f aca="false">J6 *K6</f>
        <v>0</v>
      </c>
      <c r="M6" s="99"/>
    </row>
    <row r="7" customFormat="false" ht="15" hidden="false" customHeight="false" outlineLevel="0" collapsed="false">
      <c r="C7" s="100" t="n">
        <v>4</v>
      </c>
      <c r="D7" s="93" t="s">
        <v>228</v>
      </c>
      <c r="E7" s="93" t="s">
        <v>229</v>
      </c>
      <c r="F7" s="94" t="s">
        <v>224</v>
      </c>
      <c r="G7" s="95" t="n">
        <v>15</v>
      </c>
      <c r="H7" s="96" t="n">
        <v>120</v>
      </c>
      <c r="I7" s="97" t="n">
        <f aca="false">G7 *H7</f>
        <v>1800</v>
      </c>
      <c r="J7" s="95"/>
      <c r="K7" s="96" t="n">
        <v>120</v>
      </c>
      <c r="L7" s="98" t="n">
        <f aca="false">J7 *K7</f>
        <v>0</v>
      </c>
      <c r="M7" s="99"/>
    </row>
    <row r="8" customFormat="false" ht="15" hidden="false" customHeight="false" outlineLevel="0" collapsed="false">
      <c r="C8" s="92" t="n">
        <v>5</v>
      </c>
      <c r="D8" s="93" t="s">
        <v>230</v>
      </c>
      <c r="E8" s="93" t="s">
        <v>231</v>
      </c>
      <c r="F8" s="101" t="s">
        <v>224</v>
      </c>
      <c r="G8" s="95" t="n">
        <v>21</v>
      </c>
      <c r="H8" s="96" t="n">
        <v>75</v>
      </c>
      <c r="I8" s="97" t="n">
        <f aca="false">G8 *H8</f>
        <v>1575</v>
      </c>
      <c r="J8" s="95"/>
      <c r="K8" s="96" t="n">
        <v>75</v>
      </c>
      <c r="L8" s="98" t="n">
        <f aca="false">J8 *K8</f>
        <v>0</v>
      </c>
      <c r="M8" s="99"/>
    </row>
    <row r="9" customFormat="false" ht="15" hidden="false" customHeight="false" outlineLevel="0" collapsed="false">
      <c r="C9" s="100" t="n">
        <v>6</v>
      </c>
      <c r="D9" s="93" t="s">
        <v>232</v>
      </c>
      <c r="E9" s="93" t="s">
        <v>233</v>
      </c>
      <c r="F9" s="101" t="s">
        <v>224</v>
      </c>
      <c r="G9" s="95" t="n">
        <v>16</v>
      </c>
      <c r="H9" s="96" t="n">
        <v>69</v>
      </c>
      <c r="I9" s="97" t="n">
        <f aca="false">G9 *H9</f>
        <v>1104</v>
      </c>
      <c r="J9" s="95"/>
      <c r="K9" s="96" t="n">
        <v>69</v>
      </c>
      <c r="L9" s="98" t="n">
        <f aca="false">J9 *K9</f>
        <v>0</v>
      </c>
      <c r="M9" s="99"/>
    </row>
    <row r="10" customFormat="false" ht="15" hidden="false" customHeight="false" outlineLevel="0" collapsed="false">
      <c r="C10" s="92" t="n">
        <v>7</v>
      </c>
      <c r="D10" s="102" t="s">
        <v>234</v>
      </c>
      <c r="E10" s="93" t="s">
        <v>235</v>
      </c>
      <c r="F10" s="101" t="s">
        <v>224</v>
      </c>
      <c r="G10" s="95" t="n">
        <v>24</v>
      </c>
      <c r="H10" s="96" t="n">
        <v>71</v>
      </c>
      <c r="I10" s="97" t="n">
        <f aca="false">G10 *H10</f>
        <v>1704</v>
      </c>
      <c r="J10" s="95"/>
      <c r="K10" s="96" t="n">
        <v>71</v>
      </c>
      <c r="L10" s="98" t="n">
        <f aca="false">J10 *K10</f>
        <v>0</v>
      </c>
      <c r="M10" s="99"/>
    </row>
    <row r="11" customFormat="false" ht="15" hidden="false" customHeight="false" outlineLevel="0" collapsed="false">
      <c r="C11" s="100" t="n">
        <v>8</v>
      </c>
      <c r="D11" s="102" t="s">
        <v>236</v>
      </c>
      <c r="E11" s="93" t="s">
        <v>41</v>
      </c>
      <c r="F11" s="101" t="s">
        <v>224</v>
      </c>
      <c r="G11" s="95" t="n">
        <v>34</v>
      </c>
      <c r="H11" s="96" t="n">
        <v>71</v>
      </c>
      <c r="I11" s="97" t="n">
        <f aca="false">G11 *H11</f>
        <v>2414</v>
      </c>
      <c r="J11" s="95"/>
      <c r="K11" s="96" t="n">
        <v>71</v>
      </c>
      <c r="L11" s="98" t="n">
        <f aca="false">J11 *K11</f>
        <v>0</v>
      </c>
      <c r="M11" s="99"/>
    </row>
    <row r="12" customFormat="false" ht="15" hidden="false" customHeight="false" outlineLevel="0" collapsed="false">
      <c r="C12" s="92" t="n">
        <v>9</v>
      </c>
      <c r="D12" s="93" t="s">
        <v>237</v>
      </c>
      <c r="E12" s="93" t="s">
        <v>41</v>
      </c>
      <c r="F12" s="101" t="s">
        <v>224</v>
      </c>
      <c r="G12" s="95" t="n">
        <v>0</v>
      </c>
      <c r="H12" s="96" t="n">
        <v>59</v>
      </c>
      <c r="I12" s="97" t="n">
        <f aca="false">G12 *H12</f>
        <v>0</v>
      </c>
      <c r="J12" s="95"/>
      <c r="K12" s="96" t="n">
        <v>59</v>
      </c>
      <c r="L12" s="98" t="n">
        <f aca="false">J12 *K12</f>
        <v>0</v>
      </c>
      <c r="M12" s="99"/>
    </row>
    <row r="13" customFormat="false" ht="15" hidden="false" customHeight="false" outlineLevel="0" collapsed="false">
      <c r="C13" s="100" t="n">
        <v>10</v>
      </c>
      <c r="D13" s="93" t="s">
        <v>238</v>
      </c>
      <c r="E13" s="93" t="s">
        <v>229</v>
      </c>
      <c r="F13" s="101" t="s">
        <v>224</v>
      </c>
      <c r="G13" s="95" t="n">
        <v>26</v>
      </c>
      <c r="H13" s="96" t="n">
        <v>116</v>
      </c>
      <c r="I13" s="97" t="n">
        <f aca="false">G13 *H13</f>
        <v>3016</v>
      </c>
      <c r="J13" s="95"/>
      <c r="K13" s="96" t="n">
        <v>116</v>
      </c>
      <c r="L13" s="98" t="n">
        <f aca="false">J13 *K13</f>
        <v>0</v>
      </c>
      <c r="M13" s="99"/>
    </row>
    <row r="14" customFormat="false" ht="15" hidden="false" customHeight="false" outlineLevel="0" collapsed="false">
      <c r="C14" s="92" t="n">
        <v>11</v>
      </c>
      <c r="D14" s="93" t="s">
        <v>239</v>
      </c>
      <c r="E14" s="93" t="s">
        <v>240</v>
      </c>
      <c r="F14" s="101" t="s">
        <v>224</v>
      </c>
      <c r="G14" s="95" t="n">
        <v>15</v>
      </c>
      <c r="H14" s="96" t="n">
        <v>75</v>
      </c>
      <c r="I14" s="97" t="n">
        <f aca="false">G14 *H14</f>
        <v>1125</v>
      </c>
      <c r="J14" s="95"/>
      <c r="K14" s="96" t="n">
        <v>75</v>
      </c>
      <c r="L14" s="98" t="n">
        <f aca="false">J14 *K14</f>
        <v>0</v>
      </c>
      <c r="M14" s="99"/>
    </row>
    <row r="15" customFormat="false" ht="15" hidden="false" customHeight="false" outlineLevel="0" collapsed="false">
      <c r="C15" s="100" t="n">
        <v>12</v>
      </c>
      <c r="D15" s="93" t="s">
        <v>241</v>
      </c>
      <c r="E15" s="93" t="s">
        <v>242</v>
      </c>
      <c r="F15" s="101" t="s">
        <v>224</v>
      </c>
      <c r="G15" s="103" t="n">
        <v>16</v>
      </c>
      <c r="H15" s="97" t="n">
        <v>75</v>
      </c>
      <c r="I15" s="97" t="n">
        <f aca="false">G15 *H15</f>
        <v>1200</v>
      </c>
      <c r="J15" s="103"/>
      <c r="K15" s="97" t="n">
        <v>75</v>
      </c>
      <c r="L15" s="98" t="n">
        <f aca="false">J15 *K15</f>
        <v>0</v>
      </c>
      <c r="M15" s="99"/>
    </row>
    <row r="16" customFormat="false" ht="15" hidden="false" customHeight="false" outlineLevel="0" collapsed="false">
      <c r="C16" s="92" t="n">
        <v>13</v>
      </c>
      <c r="D16" s="93" t="s">
        <v>243</v>
      </c>
      <c r="E16" s="93" t="s">
        <v>244</v>
      </c>
      <c r="F16" s="101" t="s">
        <v>224</v>
      </c>
      <c r="G16" s="95" t="n">
        <v>28.5</v>
      </c>
      <c r="H16" s="96" t="n">
        <v>75</v>
      </c>
      <c r="I16" s="97" t="n">
        <f aca="false">G16 *H16</f>
        <v>2137.5</v>
      </c>
      <c r="J16" s="95"/>
      <c r="K16" s="96" t="n">
        <v>75</v>
      </c>
      <c r="L16" s="98" t="n">
        <f aca="false">J16 *K16</f>
        <v>0</v>
      </c>
      <c r="M16" s="99"/>
    </row>
    <row r="17" customFormat="false" ht="15" hidden="false" customHeight="false" outlineLevel="0" collapsed="false">
      <c r="C17" s="100" t="n">
        <v>14</v>
      </c>
      <c r="D17" s="93" t="s">
        <v>245</v>
      </c>
      <c r="E17" s="93" t="s">
        <v>229</v>
      </c>
      <c r="F17" s="101" t="s">
        <v>224</v>
      </c>
      <c r="G17" s="95" t="n">
        <v>7.5</v>
      </c>
      <c r="H17" s="96" t="n">
        <v>75</v>
      </c>
      <c r="I17" s="97" t="n">
        <f aca="false">G17 *H17</f>
        <v>562.5</v>
      </c>
      <c r="J17" s="95"/>
      <c r="K17" s="96" t="n">
        <v>75</v>
      </c>
      <c r="L17" s="98" t="n">
        <f aca="false">J17 *K17</f>
        <v>0</v>
      </c>
      <c r="M17" s="99"/>
    </row>
    <row r="18" customFormat="false" ht="15" hidden="false" customHeight="false" outlineLevel="0" collapsed="false">
      <c r="C18" s="92" t="n">
        <v>15</v>
      </c>
      <c r="D18" s="93" t="s">
        <v>246</v>
      </c>
      <c r="E18" s="93" t="s">
        <v>247</v>
      </c>
      <c r="F18" s="101" t="s">
        <v>224</v>
      </c>
      <c r="G18" s="95" t="n">
        <v>15</v>
      </c>
      <c r="H18" s="96" t="n">
        <v>14.6</v>
      </c>
      <c r="I18" s="97" t="n">
        <f aca="false">G18 *H18</f>
        <v>219</v>
      </c>
      <c r="J18" s="95"/>
      <c r="K18" s="96" t="n">
        <v>14.6</v>
      </c>
      <c r="L18" s="98" t="n">
        <f aca="false">J18 *K18</f>
        <v>0</v>
      </c>
      <c r="M18" s="99"/>
    </row>
    <row r="19" customFormat="false" ht="15" hidden="false" customHeight="false" outlineLevel="0" collapsed="false">
      <c r="C19" s="100" t="n">
        <v>16</v>
      </c>
      <c r="D19" s="93" t="s">
        <v>248</v>
      </c>
      <c r="E19" s="93" t="s">
        <v>41</v>
      </c>
      <c r="F19" s="94" t="s">
        <v>224</v>
      </c>
      <c r="G19" s="95" t="n">
        <v>50</v>
      </c>
      <c r="H19" s="96" t="n">
        <v>16</v>
      </c>
      <c r="I19" s="97" t="n">
        <f aca="false">G19 *H19</f>
        <v>800</v>
      </c>
      <c r="J19" s="95"/>
      <c r="K19" s="96" t="n">
        <v>16</v>
      </c>
      <c r="L19" s="98" t="n">
        <f aca="false">J19 *K19</f>
        <v>0</v>
      </c>
      <c r="M19" s="99"/>
    </row>
    <row r="20" customFormat="false" ht="15" hidden="false" customHeight="false" outlineLevel="0" collapsed="false">
      <c r="C20" s="92" t="n">
        <v>17</v>
      </c>
      <c r="D20" s="93" t="s">
        <v>249</v>
      </c>
      <c r="E20" s="93" t="s">
        <v>34</v>
      </c>
      <c r="F20" s="94" t="s">
        <v>224</v>
      </c>
      <c r="G20" s="95" t="n">
        <v>25</v>
      </c>
      <c r="H20" s="96" t="n">
        <v>73.63</v>
      </c>
      <c r="I20" s="97" t="n">
        <f aca="false">G20 *H20</f>
        <v>1840.75</v>
      </c>
      <c r="J20" s="95"/>
      <c r="K20" s="96" t="n">
        <v>73.63</v>
      </c>
      <c r="L20" s="98" t="n">
        <f aca="false">J20 *K20</f>
        <v>0</v>
      </c>
      <c r="M20" s="99"/>
    </row>
    <row r="21" customFormat="false" ht="15" hidden="false" customHeight="false" outlineLevel="0" collapsed="false">
      <c r="C21" s="100" t="n">
        <v>18</v>
      </c>
      <c r="D21" s="93" t="s">
        <v>250</v>
      </c>
      <c r="E21" s="93" t="s">
        <v>251</v>
      </c>
      <c r="F21" s="101" t="s">
        <v>224</v>
      </c>
      <c r="G21" s="95" t="n">
        <v>0</v>
      </c>
      <c r="H21" s="96" t="n">
        <v>43</v>
      </c>
      <c r="I21" s="97" t="n">
        <f aca="false">G21 *H21</f>
        <v>0</v>
      </c>
      <c r="J21" s="95"/>
      <c r="K21" s="96" t="n">
        <v>43</v>
      </c>
      <c r="L21" s="98" t="n">
        <f aca="false">J21 *K21</f>
        <v>0</v>
      </c>
      <c r="M21" s="99"/>
    </row>
    <row r="22" customFormat="false" ht="15" hidden="false" customHeight="false" outlineLevel="0" collapsed="false">
      <c r="C22" s="92" t="n">
        <v>19</v>
      </c>
      <c r="D22" s="93" t="s">
        <v>252</v>
      </c>
      <c r="E22" s="93" t="s">
        <v>34</v>
      </c>
      <c r="F22" s="94" t="s">
        <v>224</v>
      </c>
      <c r="G22" s="95" t="n">
        <v>9</v>
      </c>
      <c r="H22" s="96" t="n">
        <v>86</v>
      </c>
      <c r="I22" s="97" t="n">
        <f aca="false">G22 *H22</f>
        <v>774</v>
      </c>
      <c r="J22" s="95"/>
      <c r="K22" s="96" t="n">
        <v>86</v>
      </c>
      <c r="L22" s="98" t="n">
        <f aca="false">J22 *K22</f>
        <v>0</v>
      </c>
      <c r="M22" s="99"/>
    </row>
    <row r="23" customFormat="false" ht="15" hidden="false" customHeight="false" outlineLevel="0" collapsed="false">
      <c r="C23" s="100" t="n">
        <v>20</v>
      </c>
      <c r="D23" s="93" t="s">
        <v>253</v>
      </c>
      <c r="E23" s="93" t="s">
        <v>223</v>
      </c>
      <c r="F23" s="94" t="s">
        <v>224</v>
      </c>
      <c r="G23" s="95" t="n">
        <v>23</v>
      </c>
      <c r="H23" s="96" t="n">
        <v>15.29</v>
      </c>
      <c r="I23" s="97" t="n">
        <f aca="false">G23 *H23</f>
        <v>351.67</v>
      </c>
      <c r="J23" s="95"/>
      <c r="K23" s="96" t="n">
        <v>15.29</v>
      </c>
      <c r="L23" s="98" t="n">
        <f aca="false">J23 *K23</f>
        <v>0</v>
      </c>
      <c r="M23" s="99"/>
    </row>
    <row r="24" customFormat="false" ht="15" hidden="false" customHeight="false" outlineLevel="0" collapsed="false">
      <c r="C24" s="92" t="n">
        <v>21</v>
      </c>
      <c r="D24" s="93" t="s">
        <v>254</v>
      </c>
      <c r="E24" s="93" t="s">
        <v>255</v>
      </c>
      <c r="F24" s="94" t="s">
        <v>256</v>
      </c>
      <c r="G24" s="95" t="n">
        <v>9</v>
      </c>
      <c r="H24" s="96" t="n">
        <v>16.9</v>
      </c>
      <c r="I24" s="97" t="n">
        <f aca="false">G24 *H24</f>
        <v>152.1</v>
      </c>
      <c r="J24" s="95"/>
      <c r="K24" s="96" t="n">
        <v>16.9</v>
      </c>
      <c r="L24" s="98" t="n">
        <f aca="false">J24 *K24</f>
        <v>0</v>
      </c>
      <c r="M24" s="99"/>
    </row>
    <row r="25" customFormat="false" ht="15" hidden="false" customHeight="false" outlineLevel="0" collapsed="false">
      <c r="C25" s="100" t="n">
        <v>22</v>
      </c>
      <c r="D25" s="93" t="s">
        <v>257</v>
      </c>
      <c r="E25" s="93" t="s">
        <v>227</v>
      </c>
      <c r="F25" s="94" t="s">
        <v>258</v>
      </c>
      <c r="G25" s="95" t="n">
        <v>0</v>
      </c>
      <c r="H25" s="96" t="n">
        <v>32.1</v>
      </c>
      <c r="I25" s="97" t="n">
        <f aca="false">G25 *H25</f>
        <v>0</v>
      </c>
      <c r="J25" s="95"/>
      <c r="K25" s="96" t="n">
        <v>32.1</v>
      </c>
      <c r="L25" s="98" t="n">
        <f aca="false">J25 *K25</f>
        <v>0</v>
      </c>
      <c r="M25" s="99"/>
    </row>
    <row r="26" customFormat="false" ht="15" hidden="false" customHeight="false" outlineLevel="0" collapsed="false">
      <c r="C26" s="92" t="n">
        <v>23</v>
      </c>
      <c r="D26" s="93" t="s">
        <v>259</v>
      </c>
      <c r="E26" s="93" t="s">
        <v>244</v>
      </c>
      <c r="F26" s="94" t="s">
        <v>258</v>
      </c>
      <c r="G26" s="95" t="n">
        <v>17</v>
      </c>
      <c r="H26" s="96" t="n">
        <v>30</v>
      </c>
      <c r="I26" s="97" t="n">
        <f aca="false">G26 *H26</f>
        <v>510</v>
      </c>
      <c r="J26" s="95"/>
      <c r="K26" s="96" t="n">
        <v>30</v>
      </c>
      <c r="L26" s="98" t="n">
        <f aca="false">J26 *K26</f>
        <v>0</v>
      </c>
      <c r="M26" s="99"/>
    </row>
    <row r="27" customFormat="false" ht="15" hidden="false" customHeight="false" outlineLevel="0" collapsed="false">
      <c r="C27" s="100" t="n">
        <v>24</v>
      </c>
      <c r="D27" s="104" t="s">
        <v>260</v>
      </c>
      <c r="E27" s="104" t="s">
        <v>261</v>
      </c>
      <c r="F27" s="105" t="s">
        <v>256</v>
      </c>
      <c r="G27" s="106" t="n">
        <v>0</v>
      </c>
      <c r="H27" s="96" t="n">
        <v>16.9</v>
      </c>
      <c r="I27" s="97" t="n">
        <f aca="false">G27 *H27</f>
        <v>0</v>
      </c>
      <c r="J27" s="106"/>
      <c r="K27" s="96" t="n">
        <v>16.9</v>
      </c>
      <c r="L27" s="98" t="n">
        <f aca="false">J27 *K27</f>
        <v>0</v>
      </c>
      <c r="M27" s="99"/>
    </row>
    <row r="28" customFormat="false" ht="15" hidden="false" customHeight="false" outlineLevel="0" collapsed="false">
      <c r="C28" s="92" t="n">
        <v>25</v>
      </c>
      <c r="D28" s="104" t="s">
        <v>262</v>
      </c>
      <c r="E28" s="104" t="s">
        <v>261</v>
      </c>
      <c r="F28" s="105" t="s">
        <v>256</v>
      </c>
      <c r="G28" s="103" t="n">
        <v>82</v>
      </c>
      <c r="H28" s="97" t="n">
        <v>14.1</v>
      </c>
      <c r="I28" s="97" t="n">
        <f aca="false">G28 *H28</f>
        <v>1156.2</v>
      </c>
      <c r="J28" s="103"/>
      <c r="K28" s="97" t="n">
        <v>14.1</v>
      </c>
      <c r="L28" s="98" t="n">
        <f aca="false">J28 *K28</f>
        <v>0</v>
      </c>
      <c r="M28" s="99"/>
    </row>
    <row r="29" customFormat="false" ht="15" hidden="false" customHeight="false" outlineLevel="0" collapsed="false">
      <c r="C29" s="100" t="n">
        <v>26</v>
      </c>
      <c r="D29" s="104" t="s">
        <v>263</v>
      </c>
      <c r="E29" s="104" t="s">
        <v>264</v>
      </c>
      <c r="F29" s="105" t="s">
        <v>256</v>
      </c>
      <c r="G29" s="103" t="n">
        <v>29</v>
      </c>
      <c r="H29" s="96" t="n">
        <v>30</v>
      </c>
      <c r="I29" s="97" t="n">
        <f aca="false">G29 *H29</f>
        <v>870</v>
      </c>
      <c r="J29" s="103"/>
      <c r="K29" s="96" t="n">
        <v>30</v>
      </c>
      <c r="L29" s="98" t="n">
        <f aca="false">J29 *K29</f>
        <v>0</v>
      </c>
      <c r="M29" s="99"/>
    </row>
    <row r="30" customFormat="false" ht="15" hidden="false" customHeight="false" outlineLevel="0" collapsed="false">
      <c r="C30" s="92" t="n">
        <v>27</v>
      </c>
      <c r="D30" s="104" t="s">
        <v>265</v>
      </c>
      <c r="E30" s="104" t="s">
        <v>266</v>
      </c>
      <c r="F30" s="105" t="s">
        <v>256</v>
      </c>
      <c r="G30" s="103" t="n">
        <v>79</v>
      </c>
      <c r="H30" s="96" t="n">
        <v>30</v>
      </c>
      <c r="I30" s="97" t="n">
        <f aca="false">G30 *H30</f>
        <v>2370</v>
      </c>
      <c r="J30" s="103"/>
      <c r="K30" s="96" t="n">
        <v>30</v>
      </c>
      <c r="L30" s="98" t="n">
        <f aca="false">J30 *K30</f>
        <v>0</v>
      </c>
      <c r="M30" s="99"/>
    </row>
    <row r="31" customFormat="false" ht="15" hidden="false" customHeight="false" outlineLevel="0" collapsed="false">
      <c r="C31" s="100" t="n">
        <v>28</v>
      </c>
      <c r="D31" s="104" t="s">
        <v>267</v>
      </c>
      <c r="E31" s="104" t="s">
        <v>268</v>
      </c>
      <c r="F31" s="105" t="s">
        <v>256</v>
      </c>
      <c r="G31" s="103" t="n">
        <v>15.5</v>
      </c>
      <c r="H31" s="96" t="n">
        <v>27.8</v>
      </c>
      <c r="I31" s="97" t="n">
        <f aca="false">G31 *H31</f>
        <v>430.9</v>
      </c>
      <c r="J31" s="103"/>
      <c r="K31" s="96" t="n">
        <v>27.8</v>
      </c>
      <c r="L31" s="98" t="n">
        <f aca="false">J31 *K31</f>
        <v>0</v>
      </c>
      <c r="M31" s="99"/>
    </row>
    <row r="32" customFormat="false" ht="15" hidden="false" customHeight="false" outlineLevel="0" collapsed="false">
      <c r="C32" s="100" t="n">
        <v>28</v>
      </c>
      <c r="D32" s="104" t="s">
        <v>269</v>
      </c>
      <c r="E32" s="104" t="s">
        <v>268</v>
      </c>
      <c r="F32" s="105" t="s">
        <v>256</v>
      </c>
      <c r="G32" s="103" t="n">
        <v>35</v>
      </c>
      <c r="H32" s="96" t="n">
        <v>27.8</v>
      </c>
      <c r="I32" s="97" t="n">
        <f aca="false">G32 *H32</f>
        <v>973</v>
      </c>
      <c r="J32" s="103"/>
      <c r="K32" s="96" t="n">
        <v>27.8</v>
      </c>
      <c r="L32" s="98" t="n">
        <f aca="false">J32 *K32</f>
        <v>0</v>
      </c>
      <c r="M32" s="99"/>
    </row>
    <row r="33" customFormat="false" ht="19.5" hidden="false" customHeight="true" outlineLevel="0" collapsed="false">
      <c r="C33" s="92" t="n">
        <v>29</v>
      </c>
      <c r="D33" s="104" t="s">
        <v>270</v>
      </c>
      <c r="E33" s="104" t="s">
        <v>271</v>
      </c>
      <c r="F33" s="105" t="s">
        <v>256</v>
      </c>
      <c r="G33" s="103" t="n">
        <v>27</v>
      </c>
      <c r="H33" s="96" t="n">
        <v>33.4</v>
      </c>
      <c r="I33" s="97" t="n">
        <f aca="false">G33 *H33</f>
        <v>901.8</v>
      </c>
      <c r="J33" s="103"/>
      <c r="K33" s="96" t="n">
        <v>33.4</v>
      </c>
      <c r="L33" s="98" t="n">
        <f aca="false">J33 *K33</f>
        <v>0</v>
      </c>
      <c r="M33" s="99"/>
    </row>
    <row r="34" customFormat="false" ht="15" hidden="false" customHeight="false" outlineLevel="0" collapsed="false">
      <c r="C34" s="100" t="n">
        <v>30</v>
      </c>
      <c r="D34" s="104" t="s">
        <v>272</v>
      </c>
      <c r="E34" s="104" t="s">
        <v>266</v>
      </c>
      <c r="F34" s="105" t="s">
        <v>256</v>
      </c>
      <c r="G34" s="103" t="n">
        <v>58</v>
      </c>
      <c r="H34" s="96" t="n">
        <v>23.2</v>
      </c>
      <c r="I34" s="97" t="n">
        <f aca="false">G34 *H34</f>
        <v>1345.6</v>
      </c>
      <c r="J34" s="103"/>
      <c r="K34" s="96" t="n">
        <v>23.2</v>
      </c>
      <c r="L34" s="98" t="n">
        <f aca="false">J34 *K34</f>
        <v>0</v>
      </c>
      <c r="M34" s="99"/>
    </row>
    <row r="35" customFormat="false" ht="15" hidden="false" customHeight="false" outlineLevel="0" collapsed="false">
      <c r="C35" s="92" t="n">
        <v>31</v>
      </c>
      <c r="D35" s="104" t="s">
        <v>273</v>
      </c>
      <c r="E35" s="104" t="s">
        <v>274</v>
      </c>
      <c r="F35" s="105" t="s">
        <v>256</v>
      </c>
      <c r="G35" s="103" t="n">
        <v>78</v>
      </c>
      <c r="H35" s="96" t="n">
        <v>30</v>
      </c>
      <c r="I35" s="97" t="n">
        <f aca="false">G35 *H35</f>
        <v>2340</v>
      </c>
      <c r="J35" s="103"/>
      <c r="K35" s="96" t="n">
        <v>30</v>
      </c>
      <c r="L35" s="98" t="n">
        <f aca="false">J35 *K35</f>
        <v>0</v>
      </c>
      <c r="M35" s="99"/>
    </row>
    <row r="36" customFormat="false" ht="15" hidden="false" customHeight="false" outlineLevel="0" collapsed="false">
      <c r="C36" s="100" t="n">
        <v>32</v>
      </c>
      <c r="D36" s="104" t="s">
        <v>275</v>
      </c>
      <c r="E36" s="104" t="s">
        <v>276</v>
      </c>
      <c r="F36" s="105" t="s">
        <v>256</v>
      </c>
      <c r="G36" s="103" t="n">
        <v>47</v>
      </c>
      <c r="H36" s="96" t="n">
        <v>21.55</v>
      </c>
      <c r="I36" s="97" t="n">
        <f aca="false">G36 *H36</f>
        <v>1012.85</v>
      </c>
      <c r="J36" s="103"/>
      <c r="K36" s="96" t="n">
        <v>21.55</v>
      </c>
      <c r="L36" s="98" t="n">
        <f aca="false">J36 *K36</f>
        <v>0</v>
      </c>
      <c r="M36" s="99"/>
    </row>
    <row r="37" customFormat="false" ht="17.25" hidden="false" customHeight="true" outlineLevel="0" collapsed="false">
      <c r="C37" s="92" t="n">
        <v>33</v>
      </c>
      <c r="D37" s="104" t="s">
        <v>277</v>
      </c>
      <c r="E37" s="104" t="s">
        <v>278</v>
      </c>
      <c r="F37" s="105" t="s">
        <v>256</v>
      </c>
      <c r="G37" s="103" t="n">
        <v>43</v>
      </c>
      <c r="H37" s="96" t="n">
        <v>21.55</v>
      </c>
      <c r="I37" s="97" t="n">
        <f aca="false">G37 *H37</f>
        <v>926.65</v>
      </c>
      <c r="J37" s="103"/>
      <c r="K37" s="96" t="n">
        <v>21.55</v>
      </c>
      <c r="L37" s="98" t="n">
        <f aca="false">J37 *K37</f>
        <v>0</v>
      </c>
      <c r="M37" s="99"/>
    </row>
    <row r="38" customFormat="false" ht="15" hidden="false" customHeight="false" outlineLevel="0" collapsed="false">
      <c r="C38" s="100" t="n">
        <v>34</v>
      </c>
      <c r="D38" s="104" t="s">
        <v>279</v>
      </c>
      <c r="E38" s="104" t="s">
        <v>280</v>
      </c>
      <c r="F38" s="105" t="s">
        <v>256</v>
      </c>
      <c r="G38" s="103" t="n">
        <v>35</v>
      </c>
      <c r="H38" s="96" t="n">
        <v>25.46</v>
      </c>
      <c r="I38" s="97" t="n">
        <f aca="false">G38 *H38</f>
        <v>891.1</v>
      </c>
      <c r="J38" s="103"/>
      <c r="K38" s="96" t="n">
        <v>25.46</v>
      </c>
      <c r="L38" s="98" t="n">
        <f aca="false">J38 *K38</f>
        <v>0</v>
      </c>
      <c r="M38" s="99"/>
    </row>
    <row r="39" customFormat="false" ht="15" hidden="false" customHeight="false" outlineLevel="0" collapsed="false">
      <c r="C39" s="92" t="n">
        <v>35</v>
      </c>
      <c r="D39" s="104" t="s">
        <v>281</v>
      </c>
      <c r="E39" s="104" t="s">
        <v>282</v>
      </c>
      <c r="F39" s="105" t="s">
        <v>256</v>
      </c>
      <c r="G39" s="103" t="n">
        <v>0</v>
      </c>
      <c r="H39" s="96" t="n">
        <v>22.98</v>
      </c>
      <c r="I39" s="97" t="n">
        <f aca="false">G39 *H39</f>
        <v>0</v>
      </c>
      <c r="J39" s="103"/>
      <c r="K39" s="96" t="n">
        <v>22.98</v>
      </c>
      <c r="L39" s="98" t="n">
        <f aca="false">J39 *K39</f>
        <v>0</v>
      </c>
      <c r="M39" s="99"/>
    </row>
    <row r="40" customFormat="false" ht="15" hidden="false" customHeight="false" outlineLevel="0" collapsed="false">
      <c r="C40" s="92" t="n">
        <v>35</v>
      </c>
      <c r="D40" s="104" t="s">
        <v>283</v>
      </c>
      <c r="E40" s="104" t="s">
        <v>282</v>
      </c>
      <c r="F40" s="105" t="s">
        <v>256</v>
      </c>
      <c r="G40" s="103" t="n">
        <v>73</v>
      </c>
      <c r="H40" s="96" t="n">
        <v>37.5</v>
      </c>
      <c r="I40" s="97" t="n">
        <f aca="false">G40 *H40</f>
        <v>2737.5</v>
      </c>
      <c r="J40" s="103"/>
      <c r="K40" s="96" t="n">
        <v>37.5</v>
      </c>
      <c r="L40" s="98" t="n">
        <f aca="false">J40 *K40</f>
        <v>0</v>
      </c>
      <c r="M40" s="99"/>
    </row>
    <row r="41" customFormat="false" ht="15" hidden="false" customHeight="false" outlineLevel="0" collapsed="false">
      <c r="C41" s="100" t="n">
        <v>36</v>
      </c>
      <c r="D41" s="104" t="s">
        <v>284</v>
      </c>
      <c r="E41" s="104" t="s">
        <v>274</v>
      </c>
      <c r="F41" s="105" t="s">
        <v>256</v>
      </c>
      <c r="G41" s="103" t="n">
        <v>72</v>
      </c>
      <c r="H41" s="96" t="n">
        <v>22.5</v>
      </c>
      <c r="I41" s="97" t="n">
        <f aca="false">G41 *H41</f>
        <v>1620</v>
      </c>
      <c r="J41" s="103"/>
      <c r="K41" s="96" t="n">
        <v>22.5</v>
      </c>
      <c r="L41" s="98" t="n">
        <f aca="false">J41 *K41</f>
        <v>0</v>
      </c>
      <c r="M41" s="99"/>
    </row>
    <row r="42" customFormat="false" ht="15" hidden="false" customHeight="false" outlineLevel="0" collapsed="false">
      <c r="C42" s="92" t="n">
        <v>37</v>
      </c>
      <c r="D42" s="104" t="s">
        <v>285</v>
      </c>
      <c r="E42" s="104" t="s">
        <v>286</v>
      </c>
      <c r="F42" s="105" t="s">
        <v>256</v>
      </c>
      <c r="G42" s="103" t="n">
        <v>25</v>
      </c>
      <c r="H42" s="96" t="n">
        <v>30.1</v>
      </c>
      <c r="I42" s="97" t="n">
        <f aca="false">G42 *H42</f>
        <v>752.5</v>
      </c>
      <c r="J42" s="103"/>
      <c r="K42" s="96" t="n">
        <v>30.1</v>
      </c>
      <c r="L42" s="98" t="n">
        <f aca="false">J42 *K42</f>
        <v>0</v>
      </c>
      <c r="M42" s="99"/>
    </row>
    <row r="43" customFormat="false" ht="15" hidden="false" customHeight="false" outlineLevel="0" collapsed="false">
      <c r="C43" s="100" t="n">
        <v>38</v>
      </c>
      <c r="D43" s="104" t="s">
        <v>287</v>
      </c>
      <c r="E43" s="104" t="s">
        <v>229</v>
      </c>
      <c r="F43" s="105" t="s">
        <v>256</v>
      </c>
      <c r="G43" s="103" t="n">
        <v>25</v>
      </c>
      <c r="H43" s="93" t="n">
        <v>30.5</v>
      </c>
      <c r="I43" s="97" t="n">
        <f aca="false">G43 *H43</f>
        <v>762.5</v>
      </c>
      <c r="J43" s="103"/>
      <c r="K43" s="93" t="n">
        <v>30.5</v>
      </c>
      <c r="L43" s="98" t="n">
        <f aca="false">J43 *K43</f>
        <v>0</v>
      </c>
      <c r="M43" s="99"/>
    </row>
    <row r="44" customFormat="false" ht="15" hidden="false" customHeight="false" outlineLevel="0" collapsed="false">
      <c r="C44" s="92" t="n">
        <v>39</v>
      </c>
      <c r="D44" s="104" t="s">
        <v>288</v>
      </c>
      <c r="E44" s="104" t="s">
        <v>289</v>
      </c>
      <c r="F44" s="105" t="s">
        <v>256</v>
      </c>
      <c r="G44" s="103" t="n">
        <v>51</v>
      </c>
      <c r="H44" s="96" t="n">
        <v>58.8</v>
      </c>
      <c r="I44" s="97" t="n">
        <f aca="false">G44 *H44</f>
        <v>2998.8</v>
      </c>
      <c r="J44" s="103"/>
      <c r="K44" s="96" t="n">
        <v>58.8</v>
      </c>
      <c r="L44" s="98" t="n">
        <f aca="false">J44 *K44</f>
        <v>0</v>
      </c>
      <c r="M44" s="99" t="s">
        <v>290</v>
      </c>
    </row>
    <row r="45" customFormat="false" ht="15" hidden="false" customHeight="false" outlineLevel="0" collapsed="false">
      <c r="C45" s="100" t="n">
        <v>40</v>
      </c>
      <c r="D45" s="104" t="s">
        <v>291</v>
      </c>
      <c r="E45" s="104" t="s">
        <v>292</v>
      </c>
      <c r="F45" s="105" t="s">
        <v>256</v>
      </c>
      <c r="G45" s="103" t="n">
        <v>53</v>
      </c>
      <c r="H45" s="96" t="n">
        <v>31.8</v>
      </c>
      <c r="I45" s="97" t="n">
        <f aca="false">G45 *H45</f>
        <v>1685.4</v>
      </c>
      <c r="J45" s="103"/>
      <c r="K45" s="96" t="n">
        <v>31.8</v>
      </c>
      <c r="L45" s="98" t="n">
        <f aca="false">J45 *K45</f>
        <v>0</v>
      </c>
      <c r="M45" s="99"/>
    </row>
    <row r="46" customFormat="false" ht="15" hidden="false" customHeight="false" outlineLevel="0" collapsed="false">
      <c r="C46" s="92" t="n">
        <v>41</v>
      </c>
      <c r="D46" s="104" t="s">
        <v>293</v>
      </c>
      <c r="E46" s="104" t="s">
        <v>278</v>
      </c>
      <c r="F46" s="105" t="s">
        <v>256</v>
      </c>
      <c r="G46" s="103" t="n">
        <v>39</v>
      </c>
      <c r="H46" s="96" t="n">
        <v>30</v>
      </c>
      <c r="I46" s="97" t="n">
        <f aca="false">G46 *H46</f>
        <v>1170</v>
      </c>
      <c r="J46" s="103"/>
      <c r="K46" s="96" t="n">
        <v>30</v>
      </c>
      <c r="L46" s="98" t="n">
        <f aca="false">J46 *K46</f>
        <v>0</v>
      </c>
      <c r="M46" s="99"/>
    </row>
    <row r="47" customFormat="false" ht="15" hidden="false" customHeight="false" outlineLevel="0" collapsed="false">
      <c r="C47" s="100" t="n">
        <v>42</v>
      </c>
      <c r="D47" s="104" t="s">
        <v>294</v>
      </c>
      <c r="E47" s="104" t="s">
        <v>295</v>
      </c>
      <c r="F47" s="105" t="s">
        <v>256</v>
      </c>
      <c r="G47" s="103" t="n">
        <v>64</v>
      </c>
      <c r="H47" s="96" t="n">
        <v>29.9</v>
      </c>
      <c r="I47" s="97" t="n">
        <f aca="false">G47 *H47</f>
        <v>1913.6</v>
      </c>
      <c r="J47" s="103"/>
      <c r="K47" s="96" t="n">
        <v>29.9</v>
      </c>
      <c r="L47" s="98" t="n">
        <f aca="false">J47 *K47</f>
        <v>0</v>
      </c>
      <c r="M47" s="99"/>
    </row>
    <row r="48" customFormat="false" ht="15" hidden="false" customHeight="false" outlineLevel="0" collapsed="false">
      <c r="C48" s="92" t="n">
        <v>43</v>
      </c>
      <c r="D48" s="107" t="s">
        <v>296</v>
      </c>
      <c r="E48" s="104" t="s">
        <v>297</v>
      </c>
      <c r="F48" s="105" t="s">
        <v>256</v>
      </c>
      <c r="G48" s="103" t="n">
        <v>90</v>
      </c>
      <c r="H48" s="96" t="n">
        <v>47</v>
      </c>
      <c r="I48" s="97" t="n">
        <f aca="false">G48 *H48</f>
        <v>4230</v>
      </c>
      <c r="J48" s="103"/>
      <c r="K48" s="96" t="n">
        <v>47</v>
      </c>
      <c r="L48" s="98" t="n">
        <f aca="false">J48 *K48</f>
        <v>0</v>
      </c>
      <c r="M48" s="99"/>
    </row>
    <row r="49" customFormat="false" ht="15" hidden="false" customHeight="false" outlineLevel="0" collapsed="false">
      <c r="C49" s="100" t="n">
        <v>44</v>
      </c>
      <c r="D49" s="108" t="s">
        <v>298</v>
      </c>
      <c r="E49" s="104" t="s">
        <v>299</v>
      </c>
      <c r="F49" s="105" t="s">
        <v>256</v>
      </c>
      <c r="G49" s="103" t="n">
        <v>70</v>
      </c>
      <c r="H49" s="96" t="n">
        <v>78.6</v>
      </c>
      <c r="I49" s="97" t="n">
        <f aca="false">G49 *H49</f>
        <v>5502</v>
      </c>
      <c r="J49" s="103"/>
      <c r="K49" s="96" t="n">
        <v>78.6</v>
      </c>
      <c r="L49" s="98" t="n">
        <f aca="false">J49 *K49</f>
        <v>0</v>
      </c>
      <c r="M49" s="99"/>
    </row>
    <row r="50" customFormat="false" ht="15" hidden="false" customHeight="false" outlineLevel="0" collapsed="false">
      <c r="C50" s="92" t="n">
        <v>45</v>
      </c>
      <c r="D50" s="93" t="s">
        <v>300</v>
      </c>
      <c r="E50" s="93" t="s">
        <v>301</v>
      </c>
      <c r="F50" s="94" t="s">
        <v>256</v>
      </c>
      <c r="G50" s="103" t="n">
        <v>1</v>
      </c>
      <c r="H50" s="96" t="n">
        <v>31.8</v>
      </c>
      <c r="I50" s="97" t="n">
        <f aca="false">G50 *H50</f>
        <v>31.8</v>
      </c>
      <c r="J50" s="103"/>
      <c r="K50" s="96" t="n">
        <v>31.8</v>
      </c>
      <c r="L50" s="98" t="n">
        <f aca="false">J50 *K50</f>
        <v>0</v>
      </c>
      <c r="M50" s="99"/>
    </row>
    <row r="51" customFormat="false" ht="15" hidden="false" customHeight="false" outlineLevel="0" collapsed="false">
      <c r="C51" s="100" t="n">
        <v>46</v>
      </c>
      <c r="D51" s="93" t="s">
        <v>302</v>
      </c>
      <c r="E51" s="93" t="s">
        <v>223</v>
      </c>
      <c r="F51" s="94" t="s">
        <v>256</v>
      </c>
      <c r="G51" s="103" t="n">
        <v>0</v>
      </c>
      <c r="H51" s="96" t="n">
        <v>68.65</v>
      </c>
      <c r="I51" s="97" t="n">
        <f aca="false">G51 *H51</f>
        <v>0</v>
      </c>
      <c r="J51" s="103"/>
      <c r="K51" s="96" t="n">
        <v>68.65</v>
      </c>
      <c r="L51" s="98" t="n">
        <f aca="false">J51 *K51</f>
        <v>0</v>
      </c>
      <c r="M51" s="99" t="s">
        <v>303</v>
      </c>
    </row>
    <row r="52" customFormat="false" ht="15" hidden="false" customHeight="false" outlineLevel="0" collapsed="false">
      <c r="C52" s="92" t="n">
        <v>47</v>
      </c>
      <c r="D52" s="93" t="s">
        <v>304</v>
      </c>
      <c r="E52" s="93" t="s">
        <v>247</v>
      </c>
      <c r="F52" s="94" t="s">
        <v>256</v>
      </c>
      <c r="G52" s="103" t="n">
        <v>13</v>
      </c>
      <c r="H52" s="96" t="n">
        <v>31.8</v>
      </c>
      <c r="I52" s="97" t="n">
        <f aca="false">G52 *H52</f>
        <v>413.4</v>
      </c>
      <c r="J52" s="103"/>
      <c r="K52" s="96" t="n">
        <v>31.8</v>
      </c>
      <c r="L52" s="98" t="n">
        <f aca="false">J52 *K52</f>
        <v>0</v>
      </c>
      <c r="M52" s="99"/>
    </row>
    <row r="53" customFormat="false" ht="15" hidden="false" customHeight="false" outlineLevel="0" collapsed="false">
      <c r="C53" s="100" t="n">
        <v>48</v>
      </c>
      <c r="D53" s="93" t="s">
        <v>305</v>
      </c>
      <c r="E53" s="93" t="s">
        <v>21</v>
      </c>
      <c r="F53" s="94" t="s">
        <v>256</v>
      </c>
      <c r="G53" s="103" t="n">
        <v>8</v>
      </c>
      <c r="H53" s="96" t="n">
        <v>28.33</v>
      </c>
      <c r="I53" s="97" t="n">
        <f aca="false">G53 *H53</f>
        <v>226.64</v>
      </c>
      <c r="J53" s="103"/>
      <c r="K53" s="96" t="n">
        <v>28.33</v>
      </c>
      <c r="L53" s="98" t="n">
        <f aca="false">J53 *K53</f>
        <v>0</v>
      </c>
      <c r="M53" s="99"/>
    </row>
    <row r="54" customFormat="false" ht="15" hidden="false" customHeight="false" outlineLevel="0" collapsed="false">
      <c r="C54" s="92" t="n">
        <v>49</v>
      </c>
      <c r="D54" s="93" t="s">
        <v>306</v>
      </c>
      <c r="E54" s="93" t="s">
        <v>227</v>
      </c>
      <c r="F54" s="94" t="s">
        <v>256</v>
      </c>
      <c r="G54" s="103" t="n">
        <v>25</v>
      </c>
      <c r="H54" s="96" t="n">
        <v>29.13</v>
      </c>
      <c r="I54" s="97" t="n">
        <f aca="false">G54 *H54</f>
        <v>728.25</v>
      </c>
      <c r="J54" s="103"/>
      <c r="K54" s="96" t="n">
        <v>29.13</v>
      </c>
      <c r="L54" s="98" t="n">
        <f aca="false">J54 *K54</f>
        <v>0</v>
      </c>
      <c r="M54" s="99"/>
    </row>
    <row r="55" customFormat="false" ht="15" hidden="false" customHeight="false" outlineLevel="0" collapsed="false">
      <c r="C55" s="100" t="n">
        <v>50</v>
      </c>
      <c r="D55" s="93" t="s">
        <v>307</v>
      </c>
      <c r="E55" s="93" t="s">
        <v>308</v>
      </c>
      <c r="F55" s="94" t="s">
        <v>256</v>
      </c>
      <c r="G55" s="103" t="n">
        <v>20</v>
      </c>
      <c r="H55" s="96" t="n">
        <v>59</v>
      </c>
      <c r="I55" s="97" t="n">
        <f aca="false">G55 *H55</f>
        <v>1180</v>
      </c>
      <c r="J55" s="103"/>
      <c r="K55" s="96" t="n">
        <v>59</v>
      </c>
      <c r="L55" s="98" t="n">
        <f aca="false">J55 *K55</f>
        <v>0</v>
      </c>
      <c r="M55" s="99"/>
    </row>
    <row r="56" customFormat="false" ht="15" hidden="false" customHeight="false" outlineLevel="0" collapsed="false">
      <c r="C56" s="92" t="n">
        <v>51</v>
      </c>
      <c r="D56" s="93" t="s">
        <v>309</v>
      </c>
      <c r="E56" s="93" t="s">
        <v>310</v>
      </c>
      <c r="F56" s="94" t="s">
        <v>256</v>
      </c>
      <c r="G56" s="103" t="n">
        <v>51</v>
      </c>
      <c r="H56" s="96" t="n">
        <v>29.13</v>
      </c>
      <c r="I56" s="97" t="n">
        <f aca="false">G56 *H56</f>
        <v>1485.63</v>
      </c>
      <c r="J56" s="103"/>
      <c r="K56" s="96" t="n">
        <v>29.13</v>
      </c>
      <c r="L56" s="98" t="n">
        <f aca="false">J56 *K56</f>
        <v>0</v>
      </c>
      <c r="M56" s="99"/>
    </row>
    <row r="57" customFormat="false" ht="15" hidden="false" customHeight="false" outlineLevel="0" collapsed="false">
      <c r="C57" s="100" t="n">
        <v>52</v>
      </c>
      <c r="D57" s="93" t="s">
        <v>311</v>
      </c>
      <c r="E57" s="93" t="s">
        <v>312</v>
      </c>
      <c r="F57" s="94" t="s">
        <v>256</v>
      </c>
      <c r="G57" s="103" t="n">
        <v>1</v>
      </c>
      <c r="H57" s="96" t="n">
        <v>30</v>
      </c>
      <c r="I57" s="97" t="n">
        <f aca="false">G57 *H57</f>
        <v>30</v>
      </c>
      <c r="J57" s="103"/>
      <c r="K57" s="96" t="n">
        <v>30</v>
      </c>
      <c r="L57" s="98" t="n">
        <f aca="false">J57 *K57</f>
        <v>0</v>
      </c>
      <c r="M57" s="99"/>
    </row>
    <row r="58" customFormat="false" ht="15" hidden="false" customHeight="false" outlineLevel="0" collapsed="false">
      <c r="C58" s="92" t="n">
        <v>53</v>
      </c>
      <c r="D58" s="93" t="s">
        <v>313</v>
      </c>
      <c r="E58" s="93" t="s">
        <v>34</v>
      </c>
      <c r="F58" s="94" t="s">
        <v>256</v>
      </c>
      <c r="G58" s="103" t="n">
        <v>15</v>
      </c>
      <c r="H58" s="96" t="n">
        <v>30</v>
      </c>
      <c r="I58" s="97" t="n">
        <f aca="false">G58 *H58</f>
        <v>450</v>
      </c>
      <c r="J58" s="103"/>
      <c r="K58" s="96" t="n">
        <v>30</v>
      </c>
      <c r="L58" s="98" t="n">
        <f aca="false">J58 *K58</f>
        <v>0</v>
      </c>
      <c r="M58" s="99"/>
    </row>
    <row r="59" customFormat="false" ht="15" hidden="false" customHeight="false" outlineLevel="0" collapsed="false">
      <c r="C59" s="100" t="n">
        <v>54</v>
      </c>
      <c r="D59" s="93" t="s">
        <v>314</v>
      </c>
      <c r="E59" s="93" t="s">
        <v>34</v>
      </c>
      <c r="F59" s="94" t="s">
        <v>256</v>
      </c>
      <c r="G59" s="103" t="n">
        <v>8</v>
      </c>
      <c r="H59" s="96" t="n">
        <v>32.2</v>
      </c>
      <c r="I59" s="97" t="n">
        <f aca="false">G59 *H59</f>
        <v>257.6</v>
      </c>
      <c r="J59" s="103"/>
      <c r="K59" s="96" t="n">
        <v>32.2</v>
      </c>
      <c r="L59" s="98" t="n">
        <f aca="false">J59 *K59</f>
        <v>0</v>
      </c>
      <c r="M59" s="99"/>
    </row>
    <row r="60" customFormat="false" ht="15" hidden="false" customHeight="false" outlineLevel="0" collapsed="false">
      <c r="C60" s="92" t="n">
        <v>55</v>
      </c>
      <c r="D60" s="93" t="s">
        <v>315</v>
      </c>
      <c r="E60" s="93" t="s">
        <v>223</v>
      </c>
      <c r="F60" s="94" t="s">
        <v>256</v>
      </c>
      <c r="G60" s="103" t="n">
        <v>9</v>
      </c>
      <c r="H60" s="96" t="n">
        <v>10.65</v>
      </c>
      <c r="I60" s="97" t="n">
        <f aca="false">G60 *H60</f>
        <v>95.85</v>
      </c>
      <c r="J60" s="103"/>
      <c r="K60" s="96" t="n">
        <v>10.65</v>
      </c>
      <c r="L60" s="98" t="n">
        <f aca="false">J60 *K60</f>
        <v>0</v>
      </c>
      <c r="M60" s="99"/>
    </row>
    <row r="61" customFormat="false" ht="15" hidden="false" customHeight="false" outlineLevel="0" collapsed="false">
      <c r="C61" s="100" t="n">
        <v>56</v>
      </c>
      <c r="D61" s="93" t="s">
        <v>316</v>
      </c>
      <c r="E61" s="93" t="s">
        <v>229</v>
      </c>
      <c r="F61" s="94" t="s">
        <v>256</v>
      </c>
      <c r="G61" s="103" t="n">
        <v>21</v>
      </c>
      <c r="H61" s="96" t="n">
        <v>38.83</v>
      </c>
      <c r="I61" s="97" t="n">
        <f aca="false">G61 *H61</f>
        <v>815.43</v>
      </c>
      <c r="J61" s="103"/>
      <c r="K61" s="96" t="n">
        <v>38.83</v>
      </c>
      <c r="L61" s="98" t="n">
        <f aca="false">J61 *K61</f>
        <v>0</v>
      </c>
      <c r="M61" s="99"/>
    </row>
    <row r="62" customFormat="false" ht="15" hidden="false" customHeight="false" outlineLevel="0" collapsed="false">
      <c r="C62" s="92" t="n">
        <v>57</v>
      </c>
      <c r="D62" s="93" t="s">
        <v>317</v>
      </c>
      <c r="E62" s="93" t="s">
        <v>34</v>
      </c>
      <c r="F62" s="94" t="s">
        <v>256</v>
      </c>
      <c r="G62" s="103" t="n">
        <v>29</v>
      </c>
      <c r="H62" s="96" t="n">
        <v>57</v>
      </c>
      <c r="I62" s="97" t="n">
        <f aca="false">G62 *H62</f>
        <v>1653</v>
      </c>
      <c r="J62" s="103"/>
      <c r="K62" s="96" t="n">
        <v>57</v>
      </c>
      <c r="L62" s="98" t="n">
        <f aca="false">J62 *K62</f>
        <v>0</v>
      </c>
      <c r="M62" s="99"/>
    </row>
    <row r="63" customFormat="false" ht="15" hidden="false" customHeight="false" outlineLevel="0" collapsed="false">
      <c r="C63" s="100" t="n">
        <v>58</v>
      </c>
      <c r="D63" s="93" t="s">
        <v>318</v>
      </c>
      <c r="E63" s="93" t="s">
        <v>34</v>
      </c>
      <c r="F63" s="94" t="s">
        <v>256</v>
      </c>
      <c r="G63" s="103" t="n">
        <v>12</v>
      </c>
      <c r="H63" s="96" t="n">
        <v>72</v>
      </c>
      <c r="I63" s="97" t="n">
        <f aca="false">G63 *H63</f>
        <v>864</v>
      </c>
      <c r="J63" s="103"/>
      <c r="K63" s="96" t="n">
        <v>72</v>
      </c>
      <c r="L63" s="98" t="n">
        <f aca="false">J63 *K63</f>
        <v>0</v>
      </c>
      <c r="M63" s="99"/>
    </row>
    <row r="64" customFormat="false" ht="15" hidden="false" customHeight="false" outlineLevel="0" collapsed="false">
      <c r="C64" s="92" t="n">
        <v>59</v>
      </c>
      <c r="D64" s="93" t="s">
        <v>319</v>
      </c>
      <c r="E64" s="93" t="s">
        <v>21</v>
      </c>
      <c r="F64" s="94" t="s">
        <v>256</v>
      </c>
      <c r="G64" s="103" t="n">
        <v>56</v>
      </c>
      <c r="H64" s="96" t="n">
        <v>60</v>
      </c>
      <c r="I64" s="97" t="n">
        <f aca="false">G64 *H64</f>
        <v>3360</v>
      </c>
      <c r="J64" s="103"/>
      <c r="K64" s="96" t="n">
        <v>60</v>
      </c>
      <c r="L64" s="98" t="n">
        <f aca="false">J64 *K64</f>
        <v>0</v>
      </c>
      <c r="M64" s="99"/>
    </row>
    <row r="65" customFormat="false" ht="15" hidden="false" customHeight="false" outlineLevel="0" collapsed="false">
      <c r="C65" s="100" t="n">
        <v>60</v>
      </c>
      <c r="D65" s="93" t="s">
        <v>320</v>
      </c>
      <c r="E65" s="93"/>
      <c r="F65" s="94" t="s">
        <v>256</v>
      </c>
      <c r="G65" s="103" t="n">
        <v>12</v>
      </c>
      <c r="H65" s="96" t="n">
        <v>33.54</v>
      </c>
      <c r="I65" s="97" t="n">
        <f aca="false">G65 *H65</f>
        <v>402.48</v>
      </c>
      <c r="J65" s="103"/>
      <c r="K65" s="96" t="n">
        <v>33.54</v>
      </c>
      <c r="L65" s="98" t="n">
        <f aca="false">J65 *K65</f>
        <v>0</v>
      </c>
      <c r="M65" s="99"/>
    </row>
    <row r="66" customFormat="false" ht="15" hidden="false" customHeight="false" outlineLevel="0" collapsed="false">
      <c r="C66" s="92" t="n">
        <v>61</v>
      </c>
      <c r="D66" s="93" t="s">
        <v>321</v>
      </c>
      <c r="E66" s="93" t="s">
        <v>24</v>
      </c>
      <c r="F66" s="94" t="s">
        <v>322</v>
      </c>
      <c r="G66" s="103" t="n">
        <v>9</v>
      </c>
      <c r="H66" s="96" t="n">
        <v>29.64</v>
      </c>
      <c r="I66" s="97" t="n">
        <f aca="false">G66 *H66</f>
        <v>266.76</v>
      </c>
      <c r="J66" s="103"/>
      <c r="K66" s="96" t="n">
        <v>29.64</v>
      </c>
      <c r="L66" s="98" t="n">
        <f aca="false">J66 *K66</f>
        <v>0</v>
      </c>
      <c r="M66" s="99"/>
    </row>
    <row r="67" customFormat="false" ht="15" hidden="false" customHeight="false" outlineLevel="0" collapsed="false">
      <c r="C67" s="100" t="n">
        <v>62</v>
      </c>
      <c r="D67" s="93" t="s">
        <v>323</v>
      </c>
      <c r="E67" s="93" t="s">
        <v>227</v>
      </c>
      <c r="F67" s="94" t="s">
        <v>322</v>
      </c>
      <c r="G67" s="103" t="n">
        <v>23</v>
      </c>
      <c r="H67" s="96" t="n">
        <v>67.3</v>
      </c>
      <c r="I67" s="97" t="n">
        <f aca="false">G67 *H67</f>
        <v>1547.9</v>
      </c>
      <c r="J67" s="103"/>
      <c r="K67" s="96" t="n">
        <v>67.3</v>
      </c>
      <c r="L67" s="98" t="n">
        <f aca="false">J67 *K67</f>
        <v>0</v>
      </c>
      <c r="M67" s="99"/>
    </row>
    <row r="68" customFormat="false" ht="15" hidden="false" customHeight="false" outlineLevel="0" collapsed="false">
      <c r="C68" s="92" t="n">
        <v>63</v>
      </c>
      <c r="D68" s="93" t="s">
        <v>324</v>
      </c>
      <c r="E68" s="93" t="s">
        <v>325</v>
      </c>
      <c r="F68" s="94" t="s">
        <v>322</v>
      </c>
      <c r="G68" s="103" t="n">
        <v>28</v>
      </c>
      <c r="H68" s="96" t="n">
        <v>36.8</v>
      </c>
      <c r="I68" s="97" t="n">
        <f aca="false">G68 *H68</f>
        <v>1030.4</v>
      </c>
      <c r="J68" s="103"/>
      <c r="K68" s="96" t="n">
        <v>36.8</v>
      </c>
      <c r="L68" s="98" t="n">
        <f aca="false">J68 *K68</f>
        <v>0</v>
      </c>
      <c r="M68" s="99"/>
    </row>
    <row r="69" customFormat="false" ht="15" hidden="false" customHeight="false" outlineLevel="0" collapsed="false">
      <c r="C69" s="100" t="n">
        <v>64</v>
      </c>
      <c r="D69" s="93" t="s">
        <v>326</v>
      </c>
      <c r="E69" s="93" t="s">
        <v>327</v>
      </c>
      <c r="F69" s="94" t="s">
        <v>322</v>
      </c>
      <c r="G69" s="103" t="n">
        <v>16</v>
      </c>
      <c r="H69" s="96" t="n">
        <v>29</v>
      </c>
      <c r="I69" s="97" t="n">
        <f aca="false">G69 *H69</f>
        <v>464</v>
      </c>
      <c r="J69" s="103"/>
      <c r="K69" s="96" t="n">
        <v>29</v>
      </c>
      <c r="L69" s="98" t="n">
        <f aca="false">J69 *K69</f>
        <v>0</v>
      </c>
      <c r="M69" s="99"/>
    </row>
    <row r="70" customFormat="false" ht="15" hidden="false" customHeight="false" outlineLevel="0" collapsed="false">
      <c r="C70" s="92" t="n">
        <v>65</v>
      </c>
      <c r="D70" s="93" t="s">
        <v>328</v>
      </c>
      <c r="E70" s="93" t="s">
        <v>247</v>
      </c>
      <c r="F70" s="94" t="s">
        <v>322</v>
      </c>
      <c r="G70" s="103" t="n">
        <v>29</v>
      </c>
      <c r="H70" s="96" t="n">
        <v>30</v>
      </c>
      <c r="I70" s="97" t="n">
        <f aca="false">G70 *H70</f>
        <v>870</v>
      </c>
      <c r="J70" s="103"/>
      <c r="K70" s="96" t="n">
        <v>30</v>
      </c>
      <c r="L70" s="98" t="n">
        <f aca="false">J70 *K70</f>
        <v>0</v>
      </c>
      <c r="M70" s="99"/>
    </row>
    <row r="71" customFormat="false" ht="15" hidden="false" customHeight="false" outlineLevel="0" collapsed="false">
      <c r="C71" s="100" t="n">
        <v>66</v>
      </c>
      <c r="D71" s="93" t="s">
        <v>329</v>
      </c>
      <c r="E71" s="93" t="s">
        <v>247</v>
      </c>
      <c r="F71" s="94" t="s">
        <v>322</v>
      </c>
      <c r="G71" s="103" t="n">
        <v>27</v>
      </c>
      <c r="H71" s="96" t="n">
        <v>31.07</v>
      </c>
      <c r="I71" s="97" t="n">
        <f aca="false">G71 *H71</f>
        <v>838.89</v>
      </c>
      <c r="J71" s="103"/>
      <c r="K71" s="96" t="n">
        <v>31.07</v>
      </c>
      <c r="L71" s="98" t="n">
        <f aca="false">J71 *K71</f>
        <v>0</v>
      </c>
      <c r="M71" s="99"/>
    </row>
    <row r="72" customFormat="false" ht="15" hidden="false" customHeight="false" outlineLevel="0" collapsed="false">
      <c r="C72" s="92" t="n">
        <v>67</v>
      </c>
      <c r="D72" s="93" t="s">
        <v>330</v>
      </c>
      <c r="E72" s="93" t="s">
        <v>331</v>
      </c>
      <c r="F72" s="94" t="s">
        <v>322</v>
      </c>
      <c r="G72" s="103" t="n">
        <v>0</v>
      </c>
      <c r="H72" s="96" t="n">
        <v>30.12</v>
      </c>
      <c r="I72" s="97" t="n">
        <f aca="false">G72 *H72</f>
        <v>0</v>
      </c>
      <c r="J72" s="103"/>
      <c r="K72" s="96" t="n">
        <v>30.12</v>
      </c>
      <c r="L72" s="98" t="n">
        <f aca="false">J72 *K72</f>
        <v>0</v>
      </c>
      <c r="M72" s="99"/>
    </row>
    <row r="73" customFormat="false" ht="15" hidden="false" customHeight="false" outlineLevel="0" collapsed="false">
      <c r="C73" s="100" t="n">
        <v>68</v>
      </c>
      <c r="D73" s="93" t="s">
        <v>332</v>
      </c>
      <c r="E73" s="93" t="s">
        <v>229</v>
      </c>
      <c r="F73" s="94" t="s">
        <v>322</v>
      </c>
      <c r="G73" s="103" t="n">
        <v>7</v>
      </c>
      <c r="H73" s="96" t="n">
        <v>29.45</v>
      </c>
      <c r="I73" s="97" t="n">
        <f aca="false">G73 *H73</f>
        <v>206.15</v>
      </c>
      <c r="J73" s="103"/>
      <c r="K73" s="96" t="n">
        <v>29.45</v>
      </c>
      <c r="L73" s="98" t="n">
        <f aca="false">J73 *K73</f>
        <v>0</v>
      </c>
      <c r="M73" s="99"/>
    </row>
    <row r="74" customFormat="false" ht="15" hidden="false" customHeight="false" outlineLevel="0" collapsed="false">
      <c r="C74" s="92" t="n">
        <v>69</v>
      </c>
      <c r="D74" s="93" t="s">
        <v>333</v>
      </c>
      <c r="E74" s="93" t="s">
        <v>247</v>
      </c>
      <c r="F74" s="94" t="s">
        <v>322</v>
      </c>
      <c r="G74" s="103" t="n">
        <v>33</v>
      </c>
      <c r="H74" s="96" t="n">
        <v>39.06</v>
      </c>
      <c r="I74" s="97" t="n">
        <f aca="false">G74 *H74</f>
        <v>1288.98</v>
      </c>
      <c r="J74" s="103"/>
      <c r="K74" s="96" t="n">
        <v>39.06</v>
      </c>
      <c r="L74" s="98" t="n">
        <f aca="false">J74 *K74</f>
        <v>0</v>
      </c>
      <c r="M74" s="99"/>
    </row>
    <row r="75" customFormat="false" ht="15" hidden="false" customHeight="false" outlineLevel="0" collapsed="false">
      <c r="C75" s="100" t="n">
        <v>70</v>
      </c>
      <c r="D75" s="93" t="s">
        <v>334</v>
      </c>
      <c r="E75" s="93" t="s">
        <v>308</v>
      </c>
      <c r="F75" s="94" t="s">
        <v>322</v>
      </c>
      <c r="G75" s="103" t="n">
        <v>28</v>
      </c>
      <c r="H75" s="96" t="n">
        <v>49.97</v>
      </c>
      <c r="I75" s="97" t="n">
        <f aca="false">G75 *H75</f>
        <v>1399.16</v>
      </c>
      <c r="J75" s="103"/>
      <c r="K75" s="96" t="n">
        <v>49.97</v>
      </c>
      <c r="L75" s="98" t="n">
        <f aca="false">J75 *K75</f>
        <v>0</v>
      </c>
      <c r="M75" s="99"/>
    </row>
    <row r="76" customFormat="false" ht="15" hidden="false" customHeight="false" outlineLevel="0" collapsed="false">
      <c r="C76" s="92" t="n">
        <v>71</v>
      </c>
      <c r="D76" s="104" t="s">
        <v>335</v>
      </c>
      <c r="E76" s="104" t="s">
        <v>271</v>
      </c>
      <c r="F76" s="109" t="s">
        <v>322</v>
      </c>
      <c r="G76" s="103" t="n">
        <v>77</v>
      </c>
      <c r="H76" s="96" t="n">
        <v>84.55</v>
      </c>
      <c r="I76" s="97" t="n">
        <f aca="false">G76 *H76</f>
        <v>6510.35</v>
      </c>
      <c r="J76" s="103"/>
      <c r="K76" s="96" t="n">
        <v>84.55</v>
      </c>
      <c r="L76" s="98" t="n">
        <f aca="false">J76 *K76</f>
        <v>0</v>
      </c>
      <c r="M76" s="99"/>
    </row>
    <row r="77" customFormat="false" ht="15" hidden="false" customHeight="false" outlineLevel="0" collapsed="false">
      <c r="C77" s="100" t="n">
        <v>72</v>
      </c>
      <c r="D77" s="104" t="s">
        <v>336</v>
      </c>
      <c r="E77" s="104" t="s">
        <v>268</v>
      </c>
      <c r="F77" s="109" t="s">
        <v>322</v>
      </c>
      <c r="G77" s="103" t="n">
        <v>30</v>
      </c>
      <c r="H77" s="96" t="n">
        <v>76</v>
      </c>
      <c r="I77" s="97" t="n">
        <f aca="false">G77 *H77</f>
        <v>2280</v>
      </c>
      <c r="J77" s="103"/>
      <c r="K77" s="96" t="n">
        <v>76</v>
      </c>
      <c r="L77" s="98" t="n">
        <f aca="false">J77 *K77</f>
        <v>0</v>
      </c>
      <c r="M77" s="99"/>
    </row>
    <row r="78" customFormat="false" ht="15" hidden="false" customHeight="false" outlineLevel="0" collapsed="false">
      <c r="C78" s="92" t="n">
        <v>73</v>
      </c>
      <c r="D78" s="104" t="s">
        <v>337</v>
      </c>
      <c r="E78" s="104" t="s">
        <v>282</v>
      </c>
      <c r="F78" s="109" t="s">
        <v>322</v>
      </c>
      <c r="G78" s="103" t="n">
        <v>63</v>
      </c>
      <c r="H78" s="96" t="n">
        <v>49.29</v>
      </c>
      <c r="I78" s="97" t="n">
        <f aca="false">G78 *H78</f>
        <v>3105.27</v>
      </c>
      <c r="J78" s="103"/>
      <c r="K78" s="96" t="n">
        <v>49.29</v>
      </c>
      <c r="L78" s="98" t="n">
        <f aca="false">J78 *K78</f>
        <v>0</v>
      </c>
      <c r="M78" s="99"/>
    </row>
    <row r="79" customFormat="false" ht="15" hidden="false" customHeight="false" outlineLevel="0" collapsed="false">
      <c r="C79" s="100" t="n">
        <v>74</v>
      </c>
      <c r="D79" s="104" t="s">
        <v>338</v>
      </c>
      <c r="E79" s="104" t="s">
        <v>339</v>
      </c>
      <c r="F79" s="110" t="s">
        <v>322</v>
      </c>
      <c r="G79" s="103" t="n">
        <v>46</v>
      </c>
      <c r="H79" s="96" t="n">
        <v>35.15</v>
      </c>
      <c r="I79" s="97" t="n">
        <f aca="false">G79 *H79</f>
        <v>1616.9</v>
      </c>
      <c r="J79" s="103"/>
      <c r="K79" s="96" t="n">
        <v>35.15</v>
      </c>
      <c r="L79" s="98" t="n">
        <f aca="false">J79 *K79</f>
        <v>0</v>
      </c>
      <c r="M79" s="99"/>
    </row>
    <row r="80" customFormat="false" ht="15" hidden="false" customHeight="false" outlineLevel="0" collapsed="false">
      <c r="C80" s="92" t="n">
        <v>75</v>
      </c>
      <c r="D80" s="104" t="s">
        <v>340</v>
      </c>
      <c r="E80" s="104" t="s">
        <v>339</v>
      </c>
      <c r="F80" s="110" t="s">
        <v>322</v>
      </c>
      <c r="G80" s="103" t="n">
        <v>41</v>
      </c>
      <c r="H80" s="96" t="n">
        <v>33.35</v>
      </c>
      <c r="I80" s="97" t="n">
        <f aca="false">G80 *H80</f>
        <v>1367.35</v>
      </c>
      <c r="J80" s="103"/>
      <c r="K80" s="96" t="n">
        <v>33.35</v>
      </c>
      <c r="L80" s="98" t="n">
        <f aca="false">J80 *K80</f>
        <v>0</v>
      </c>
      <c r="M80" s="99"/>
    </row>
    <row r="81" customFormat="false" ht="15" hidden="false" customHeight="false" outlineLevel="0" collapsed="false">
      <c r="C81" s="100" t="n">
        <v>76</v>
      </c>
      <c r="D81" s="104" t="s">
        <v>341</v>
      </c>
      <c r="E81" s="104" t="s">
        <v>292</v>
      </c>
      <c r="F81" s="110" t="s">
        <v>322</v>
      </c>
      <c r="G81" s="103" t="n">
        <v>45</v>
      </c>
      <c r="H81" s="96" t="n">
        <v>39</v>
      </c>
      <c r="I81" s="97" t="n">
        <f aca="false">G81 *H81</f>
        <v>1755</v>
      </c>
      <c r="J81" s="103"/>
      <c r="K81" s="96" t="n">
        <v>39</v>
      </c>
      <c r="L81" s="98" t="n">
        <f aca="false">J81 *K81</f>
        <v>0</v>
      </c>
      <c r="M81" s="99"/>
    </row>
    <row r="82" customFormat="false" ht="15" hidden="false" customHeight="false" outlineLevel="0" collapsed="false">
      <c r="C82" s="92" t="n">
        <v>77</v>
      </c>
      <c r="D82" s="104" t="s">
        <v>342</v>
      </c>
      <c r="E82" s="104" t="s">
        <v>295</v>
      </c>
      <c r="F82" s="110" t="s">
        <v>322</v>
      </c>
      <c r="G82" s="103" t="n">
        <v>70</v>
      </c>
      <c r="H82" s="96" t="n">
        <v>36.58</v>
      </c>
      <c r="I82" s="97" t="n">
        <f aca="false">G82 *H82</f>
        <v>2560.6</v>
      </c>
      <c r="J82" s="103"/>
      <c r="K82" s="96" t="n">
        <v>36.58</v>
      </c>
      <c r="L82" s="98" t="n">
        <f aca="false">J82 *K82</f>
        <v>0</v>
      </c>
      <c r="M82" s="99"/>
    </row>
    <row r="83" customFormat="false" ht="15" hidden="false" customHeight="false" outlineLevel="0" collapsed="false">
      <c r="C83" s="100" t="n">
        <v>78</v>
      </c>
      <c r="D83" s="104" t="s">
        <v>343</v>
      </c>
      <c r="E83" s="104" t="s">
        <v>344</v>
      </c>
      <c r="F83" s="110" t="s">
        <v>322</v>
      </c>
      <c r="G83" s="103" t="n">
        <v>20</v>
      </c>
      <c r="H83" s="96" t="n">
        <v>28.37</v>
      </c>
      <c r="I83" s="97" t="n">
        <f aca="false">G83 *H83</f>
        <v>567.4</v>
      </c>
      <c r="J83" s="103"/>
      <c r="K83" s="96" t="n">
        <v>28.37</v>
      </c>
      <c r="L83" s="98" t="n">
        <f aca="false">J83 *K83</f>
        <v>0</v>
      </c>
      <c r="M83" s="99"/>
    </row>
    <row r="84" customFormat="false" ht="15" hidden="false" customHeight="false" outlineLevel="0" collapsed="false">
      <c r="C84" s="92" t="n">
        <v>79</v>
      </c>
      <c r="D84" s="104" t="s">
        <v>345</v>
      </c>
      <c r="E84" s="104" t="s">
        <v>346</v>
      </c>
      <c r="F84" s="110" t="s">
        <v>322</v>
      </c>
      <c r="G84" s="103" t="n">
        <v>20</v>
      </c>
      <c r="H84" s="96" t="n">
        <v>13.89</v>
      </c>
      <c r="I84" s="97" t="n">
        <f aca="false">G84 *H84</f>
        <v>277.8</v>
      </c>
      <c r="J84" s="103"/>
      <c r="K84" s="96" t="n">
        <v>13.89</v>
      </c>
      <c r="L84" s="98" t="n">
        <f aca="false">J84 *K84</f>
        <v>0</v>
      </c>
      <c r="M84" s="99"/>
    </row>
    <row r="85" customFormat="false" ht="15" hidden="false" customHeight="false" outlineLevel="0" collapsed="false">
      <c r="C85" s="100" t="n">
        <v>80</v>
      </c>
      <c r="D85" s="104" t="s">
        <v>347</v>
      </c>
      <c r="E85" s="104" t="s">
        <v>282</v>
      </c>
      <c r="F85" s="110" t="s">
        <v>322</v>
      </c>
      <c r="G85" s="103" t="n">
        <v>42</v>
      </c>
      <c r="H85" s="96" t="n">
        <v>29.93</v>
      </c>
      <c r="I85" s="97" t="n">
        <f aca="false">G85 *H85</f>
        <v>1257.06</v>
      </c>
      <c r="J85" s="103"/>
      <c r="K85" s="96" t="n">
        <v>29.93</v>
      </c>
      <c r="L85" s="98" t="n">
        <f aca="false">J85 *K85</f>
        <v>0</v>
      </c>
      <c r="M85" s="99"/>
    </row>
    <row r="86" customFormat="false" ht="15" hidden="false" customHeight="false" outlineLevel="0" collapsed="false">
      <c r="C86" s="92" t="n">
        <v>81</v>
      </c>
      <c r="D86" s="93" t="s">
        <v>348</v>
      </c>
      <c r="E86" s="93" t="s">
        <v>247</v>
      </c>
      <c r="F86" s="101" t="s">
        <v>322</v>
      </c>
      <c r="G86" s="103" t="n">
        <v>25</v>
      </c>
      <c r="H86" s="96" t="n">
        <v>32.3</v>
      </c>
      <c r="I86" s="97" t="n">
        <f aca="false">G86 *H86</f>
        <v>807.5</v>
      </c>
      <c r="J86" s="103"/>
      <c r="K86" s="96" t="n">
        <v>32.3</v>
      </c>
      <c r="L86" s="98" t="n">
        <f aca="false">J86 *K86</f>
        <v>0</v>
      </c>
      <c r="M86" s="99"/>
    </row>
    <row r="87" customFormat="false" ht="15" hidden="false" customHeight="false" outlineLevel="0" collapsed="false">
      <c r="C87" s="100" t="n">
        <v>82</v>
      </c>
      <c r="D87" s="111" t="s">
        <v>349</v>
      </c>
      <c r="E87" s="93" t="s">
        <v>350</v>
      </c>
      <c r="F87" s="94" t="s">
        <v>322</v>
      </c>
      <c r="G87" s="103" t="n">
        <v>58</v>
      </c>
      <c r="H87" s="96" t="n">
        <v>13.89</v>
      </c>
      <c r="I87" s="97" t="n">
        <f aca="false">G87 *H87</f>
        <v>805.62</v>
      </c>
      <c r="J87" s="103"/>
      <c r="K87" s="96" t="n">
        <v>13.89</v>
      </c>
      <c r="L87" s="98" t="n">
        <f aca="false">J87 *K87</f>
        <v>0</v>
      </c>
      <c r="M87" s="99"/>
    </row>
    <row r="88" customFormat="false" ht="15" hidden="false" customHeight="false" outlineLevel="0" collapsed="false">
      <c r="C88" s="92" t="n">
        <v>83</v>
      </c>
      <c r="D88" s="111" t="s">
        <v>351</v>
      </c>
      <c r="E88" s="93" t="s">
        <v>21</v>
      </c>
      <c r="F88" s="94" t="s">
        <v>322</v>
      </c>
      <c r="G88" s="103" t="n">
        <v>60</v>
      </c>
      <c r="H88" s="96" t="n">
        <v>29.93</v>
      </c>
      <c r="I88" s="97" t="n">
        <f aca="false">G88 *H88</f>
        <v>1795.8</v>
      </c>
      <c r="J88" s="103"/>
      <c r="K88" s="96" t="n">
        <v>29.93</v>
      </c>
      <c r="L88" s="98" t="n">
        <f aca="false">J88 *K88</f>
        <v>0</v>
      </c>
      <c r="M88" s="99"/>
    </row>
    <row r="89" customFormat="false" ht="15" hidden="false" customHeight="false" outlineLevel="0" collapsed="false">
      <c r="C89" s="100" t="n">
        <v>84</v>
      </c>
      <c r="D89" s="93" t="s">
        <v>352</v>
      </c>
      <c r="E89" s="93" t="s">
        <v>247</v>
      </c>
      <c r="F89" s="101" t="s">
        <v>322</v>
      </c>
      <c r="G89" s="103" t="n">
        <v>8</v>
      </c>
      <c r="H89" s="96" t="n">
        <v>27</v>
      </c>
      <c r="I89" s="97" t="n">
        <f aca="false">G89 *H89</f>
        <v>216</v>
      </c>
      <c r="J89" s="103"/>
      <c r="K89" s="96" t="n">
        <v>27</v>
      </c>
      <c r="L89" s="98" t="n">
        <f aca="false">J89 *K89</f>
        <v>0</v>
      </c>
      <c r="M89" s="99"/>
    </row>
    <row r="90" customFormat="false" ht="15" hidden="false" customHeight="false" outlineLevel="0" collapsed="false">
      <c r="C90" s="92" t="n">
        <v>85</v>
      </c>
      <c r="D90" s="93" t="s">
        <v>353</v>
      </c>
      <c r="E90" s="93" t="s">
        <v>229</v>
      </c>
      <c r="F90" s="101" t="s">
        <v>322</v>
      </c>
      <c r="G90" s="103" t="n">
        <v>80</v>
      </c>
      <c r="H90" s="96" t="n">
        <v>39.43</v>
      </c>
      <c r="I90" s="97" t="n">
        <f aca="false">G90 *H90</f>
        <v>3154.4</v>
      </c>
      <c r="J90" s="103"/>
      <c r="K90" s="96" t="n">
        <v>39.43</v>
      </c>
      <c r="L90" s="98" t="n">
        <f aca="false">J90 *K90</f>
        <v>0</v>
      </c>
      <c r="M90" s="99"/>
    </row>
    <row r="91" customFormat="false" ht="15" hidden="false" customHeight="false" outlineLevel="0" collapsed="false">
      <c r="C91" s="100" t="n">
        <v>86</v>
      </c>
      <c r="D91" s="93" t="s">
        <v>354</v>
      </c>
      <c r="E91" s="93" t="s">
        <v>24</v>
      </c>
      <c r="F91" s="112" t="s">
        <v>322</v>
      </c>
      <c r="G91" s="103" t="n">
        <v>35</v>
      </c>
      <c r="H91" s="96" t="n">
        <v>38.6</v>
      </c>
      <c r="I91" s="97" t="n">
        <f aca="false">G91 *H91</f>
        <v>1351</v>
      </c>
      <c r="J91" s="103"/>
      <c r="K91" s="96" t="n">
        <v>38.6</v>
      </c>
      <c r="L91" s="98" t="n">
        <f aca="false">J91 *K91</f>
        <v>0</v>
      </c>
      <c r="M91" s="99"/>
    </row>
    <row r="92" customFormat="false" ht="15" hidden="false" customHeight="false" outlineLevel="0" collapsed="false">
      <c r="C92" s="92" t="n">
        <v>87</v>
      </c>
      <c r="D92" s="93" t="s">
        <v>355</v>
      </c>
      <c r="E92" s="93" t="s">
        <v>356</v>
      </c>
      <c r="F92" s="112" t="s">
        <v>322</v>
      </c>
      <c r="G92" s="103" t="n">
        <v>105</v>
      </c>
      <c r="H92" s="96" t="n">
        <v>65.75</v>
      </c>
      <c r="I92" s="97" t="n">
        <f aca="false">G92 *H92</f>
        <v>6903.75</v>
      </c>
      <c r="J92" s="103"/>
      <c r="K92" s="96" t="n">
        <v>65.75</v>
      </c>
      <c r="L92" s="98" t="n">
        <f aca="false">J92 *K92</f>
        <v>0</v>
      </c>
      <c r="M92" s="99"/>
    </row>
    <row r="93" customFormat="false" ht="15" hidden="false" customHeight="false" outlineLevel="0" collapsed="false">
      <c r="C93" s="100" t="n">
        <v>88</v>
      </c>
      <c r="D93" s="93" t="s">
        <v>357</v>
      </c>
      <c r="E93" s="93" t="s">
        <v>34</v>
      </c>
      <c r="F93" s="101" t="s">
        <v>358</v>
      </c>
      <c r="G93" s="103" t="n">
        <v>120</v>
      </c>
      <c r="H93" s="96" t="n">
        <v>72.38</v>
      </c>
      <c r="I93" s="97" t="n">
        <f aca="false">G93 *H93</f>
        <v>8685.6</v>
      </c>
      <c r="J93" s="103"/>
      <c r="K93" s="96" t="n">
        <v>72.38</v>
      </c>
      <c r="L93" s="98" t="n">
        <f aca="false">J93 *K93</f>
        <v>0</v>
      </c>
      <c r="M93" s="99"/>
    </row>
    <row r="94" customFormat="false" ht="15" hidden="false" customHeight="false" outlineLevel="0" collapsed="false">
      <c r="C94" s="92" t="n">
        <v>89</v>
      </c>
      <c r="D94" s="93" t="s">
        <v>359</v>
      </c>
      <c r="E94" s="93" t="s">
        <v>34</v>
      </c>
      <c r="F94" s="101" t="s">
        <v>358</v>
      </c>
      <c r="G94" s="103" t="n">
        <v>31</v>
      </c>
      <c r="H94" s="96" t="n">
        <v>65.75</v>
      </c>
      <c r="I94" s="97" t="n">
        <f aca="false">G94 *H94</f>
        <v>2038.25</v>
      </c>
      <c r="J94" s="103"/>
      <c r="K94" s="96" t="n">
        <v>65.75</v>
      </c>
      <c r="L94" s="98" t="n">
        <f aca="false">J94 *K94</f>
        <v>0</v>
      </c>
      <c r="M94" s="99"/>
    </row>
    <row r="95" customFormat="false" ht="15" hidden="false" customHeight="false" outlineLevel="0" collapsed="false">
      <c r="C95" s="100" t="n">
        <v>90</v>
      </c>
      <c r="D95" s="93" t="s">
        <v>360</v>
      </c>
      <c r="E95" s="93" t="s">
        <v>244</v>
      </c>
      <c r="F95" s="101" t="s">
        <v>358</v>
      </c>
      <c r="G95" s="103" t="n">
        <v>0</v>
      </c>
      <c r="H95" s="96" t="n">
        <v>66.02</v>
      </c>
      <c r="I95" s="97" t="n">
        <f aca="false">G95 *H95</f>
        <v>0</v>
      </c>
      <c r="J95" s="103"/>
      <c r="K95" s="96" t="n">
        <v>66.02</v>
      </c>
      <c r="L95" s="98" t="n">
        <f aca="false">J95 *K95</f>
        <v>0</v>
      </c>
      <c r="M95" s="99"/>
    </row>
    <row r="96" customFormat="false" ht="15" hidden="false" customHeight="false" outlineLevel="0" collapsed="false">
      <c r="C96" s="92" t="n">
        <v>91</v>
      </c>
      <c r="D96" s="93" t="s">
        <v>361</v>
      </c>
      <c r="E96" s="93" t="s">
        <v>278</v>
      </c>
      <c r="F96" s="101" t="s">
        <v>358</v>
      </c>
      <c r="G96" s="103" t="n">
        <v>25</v>
      </c>
      <c r="H96" s="96" t="n">
        <v>38.7</v>
      </c>
      <c r="I96" s="97" t="n">
        <f aca="false">G96 *H96</f>
        <v>967.5</v>
      </c>
      <c r="J96" s="103"/>
      <c r="K96" s="96" t="n">
        <v>38.7</v>
      </c>
      <c r="L96" s="98" t="n">
        <f aca="false">J96 *K96</f>
        <v>0</v>
      </c>
      <c r="M96" s="99"/>
    </row>
    <row r="97" customFormat="false" ht="15" hidden="false" customHeight="false" outlineLevel="0" collapsed="false">
      <c r="C97" s="100" t="n">
        <v>92</v>
      </c>
      <c r="D97" s="93" t="s">
        <v>362</v>
      </c>
      <c r="E97" s="93" t="s">
        <v>363</v>
      </c>
      <c r="F97" s="112" t="s">
        <v>364</v>
      </c>
      <c r="G97" s="103" t="n">
        <v>16</v>
      </c>
      <c r="H97" s="96" t="n">
        <v>38.45</v>
      </c>
      <c r="I97" s="97" t="n">
        <f aca="false">G97 *H97</f>
        <v>615.2</v>
      </c>
      <c r="J97" s="103"/>
      <c r="K97" s="96" t="n">
        <v>38.45</v>
      </c>
      <c r="L97" s="98" t="n">
        <f aca="false">J97 *K97</f>
        <v>0</v>
      </c>
      <c r="M97" s="99"/>
    </row>
    <row r="98" customFormat="false" ht="15" hidden="false" customHeight="false" outlineLevel="0" collapsed="false">
      <c r="C98" s="92" t="n">
        <v>93</v>
      </c>
      <c r="D98" s="93" t="s">
        <v>365</v>
      </c>
      <c r="E98" s="93" t="s">
        <v>21</v>
      </c>
      <c r="F98" s="112" t="s">
        <v>364</v>
      </c>
      <c r="G98" s="103" t="n">
        <v>12</v>
      </c>
      <c r="H98" s="96" t="n">
        <v>24</v>
      </c>
      <c r="I98" s="97" t="n">
        <f aca="false">G98 *H98</f>
        <v>288</v>
      </c>
      <c r="J98" s="103"/>
      <c r="K98" s="96" t="n">
        <v>24</v>
      </c>
      <c r="L98" s="98" t="n">
        <f aca="false">J98 *K98</f>
        <v>0</v>
      </c>
      <c r="M98" s="99"/>
    </row>
    <row r="99" customFormat="false" ht="15" hidden="false" customHeight="false" outlineLevel="0" collapsed="false">
      <c r="C99" s="100" t="n">
        <v>94</v>
      </c>
      <c r="D99" s="93" t="s">
        <v>366</v>
      </c>
      <c r="E99" s="93" t="s">
        <v>367</v>
      </c>
      <c r="F99" s="94" t="s">
        <v>368</v>
      </c>
      <c r="G99" s="103" t="n">
        <v>25</v>
      </c>
      <c r="H99" s="96" t="n">
        <v>63.56</v>
      </c>
      <c r="I99" s="97" t="n">
        <f aca="false">G99 *H99</f>
        <v>1589</v>
      </c>
      <c r="J99" s="103"/>
      <c r="K99" s="96" t="n">
        <v>63.56</v>
      </c>
      <c r="L99" s="98" t="n">
        <f aca="false">J99 *K99</f>
        <v>0</v>
      </c>
      <c r="M99" s="99"/>
    </row>
    <row r="100" customFormat="false" ht="15" hidden="false" customHeight="false" outlineLevel="0" collapsed="false">
      <c r="C100" s="92" t="n">
        <v>95</v>
      </c>
      <c r="D100" s="93" t="s">
        <v>369</v>
      </c>
      <c r="E100" s="93" t="s">
        <v>41</v>
      </c>
      <c r="F100" s="101" t="s">
        <v>358</v>
      </c>
      <c r="G100" s="103" t="n">
        <v>0</v>
      </c>
      <c r="H100" s="96" t="n">
        <v>18</v>
      </c>
      <c r="I100" s="97" t="n">
        <f aca="false">G100 *H100</f>
        <v>0</v>
      </c>
      <c r="J100" s="103"/>
      <c r="K100" s="96" t="n">
        <v>18</v>
      </c>
      <c r="L100" s="98" t="n">
        <f aca="false">J100 *K100</f>
        <v>0</v>
      </c>
      <c r="M100" s="99"/>
    </row>
    <row r="101" customFormat="false" ht="15" hidden="false" customHeight="false" outlineLevel="0" collapsed="false">
      <c r="C101" s="100" t="n">
        <v>96</v>
      </c>
      <c r="D101" s="93" t="s">
        <v>370</v>
      </c>
      <c r="E101" s="93" t="s">
        <v>308</v>
      </c>
      <c r="F101" s="94" t="s">
        <v>371</v>
      </c>
      <c r="G101" s="103" t="n">
        <v>0</v>
      </c>
      <c r="H101" s="96" t="n">
        <v>18</v>
      </c>
      <c r="I101" s="97" t="n">
        <f aca="false">G101 *H101</f>
        <v>0</v>
      </c>
      <c r="J101" s="103"/>
      <c r="K101" s="96" t="n">
        <v>18</v>
      </c>
      <c r="L101" s="98" t="n">
        <f aca="false">J101 *K101</f>
        <v>0</v>
      </c>
      <c r="M101" s="99"/>
    </row>
    <row r="102" customFormat="false" ht="15" hidden="false" customHeight="false" outlineLevel="0" collapsed="false">
      <c r="C102" s="92" t="n">
        <v>97</v>
      </c>
      <c r="D102" s="93" t="s">
        <v>372</v>
      </c>
      <c r="E102" s="93" t="s">
        <v>308</v>
      </c>
      <c r="F102" s="94" t="s">
        <v>371</v>
      </c>
      <c r="G102" s="103" t="n">
        <v>30</v>
      </c>
      <c r="H102" s="96" t="n">
        <v>18</v>
      </c>
      <c r="I102" s="97" t="n">
        <f aca="false">G102 *H102</f>
        <v>540</v>
      </c>
      <c r="J102" s="103"/>
      <c r="K102" s="96" t="n">
        <v>18</v>
      </c>
      <c r="L102" s="98" t="n">
        <f aca="false">J102 *K102</f>
        <v>0</v>
      </c>
      <c r="M102" s="99"/>
    </row>
    <row r="103" customFormat="false" ht="15" hidden="false" customHeight="false" outlineLevel="0" collapsed="false">
      <c r="C103" s="100" t="n">
        <v>98</v>
      </c>
      <c r="D103" s="93" t="s">
        <v>373</v>
      </c>
      <c r="E103" s="93" t="s">
        <v>247</v>
      </c>
      <c r="F103" s="94" t="s">
        <v>371</v>
      </c>
      <c r="G103" s="103" t="n">
        <v>16</v>
      </c>
      <c r="H103" s="96" t="n">
        <v>15</v>
      </c>
      <c r="I103" s="97" t="n">
        <f aca="false">G103 *H103</f>
        <v>240</v>
      </c>
      <c r="J103" s="103"/>
      <c r="K103" s="96" t="n">
        <v>15</v>
      </c>
      <c r="L103" s="98" t="n">
        <f aca="false">J103 *K103</f>
        <v>0</v>
      </c>
      <c r="M103" s="99"/>
    </row>
    <row r="104" customFormat="false" ht="15" hidden="false" customHeight="false" outlineLevel="0" collapsed="false">
      <c r="C104" s="92" t="n">
        <v>99</v>
      </c>
      <c r="D104" s="93" t="s">
        <v>374</v>
      </c>
      <c r="E104" s="93" t="s">
        <v>34</v>
      </c>
      <c r="F104" s="94" t="s">
        <v>371</v>
      </c>
      <c r="G104" s="103" t="n">
        <v>11</v>
      </c>
      <c r="H104" s="96" t="n">
        <v>9</v>
      </c>
      <c r="I104" s="97" t="n">
        <f aca="false">G104 *H104</f>
        <v>99</v>
      </c>
      <c r="J104" s="103"/>
      <c r="K104" s="96" t="n">
        <v>9</v>
      </c>
      <c r="L104" s="98" t="n">
        <f aca="false">J104 *K104</f>
        <v>0</v>
      </c>
      <c r="M104" s="99"/>
    </row>
    <row r="105" customFormat="false" ht="15" hidden="false" customHeight="false" outlineLevel="0" collapsed="false">
      <c r="C105" s="100" t="n">
        <v>100</v>
      </c>
      <c r="D105" s="93" t="s">
        <v>375</v>
      </c>
      <c r="E105" s="93" t="s">
        <v>41</v>
      </c>
      <c r="F105" s="94" t="s">
        <v>75</v>
      </c>
      <c r="G105" s="103" t="n">
        <v>13</v>
      </c>
      <c r="H105" s="96" t="n">
        <v>29.1</v>
      </c>
      <c r="I105" s="97" t="n">
        <f aca="false">G105 *H105</f>
        <v>378.3</v>
      </c>
      <c r="J105" s="103"/>
      <c r="K105" s="96" t="n">
        <v>29.1</v>
      </c>
      <c r="L105" s="98" t="n">
        <f aca="false">J105 *K105</f>
        <v>0</v>
      </c>
      <c r="M105" s="99"/>
    </row>
    <row r="106" customFormat="false" ht="15" hidden="false" customHeight="false" outlineLevel="0" collapsed="false">
      <c r="C106" s="92" t="n">
        <v>101</v>
      </c>
      <c r="D106" s="93" t="s">
        <v>376</v>
      </c>
      <c r="E106" s="93" t="s">
        <v>34</v>
      </c>
      <c r="F106" s="94" t="s">
        <v>368</v>
      </c>
      <c r="G106" s="103" t="n">
        <v>21</v>
      </c>
      <c r="H106" s="96" t="n">
        <v>14.5</v>
      </c>
      <c r="I106" s="97" t="n">
        <f aca="false">G106 *H106</f>
        <v>304.5</v>
      </c>
      <c r="J106" s="103"/>
      <c r="K106" s="96" t="n">
        <v>14.5</v>
      </c>
      <c r="L106" s="98" t="n">
        <f aca="false">J106 *K106</f>
        <v>0</v>
      </c>
      <c r="M106" s="99"/>
    </row>
    <row r="107" customFormat="false" ht="15" hidden="false" customHeight="false" outlineLevel="0" collapsed="false">
      <c r="C107" s="92" t="n">
        <v>102</v>
      </c>
      <c r="D107" s="93" t="s">
        <v>377</v>
      </c>
      <c r="E107" s="93" t="s">
        <v>378</v>
      </c>
      <c r="F107" s="94" t="s">
        <v>322</v>
      </c>
      <c r="G107" s="113" t="n">
        <v>25</v>
      </c>
      <c r="H107" s="96" t="n">
        <v>34.88</v>
      </c>
      <c r="I107" s="97" t="n">
        <f aca="false">G107 *H107</f>
        <v>872</v>
      </c>
      <c r="J107" s="113"/>
      <c r="K107" s="114" t="n">
        <v>34.88</v>
      </c>
      <c r="L107" s="98" t="n">
        <f aca="false">J107 *K107</f>
        <v>0</v>
      </c>
      <c r="M107" s="99"/>
    </row>
    <row r="108" customFormat="false" ht="15" hidden="false" customHeight="false" outlineLevel="0" collapsed="false">
      <c r="C108" s="92" t="n">
        <v>103</v>
      </c>
      <c r="D108" s="93" t="s">
        <v>379</v>
      </c>
      <c r="E108" s="93" t="s">
        <v>380</v>
      </c>
      <c r="F108" s="94" t="s">
        <v>322</v>
      </c>
      <c r="G108" s="113" t="n">
        <v>25</v>
      </c>
      <c r="H108" s="96" t="n">
        <v>35.72</v>
      </c>
      <c r="I108" s="97" t="n">
        <f aca="false">G108 *H108</f>
        <v>893</v>
      </c>
      <c r="J108" s="113"/>
      <c r="K108" s="114" t="n">
        <v>35.72</v>
      </c>
      <c r="L108" s="98" t="n">
        <f aca="false">J108 *K108</f>
        <v>0</v>
      </c>
      <c r="M108" s="99"/>
    </row>
    <row r="109" customFormat="false" ht="15" hidden="false" customHeight="false" outlineLevel="0" collapsed="false">
      <c r="C109" s="92" t="n">
        <v>104</v>
      </c>
      <c r="D109" s="93" t="s">
        <v>381</v>
      </c>
      <c r="E109" s="93" t="s">
        <v>21</v>
      </c>
      <c r="F109" s="94" t="s">
        <v>368</v>
      </c>
      <c r="G109" s="113" t="n">
        <v>25</v>
      </c>
      <c r="H109" s="96" t="n">
        <v>32.49</v>
      </c>
      <c r="I109" s="97" t="n">
        <f aca="false">G109 *H109</f>
        <v>812.25</v>
      </c>
      <c r="J109" s="113"/>
      <c r="K109" s="114" t="n">
        <v>32.49</v>
      </c>
      <c r="L109" s="98" t="n">
        <f aca="false">J109 *K109</f>
        <v>0</v>
      </c>
      <c r="M109" s="99"/>
    </row>
    <row r="110" customFormat="false" ht="15" hidden="false" customHeight="false" outlineLevel="0" collapsed="false">
      <c r="C110" s="92" t="n">
        <v>105</v>
      </c>
      <c r="D110" s="93" t="s">
        <v>382</v>
      </c>
      <c r="E110" s="93" t="s">
        <v>227</v>
      </c>
      <c r="F110" s="94" t="s">
        <v>368</v>
      </c>
      <c r="G110" s="113" t="n">
        <v>25</v>
      </c>
      <c r="H110" s="96" t="n">
        <v>29.9</v>
      </c>
      <c r="I110" s="97" t="n">
        <f aca="false">G110 *H110</f>
        <v>747.5</v>
      </c>
      <c r="J110" s="113"/>
      <c r="K110" s="114" t="n">
        <v>29.9</v>
      </c>
      <c r="L110" s="98" t="n">
        <f aca="false">J110 *K110</f>
        <v>0</v>
      </c>
      <c r="M110" s="99"/>
    </row>
    <row r="111" customFormat="false" ht="15" hidden="false" customHeight="false" outlineLevel="0" collapsed="false">
      <c r="C111" s="92" t="n">
        <v>106</v>
      </c>
      <c r="D111" s="93" t="s">
        <v>383</v>
      </c>
      <c r="E111" s="93" t="s">
        <v>223</v>
      </c>
      <c r="F111" s="94" t="s">
        <v>256</v>
      </c>
      <c r="G111" s="103" t="n">
        <v>25</v>
      </c>
      <c r="H111" s="96" t="n">
        <v>27.1</v>
      </c>
      <c r="I111" s="115" t="n">
        <f aca="false">G111 *H111</f>
        <v>677.5</v>
      </c>
      <c r="J111" s="113"/>
      <c r="K111" s="96" t="n">
        <v>27.1</v>
      </c>
      <c r="L111" s="115" t="n">
        <f aca="false">J111 *K111</f>
        <v>0</v>
      </c>
      <c r="M111" s="99" t="s">
        <v>384</v>
      </c>
    </row>
    <row r="112" customFormat="false" ht="15" hidden="false" customHeight="false" outlineLevel="0" collapsed="false">
      <c r="C112" s="92" t="n">
        <v>107</v>
      </c>
      <c r="D112" s="93" t="s">
        <v>385</v>
      </c>
      <c r="E112" s="93" t="s">
        <v>223</v>
      </c>
      <c r="F112" s="94" t="s">
        <v>256</v>
      </c>
      <c r="G112" s="103" t="n">
        <v>25</v>
      </c>
      <c r="H112" s="96" t="n">
        <v>32.8</v>
      </c>
      <c r="I112" s="115" t="n">
        <f aca="false">G112 *H112</f>
        <v>820</v>
      </c>
      <c r="J112" s="113"/>
      <c r="K112" s="96" t="n">
        <v>32.8</v>
      </c>
      <c r="L112" s="115" t="n">
        <f aca="false">J112 *K112</f>
        <v>0</v>
      </c>
      <c r="M112" s="99" t="s">
        <v>386</v>
      </c>
    </row>
    <row r="113" customFormat="false" ht="15" hidden="false" customHeight="false" outlineLevel="0" collapsed="false">
      <c r="C113" s="116"/>
      <c r="D113" s="117"/>
      <c r="E113" s="117"/>
      <c r="F113" s="117"/>
      <c r="G113" s="118"/>
      <c r="H113" s="119"/>
      <c r="I113" s="120" t="n">
        <f aca="false">SUM(I4:I110)</f>
        <v>136093.84</v>
      </c>
      <c r="J113" s="118"/>
      <c r="K113" s="119"/>
      <c r="L113" s="121" t="n">
        <f aca="false">SUM(L4:L111)</f>
        <v>0</v>
      </c>
      <c r="M113" s="99"/>
    </row>
    <row r="114" customFormat="false" ht="15.75" hidden="false" customHeight="false" outlineLevel="0" collapsed="false"/>
    <row r="115" customFormat="false" ht="15" hidden="false" customHeight="false" outlineLevel="0" collapsed="false">
      <c r="D115" s="122" t="n">
        <v>191384</v>
      </c>
      <c r="E115" s="123" t="s">
        <v>242</v>
      </c>
      <c r="F115" s="124" t="n">
        <v>50</v>
      </c>
    </row>
    <row r="116" customFormat="false" ht="15" hidden="false" customHeight="false" outlineLevel="0" collapsed="false">
      <c r="D116" s="125" t="n">
        <v>191385</v>
      </c>
      <c r="E116" s="126" t="s">
        <v>247</v>
      </c>
      <c r="F116" s="127" t="n">
        <v>13</v>
      </c>
    </row>
    <row r="117" customFormat="false" ht="15.75" hidden="false" customHeight="false" outlineLevel="0" collapsed="false">
      <c r="D117" s="128" t="n">
        <v>191378</v>
      </c>
      <c r="E117" s="129" t="s">
        <v>301</v>
      </c>
      <c r="F117" s="130" t="n">
        <v>0</v>
      </c>
    </row>
    <row r="121" customFormat="false" ht="15" hidden="false" customHeight="false" outlineLevel="0" collapsed="false">
      <c r="D121" s="0" t="s">
        <v>387</v>
      </c>
    </row>
  </sheetData>
  <autoFilter ref="D3:I113"/>
  <mergeCells count="3">
    <mergeCell ref="C2:F2"/>
    <mergeCell ref="G2:I2"/>
    <mergeCell ref="J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Ania Kwiatek</dc:creator>
  <dc:description/>
  <dc:language>pl-PL</dc:language>
  <cp:lastModifiedBy/>
  <cp:lastPrinted>2026-07-30T09:34:56Z</cp:lastPrinted>
  <dcterms:modified xsi:type="dcterms:W3CDTF">2026-09-25T13:37:47Z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