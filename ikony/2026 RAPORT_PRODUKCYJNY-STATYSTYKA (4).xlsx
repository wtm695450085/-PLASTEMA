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/>
  <mc:AlternateContent xmlns:mc="http://schemas.openxmlformats.org/markup-compatibility/2006">
    <mc:Choice Requires="x15">
      <x15ac:absPath xmlns:x15ac="http://schemas.microsoft.com/office/spreadsheetml/2010/11/ac" url="Z:\PRODUKCJA\PLAN PRODUKCYJNY\RAPORT_PRODUKCYJNY-STATYSTYKA\"/>
    </mc:Choice>
  </mc:AlternateContent>
  <xr:revisionPtr revIDLastSave="0" documentId="13_ncr:1_{E8BC235B-6017-409F-AD67-2BEFB97BF96E}" xr6:coauthVersionLast="47" xr6:coauthVersionMax="47" xr10:uidLastSave="{00000000-0000-0000-0000-000000000000}"/>
  <bookViews>
    <workbookView xWindow="-108" yWindow="-108" windowWidth="23256" windowHeight="12576" firstSheet="15" activeTab="19" xr2:uid="{00000000-000D-0000-FFFF-FFFF00000000}"/>
  </bookViews>
  <sheets>
    <sheet name="raport  (26)" sheetId="73" r:id="rId1"/>
    <sheet name="OKIDAY" sheetId="72" r:id="rId2"/>
    <sheet name="MOBILUS" sheetId="70" r:id="rId3"/>
    <sheet name="HOLYPIT" sheetId="69" r:id="rId4"/>
    <sheet name="REGAL TAGS" sheetId="67" r:id="rId5"/>
    <sheet name="EUROSTER" sheetId="65" r:id="rId6"/>
    <sheet name="MARMITE" sheetId="64" r:id="rId7"/>
    <sheet name="TIMBERNESS" sheetId="63" r:id="rId8"/>
    <sheet name="EVR" sheetId="62" r:id="rId9"/>
    <sheet name="IVT" sheetId="59" r:id="rId10"/>
    <sheet name="SCOOPTEC" sheetId="58" r:id="rId11"/>
    <sheet name="L&amp;P" sheetId="56" r:id="rId12"/>
    <sheet name="ROSA" sheetId="54" r:id="rId13"/>
    <sheet name="HIC" sheetId="55" r:id="rId14"/>
    <sheet name="RAIS" sheetId="53" r:id="rId15"/>
    <sheet name="APP" sheetId="52" r:id="rId16"/>
    <sheet name="ŁUKASIK" sheetId="51" r:id="rId17"/>
    <sheet name="BIT" sheetId="50" r:id="rId18"/>
    <sheet name="FIBERLAB" sheetId="49" r:id="rId19"/>
    <sheet name="COFORMA" sheetId="48" r:id="rId20"/>
    <sheet name="HICTRANS " sheetId="47" r:id="rId21"/>
    <sheet name="KM" sheetId="46" r:id="rId22"/>
    <sheet name="MARBO" sheetId="45" r:id="rId23"/>
    <sheet name="TOPBRIDGE" sheetId="44" r:id="rId24"/>
    <sheet name="LIDERPOOL" sheetId="43" r:id="rId25"/>
    <sheet name="FIBOO" sheetId="41" r:id="rId26"/>
    <sheet name="PALISANDER" sheetId="68" r:id="rId27"/>
    <sheet name="Arkusz10" sheetId="71" r:id="rId28"/>
    <sheet name="Arkusz1" sheetId="23" state="hidden" r:id="rId29"/>
    <sheet name="Arkusz2" sheetId="24" state="hidden" r:id="rId30"/>
    <sheet name="Arkusz3" sheetId="25" state="hidden" r:id="rId31"/>
    <sheet name="Arkusz4" sheetId="26" state="hidden" r:id="rId32"/>
    <sheet name="Arkusz5" sheetId="27" state="hidden" r:id="rId33"/>
    <sheet name="Arkusz6" sheetId="28" state="hidden" r:id="rId34"/>
    <sheet name="Arkusz7" sheetId="29" state="hidden" r:id="rId35"/>
    <sheet name="Arkusz8" sheetId="30" state="hidden" r:id="rId36"/>
    <sheet name="Arkusz9" sheetId="31" state="hidden" r:id="rId37"/>
  </sheets>
  <calcPr calcId="181029"/>
  <pivotCaches>
    <pivotCache cacheId="0" r:id="rId3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2" i="56" l="1"/>
  <c r="O59" i="73" l="1"/>
  <c r="K59" i="73"/>
  <c r="O58" i="73"/>
  <c r="K58" i="73"/>
  <c r="O57" i="73"/>
  <c r="K57" i="73"/>
  <c r="O56" i="73"/>
  <c r="K56" i="73"/>
  <c r="O55" i="73"/>
  <c r="K55" i="73"/>
  <c r="O54" i="73"/>
  <c r="K54" i="73"/>
  <c r="O53" i="73"/>
  <c r="K53" i="73"/>
  <c r="O52" i="73"/>
  <c r="K52" i="73"/>
  <c r="O51" i="73"/>
  <c r="K51" i="73"/>
  <c r="O50" i="73"/>
  <c r="K50" i="73"/>
  <c r="O49" i="73"/>
  <c r="K49" i="73"/>
  <c r="O48" i="73"/>
  <c r="K48" i="73"/>
  <c r="O47" i="73"/>
  <c r="K47" i="73"/>
  <c r="O46" i="73"/>
  <c r="K46" i="73"/>
  <c r="O45" i="73"/>
  <c r="K45" i="73"/>
  <c r="O44" i="73"/>
  <c r="K44" i="73"/>
  <c r="O43" i="73"/>
  <c r="K43" i="73"/>
  <c r="O42" i="73"/>
  <c r="K42" i="73"/>
  <c r="O41" i="73"/>
  <c r="K41" i="73"/>
  <c r="O40" i="73"/>
  <c r="K40" i="73"/>
  <c r="O39" i="73"/>
  <c r="K39" i="73"/>
  <c r="O38" i="73"/>
  <c r="K38" i="73"/>
  <c r="O37" i="73"/>
  <c r="K37" i="73"/>
  <c r="O36" i="73"/>
  <c r="K36" i="73"/>
  <c r="O35" i="73"/>
  <c r="K35" i="73"/>
  <c r="O34" i="73"/>
  <c r="K34" i="73"/>
  <c r="O33" i="73"/>
  <c r="K33" i="73"/>
  <c r="O32" i="73"/>
  <c r="K32" i="73"/>
  <c r="O31" i="73"/>
  <c r="K31" i="73"/>
  <c r="O30" i="73"/>
  <c r="K30" i="73"/>
  <c r="O29" i="73"/>
  <c r="K29" i="73"/>
  <c r="O28" i="73"/>
  <c r="K28" i="73"/>
  <c r="O27" i="73"/>
  <c r="K27" i="73"/>
  <c r="O26" i="73"/>
  <c r="K26" i="73"/>
  <c r="O25" i="73"/>
  <c r="K25" i="73"/>
  <c r="O24" i="73"/>
  <c r="K24" i="73"/>
  <c r="O23" i="73"/>
  <c r="K23" i="73"/>
  <c r="O22" i="73"/>
  <c r="K22" i="73"/>
  <c r="O21" i="73"/>
  <c r="K21" i="73"/>
  <c r="O20" i="73"/>
  <c r="K20" i="73"/>
  <c r="O19" i="73"/>
  <c r="K19" i="73"/>
  <c r="O18" i="73"/>
  <c r="K18" i="73"/>
  <c r="O17" i="73"/>
  <c r="K17" i="73"/>
  <c r="O16" i="73"/>
  <c r="K16" i="73"/>
  <c r="O15" i="73"/>
  <c r="K15" i="73"/>
  <c r="O14" i="73"/>
  <c r="K14" i="73"/>
  <c r="O13" i="73"/>
  <c r="K13" i="73"/>
  <c r="O12" i="73"/>
  <c r="K12" i="73"/>
  <c r="O11" i="73"/>
  <c r="K11" i="73"/>
  <c r="O10" i="73"/>
  <c r="K10" i="73"/>
  <c r="O9" i="73"/>
  <c r="K9" i="73"/>
  <c r="O8" i="73"/>
  <c r="K8" i="73"/>
  <c r="O7" i="73"/>
  <c r="K7" i="73"/>
  <c r="O6" i="73"/>
  <c r="K6" i="73"/>
  <c r="O5" i="73"/>
  <c r="K5" i="73"/>
  <c r="O4" i="73"/>
  <c r="K4" i="73"/>
  <c r="O3" i="73"/>
  <c r="K3" i="73"/>
  <c r="K59" i="56"/>
  <c r="O59" i="56"/>
  <c r="K60" i="56"/>
  <c r="O60" i="56"/>
  <c r="K61" i="56"/>
  <c r="O61" i="56"/>
  <c r="K62" i="56"/>
  <c r="K63" i="56"/>
  <c r="O63" i="56"/>
  <c r="K64" i="56"/>
  <c r="O64" i="56"/>
  <c r="K65" i="56"/>
  <c r="O65" i="56"/>
  <c r="K66" i="56"/>
  <c r="O66" i="56"/>
  <c r="K67" i="56"/>
  <c r="O67" i="56"/>
  <c r="K68" i="56"/>
  <c r="O68" i="56"/>
  <c r="K69" i="56"/>
  <c r="O69" i="56"/>
  <c r="K70" i="56"/>
  <c r="O70" i="56"/>
  <c r="K71" i="56"/>
  <c r="O71" i="56"/>
  <c r="K72" i="56"/>
  <c r="O72" i="56"/>
  <c r="K73" i="56"/>
  <c r="O73" i="56"/>
  <c r="K74" i="56"/>
  <c r="O74" i="56"/>
  <c r="K75" i="56"/>
  <c r="O75" i="56"/>
  <c r="K76" i="56"/>
  <c r="O76" i="56"/>
  <c r="K77" i="56"/>
  <c r="O77" i="56"/>
  <c r="K78" i="56"/>
  <c r="O78" i="56"/>
  <c r="O58" i="56"/>
  <c r="K58" i="56"/>
  <c r="O57" i="56"/>
  <c r="K57" i="56"/>
  <c r="O59" i="72"/>
  <c r="K59" i="72"/>
  <c r="O58" i="72"/>
  <c r="K58" i="72"/>
  <c r="O57" i="72"/>
  <c r="K57" i="72"/>
  <c r="O56" i="72"/>
  <c r="K56" i="72"/>
  <c r="O55" i="72"/>
  <c r="K55" i="72"/>
  <c r="O54" i="72"/>
  <c r="K54" i="72"/>
  <c r="O53" i="72"/>
  <c r="K53" i="72"/>
  <c r="O52" i="72"/>
  <c r="K52" i="72"/>
  <c r="O51" i="72"/>
  <c r="K51" i="72"/>
  <c r="O50" i="72"/>
  <c r="K50" i="72"/>
  <c r="O49" i="72"/>
  <c r="K49" i="72"/>
  <c r="O48" i="72"/>
  <c r="K48" i="72"/>
  <c r="O47" i="72"/>
  <c r="K47" i="72"/>
  <c r="O46" i="72"/>
  <c r="K46" i="72"/>
  <c r="O45" i="72"/>
  <c r="K45" i="72"/>
  <c r="O44" i="72"/>
  <c r="K44" i="72"/>
  <c r="O43" i="72"/>
  <c r="K43" i="72"/>
  <c r="O42" i="72"/>
  <c r="K42" i="72"/>
  <c r="O41" i="72"/>
  <c r="K41" i="72"/>
  <c r="O40" i="72"/>
  <c r="K40" i="72"/>
  <c r="O39" i="72"/>
  <c r="K39" i="72"/>
  <c r="O38" i="72"/>
  <c r="K38" i="72"/>
  <c r="O37" i="72"/>
  <c r="K37" i="72"/>
  <c r="O36" i="72"/>
  <c r="K36" i="72"/>
  <c r="O35" i="72"/>
  <c r="K35" i="72"/>
  <c r="O34" i="72"/>
  <c r="K34" i="72"/>
  <c r="O33" i="72"/>
  <c r="K33" i="72"/>
  <c r="O32" i="72"/>
  <c r="K32" i="72"/>
  <c r="O31" i="72"/>
  <c r="K31" i="72"/>
  <c r="O30" i="72"/>
  <c r="K30" i="72"/>
  <c r="O29" i="72"/>
  <c r="K29" i="72"/>
  <c r="O28" i="72"/>
  <c r="K28" i="72"/>
  <c r="O27" i="72"/>
  <c r="K27" i="72"/>
  <c r="O26" i="72"/>
  <c r="K26" i="72"/>
  <c r="O25" i="72"/>
  <c r="K25" i="72"/>
  <c r="O24" i="72"/>
  <c r="K24" i="72"/>
  <c r="O23" i="72"/>
  <c r="K23" i="72"/>
  <c r="O22" i="72"/>
  <c r="K22" i="72"/>
  <c r="O21" i="72"/>
  <c r="K21" i="72"/>
  <c r="O20" i="72"/>
  <c r="K20" i="72"/>
  <c r="O19" i="72"/>
  <c r="K19" i="72"/>
  <c r="O18" i="72"/>
  <c r="K18" i="72"/>
  <c r="O17" i="72"/>
  <c r="K17" i="72"/>
  <c r="O16" i="72"/>
  <c r="K16" i="72"/>
  <c r="O15" i="72"/>
  <c r="K15" i="72"/>
  <c r="O14" i="72"/>
  <c r="K14" i="72"/>
  <c r="O13" i="72"/>
  <c r="K13" i="72"/>
  <c r="O12" i="72"/>
  <c r="K12" i="72"/>
  <c r="O11" i="72"/>
  <c r="K11" i="72"/>
  <c r="O10" i="72"/>
  <c r="K10" i="72"/>
  <c r="O9" i="72"/>
  <c r="K9" i="72"/>
  <c r="O8" i="72"/>
  <c r="K8" i="72"/>
  <c r="O7" i="72"/>
  <c r="K7" i="72"/>
  <c r="O6" i="72"/>
  <c r="K6" i="72"/>
  <c r="O5" i="72"/>
  <c r="K5" i="72"/>
  <c r="O4" i="72"/>
  <c r="K4" i="72"/>
  <c r="O3" i="72"/>
  <c r="K3" i="72"/>
  <c r="K441" i="41" l="1"/>
  <c r="O441" i="41"/>
  <c r="K442" i="41"/>
  <c r="O442" i="41"/>
  <c r="K443" i="41"/>
  <c r="O443" i="41"/>
  <c r="K444" i="41"/>
  <c r="O444" i="41"/>
  <c r="K445" i="41"/>
  <c r="O445" i="41"/>
  <c r="K446" i="41"/>
  <c r="O446" i="41"/>
  <c r="K447" i="41"/>
  <c r="O447" i="41"/>
  <c r="K448" i="41"/>
  <c r="O448" i="41"/>
  <c r="K449" i="41"/>
  <c r="O449" i="41"/>
  <c r="K450" i="41"/>
  <c r="O450" i="41"/>
  <c r="K451" i="41"/>
  <c r="O451" i="41"/>
  <c r="K452" i="41"/>
  <c r="O452" i="41"/>
  <c r="K358" i="41"/>
  <c r="O358" i="41"/>
  <c r="K359" i="41"/>
  <c r="O359" i="41"/>
  <c r="K360" i="41"/>
  <c r="O360" i="41"/>
  <c r="K361" i="41"/>
  <c r="O361" i="41"/>
  <c r="K362" i="41"/>
  <c r="O362" i="41"/>
  <c r="K363" i="41"/>
  <c r="O363" i="41"/>
  <c r="K364" i="41"/>
  <c r="O364" i="41"/>
  <c r="K365" i="41"/>
  <c r="O365" i="41"/>
  <c r="K366" i="41"/>
  <c r="O366" i="41"/>
  <c r="K367" i="41"/>
  <c r="O367" i="41"/>
  <c r="K368" i="41"/>
  <c r="O368" i="41"/>
  <c r="K369" i="41"/>
  <c r="O369" i="41"/>
  <c r="K370" i="41"/>
  <c r="O370" i="41"/>
  <c r="K371" i="41"/>
  <c r="O371" i="41"/>
  <c r="K372" i="41"/>
  <c r="O372" i="41"/>
  <c r="K373" i="41"/>
  <c r="O373" i="41"/>
  <c r="K374" i="41"/>
  <c r="O374" i="41"/>
  <c r="K375" i="41"/>
  <c r="O375" i="41"/>
  <c r="K376" i="41"/>
  <c r="O376" i="41"/>
  <c r="K377" i="41"/>
  <c r="O377" i="41"/>
  <c r="K378" i="41"/>
  <c r="O378" i="41"/>
  <c r="K379" i="41"/>
  <c r="O379" i="41"/>
  <c r="K380" i="41"/>
  <c r="O380" i="41"/>
  <c r="K381" i="41"/>
  <c r="O381" i="41"/>
  <c r="K382" i="41"/>
  <c r="O382" i="41"/>
  <c r="K383" i="41"/>
  <c r="O383" i="41"/>
  <c r="K384" i="41"/>
  <c r="O384" i="41"/>
  <c r="K385" i="41"/>
  <c r="O385" i="41"/>
  <c r="K386" i="41"/>
  <c r="O386" i="41"/>
  <c r="K387" i="41"/>
  <c r="O387" i="41"/>
  <c r="K388" i="41"/>
  <c r="O388" i="41"/>
  <c r="K389" i="41"/>
  <c r="O389" i="41"/>
  <c r="K390" i="41"/>
  <c r="O390" i="41"/>
  <c r="K391" i="41"/>
  <c r="O391" i="41"/>
  <c r="K392" i="41"/>
  <c r="O392" i="41"/>
  <c r="K393" i="41"/>
  <c r="O393" i="41"/>
  <c r="K394" i="41"/>
  <c r="O394" i="41"/>
  <c r="K395" i="41"/>
  <c r="O395" i="41"/>
  <c r="K396" i="41"/>
  <c r="O396" i="41"/>
  <c r="K397" i="41"/>
  <c r="O397" i="41"/>
  <c r="K398" i="41"/>
  <c r="O398" i="41"/>
  <c r="K399" i="41"/>
  <c r="O399" i="41"/>
  <c r="K400" i="41"/>
  <c r="O400" i="41"/>
  <c r="K401" i="41"/>
  <c r="O401" i="41"/>
  <c r="K402" i="41"/>
  <c r="O402" i="41"/>
  <c r="K403" i="41"/>
  <c r="O403" i="41"/>
  <c r="K404" i="41"/>
  <c r="O404" i="41"/>
  <c r="K405" i="41"/>
  <c r="O405" i="41"/>
  <c r="K406" i="41"/>
  <c r="O406" i="41"/>
  <c r="K407" i="41"/>
  <c r="O407" i="41"/>
  <c r="K408" i="41"/>
  <c r="O408" i="41"/>
  <c r="K409" i="41"/>
  <c r="O409" i="41"/>
  <c r="K410" i="41"/>
  <c r="O410" i="41"/>
  <c r="K411" i="41"/>
  <c r="O411" i="41"/>
  <c r="K412" i="41"/>
  <c r="O412" i="41"/>
  <c r="K413" i="41"/>
  <c r="O413" i="41"/>
  <c r="K414" i="41"/>
  <c r="O414" i="41"/>
  <c r="K415" i="41"/>
  <c r="O415" i="41"/>
  <c r="K416" i="41"/>
  <c r="O416" i="41"/>
  <c r="K417" i="41"/>
  <c r="O417" i="41"/>
  <c r="K418" i="41"/>
  <c r="O418" i="41"/>
  <c r="K419" i="41"/>
  <c r="O419" i="41"/>
  <c r="K420" i="41"/>
  <c r="O420" i="41"/>
  <c r="K421" i="41"/>
  <c r="O421" i="41"/>
  <c r="K422" i="41"/>
  <c r="O422" i="41"/>
  <c r="K423" i="41"/>
  <c r="O423" i="41"/>
  <c r="K424" i="41"/>
  <c r="O424" i="41"/>
  <c r="K425" i="41"/>
  <c r="O425" i="41"/>
  <c r="K426" i="41"/>
  <c r="O426" i="41"/>
  <c r="K427" i="41"/>
  <c r="O427" i="41"/>
  <c r="K428" i="41"/>
  <c r="O428" i="41"/>
  <c r="K429" i="41"/>
  <c r="O429" i="41"/>
  <c r="K430" i="41"/>
  <c r="O430" i="41"/>
  <c r="K431" i="41"/>
  <c r="O431" i="41"/>
  <c r="K432" i="41"/>
  <c r="O432" i="41"/>
  <c r="K433" i="41"/>
  <c r="O433" i="41"/>
  <c r="K434" i="41"/>
  <c r="O434" i="41"/>
  <c r="K435" i="41"/>
  <c r="O435" i="41"/>
  <c r="K436" i="41"/>
  <c r="O436" i="41"/>
  <c r="K437" i="41"/>
  <c r="O437" i="41"/>
  <c r="K438" i="41"/>
  <c r="O438" i="41"/>
  <c r="K439" i="41"/>
  <c r="O439" i="41"/>
  <c r="K440" i="41"/>
  <c r="O440" i="41"/>
  <c r="O3" i="69"/>
  <c r="O59" i="70"/>
  <c r="K59" i="70"/>
  <c r="O58" i="70"/>
  <c r="K58" i="70"/>
  <c r="O57" i="70"/>
  <c r="K57" i="70"/>
  <c r="O56" i="70"/>
  <c r="K56" i="70"/>
  <c r="O55" i="70"/>
  <c r="K55" i="70"/>
  <c r="O54" i="70"/>
  <c r="K54" i="70"/>
  <c r="O53" i="70"/>
  <c r="K53" i="70"/>
  <c r="O52" i="70"/>
  <c r="K52" i="70"/>
  <c r="O51" i="70"/>
  <c r="K51" i="70"/>
  <c r="O50" i="70"/>
  <c r="K50" i="70"/>
  <c r="O49" i="70"/>
  <c r="K49" i="70"/>
  <c r="O48" i="70"/>
  <c r="K48" i="70"/>
  <c r="O47" i="70"/>
  <c r="K47" i="70"/>
  <c r="O46" i="70"/>
  <c r="K46" i="70"/>
  <c r="O45" i="70"/>
  <c r="K45" i="70"/>
  <c r="O44" i="70"/>
  <c r="K44" i="70"/>
  <c r="O43" i="70"/>
  <c r="K43" i="70"/>
  <c r="O42" i="70"/>
  <c r="K42" i="70"/>
  <c r="O41" i="70"/>
  <c r="K41" i="70"/>
  <c r="O40" i="70"/>
  <c r="K40" i="70"/>
  <c r="O39" i="70"/>
  <c r="K39" i="70"/>
  <c r="O38" i="70"/>
  <c r="K38" i="70"/>
  <c r="O37" i="70"/>
  <c r="K37" i="70"/>
  <c r="O36" i="70"/>
  <c r="K36" i="70"/>
  <c r="O35" i="70"/>
  <c r="K35" i="70"/>
  <c r="O34" i="70"/>
  <c r="K34" i="70"/>
  <c r="O33" i="70"/>
  <c r="K33" i="70"/>
  <c r="O32" i="70"/>
  <c r="K32" i="70"/>
  <c r="O31" i="70"/>
  <c r="K31" i="70"/>
  <c r="O30" i="70"/>
  <c r="K30" i="70"/>
  <c r="O29" i="70"/>
  <c r="K29" i="70"/>
  <c r="O28" i="70"/>
  <c r="K28" i="70"/>
  <c r="O27" i="70"/>
  <c r="K27" i="70"/>
  <c r="O26" i="70"/>
  <c r="K26" i="70"/>
  <c r="O25" i="70"/>
  <c r="K25" i="70"/>
  <c r="O24" i="70"/>
  <c r="K24" i="70"/>
  <c r="O23" i="70"/>
  <c r="K23" i="70"/>
  <c r="O22" i="70"/>
  <c r="K22" i="70"/>
  <c r="O21" i="70"/>
  <c r="K21" i="70"/>
  <c r="O20" i="70"/>
  <c r="K20" i="70"/>
  <c r="O19" i="70"/>
  <c r="K19" i="70"/>
  <c r="O18" i="70"/>
  <c r="K18" i="70"/>
  <c r="O17" i="70"/>
  <c r="K17" i="70"/>
  <c r="O16" i="70"/>
  <c r="K16" i="70"/>
  <c r="O15" i="70"/>
  <c r="K15" i="70"/>
  <c r="O14" i="70"/>
  <c r="K14" i="70"/>
  <c r="O13" i="70"/>
  <c r="K13" i="70"/>
  <c r="O12" i="70"/>
  <c r="K12" i="70"/>
  <c r="O11" i="70"/>
  <c r="K11" i="70"/>
  <c r="O10" i="70"/>
  <c r="K10" i="70"/>
  <c r="O9" i="70"/>
  <c r="K9" i="70"/>
  <c r="O8" i="70"/>
  <c r="K8" i="70"/>
  <c r="O7" i="70"/>
  <c r="K7" i="70"/>
  <c r="O6" i="70"/>
  <c r="K6" i="70"/>
  <c r="O5" i="70"/>
  <c r="K5" i="70"/>
  <c r="O4" i="70"/>
  <c r="K4" i="70"/>
  <c r="O3" i="70"/>
  <c r="K3" i="70"/>
  <c r="O33" i="47"/>
  <c r="K33" i="47"/>
  <c r="K23" i="43"/>
  <c r="O48" i="56" l="1"/>
  <c r="K48" i="56"/>
  <c r="O11" i="59" l="1"/>
  <c r="O39" i="56"/>
  <c r="K39" i="56"/>
  <c r="O8" i="68" l="1"/>
  <c r="O59" i="69"/>
  <c r="K59" i="69"/>
  <c r="O58" i="69"/>
  <c r="K58" i="69"/>
  <c r="O57" i="69"/>
  <c r="K57" i="69"/>
  <c r="O56" i="69"/>
  <c r="K56" i="69"/>
  <c r="O55" i="69"/>
  <c r="K55" i="69"/>
  <c r="O54" i="69"/>
  <c r="K54" i="69"/>
  <c r="O53" i="69"/>
  <c r="K53" i="69"/>
  <c r="O52" i="69"/>
  <c r="K52" i="69"/>
  <c r="O51" i="69"/>
  <c r="K51" i="69"/>
  <c r="O50" i="69"/>
  <c r="K50" i="69"/>
  <c r="O49" i="69"/>
  <c r="K49" i="69"/>
  <c r="O48" i="69"/>
  <c r="K48" i="69"/>
  <c r="O47" i="69"/>
  <c r="K47" i="69"/>
  <c r="O46" i="69"/>
  <c r="K46" i="69"/>
  <c r="O45" i="69"/>
  <c r="K45" i="69"/>
  <c r="O44" i="69"/>
  <c r="K44" i="69"/>
  <c r="O43" i="69"/>
  <c r="K43" i="69"/>
  <c r="O42" i="69"/>
  <c r="K42" i="69"/>
  <c r="O41" i="69"/>
  <c r="K41" i="69"/>
  <c r="O40" i="69"/>
  <c r="K40" i="69"/>
  <c r="O39" i="69"/>
  <c r="K39" i="69"/>
  <c r="O38" i="69"/>
  <c r="K38" i="69"/>
  <c r="O37" i="69"/>
  <c r="K37" i="69"/>
  <c r="O36" i="69"/>
  <c r="K36" i="69"/>
  <c r="O35" i="69"/>
  <c r="K35" i="69"/>
  <c r="O34" i="69"/>
  <c r="K34" i="69"/>
  <c r="O33" i="69"/>
  <c r="K33" i="69"/>
  <c r="O32" i="69"/>
  <c r="K32" i="69"/>
  <c r="O31" i="69"/>
  <c r="K31" i="69"/>
  <c r="O30" i="69"/>
  <c r="K30" i="69"/>
  <c r="O29" i="69"/>
  <c r="K29" i="69"/>
  <c r="O28" i="69"/>
  <c r="K28" i="69"/>
  <c r="O27" i="69"/>
  <c r="K27" i="69"/>
  <c r="O26" i="69"/>
  <c r="K26" i="69"/>
  <c r="O25" i="69"/>
  <c r="K25" i="69"/>
  <c r="O24" i="69"/>
  <c r="K24" i="69"/>
  <c r="O23" i="69"/>
  <c r="K23" i="69"/>
  <c r="O22" i="69"/>
  <c r="K22" i="69"/>
  <c r="O21" i="69"/>
  <c r="K21" i="69"/>
  <c r="O20" i="69"/>
  <c r="K20" i="69"/>
  <c r="O19" i="69"/>
  <c r="K19" i="69"/>
  <c r="O18" i="69"/>
  <c r="K18" i="69"/>
  <c r="O17" i="69"/>
  <c r="K17" i="69"/>
  <c r="O16" i="69"/>
  <c r="K16" i="69"/>
  <c r="O15" i="69"/>
  <c r="K15" i="69"/>
  <c r="O14" i="69"/>
  <c r="K14" i="69"/>
  <c r="O13" i="69"/>
  <c r="K13" i="69"/>
  <c r="O12" i="69"/>
  <c r="K12" i="69"/>
  <c r="O11" i="69"/>
  <c r="K11" i="69"/>
  <c r="O10" i="69"/>
  <c r="K10" i="69"/>
  <c r="O9" i="69"/>
  <c r="K9" i="69"/>
  <c r="O8" i="69"/>
  <c r="K8" i="69"/>
  <c r="O7" i="69"/>
  <c r="K7" i="69"/>
  <c r="O6" i="69"/>
  <c r="K6" i="69"/>
  <c r="O5" i="69"/>
  <c r="K5" i="69"/>
  <c r="O4" i="69"/>
  <c r="K4" i="69"/>
  <c r="K3" i="69"/>
  <c r="O59" i="68"/>
  <c r="K59" i="68"/>
  <c r="O58" i="68"/>
  <c r="K58" i="68"/>
  <c r="O57" i="68"/>
  <c r="K57" i="68"/>
  <c r="O56" i="68"/>
  <c r="K56" i="68"/>
  <c r="O55" i="68"/>
  <c r="K55" i="68"/>
  <c r="O54" i="68"/>
  <c r="K54" i="68"/>
  <c r="O53" i="68"/>
  <c r="K53" i="68"/>
  <c r="O52" i="68"/>
  <c r="K52" i="68"/>
  <c r="O51" i="68"/>
  <c r="K51" i="68"/>
  <c r="O50" i="68"/>
  <c r="K50" i="68"/>
  <c r="O49" i="68"/>
  <c r="K49" i="68"/>
  <c r="O48" i="68"/>
  <c r="K48" i="68"/>
  <c r="O47" i="68"/>
  <c r="K47" i="68"/>
  <c r="O46" i="68"/>
  <c r="K46" i="68"/>
  <c r="O45" i="68"/>
  <c r="K45" i="68"/>
  <c r="O44" i="68"/>
  <c r="K44" i="68"/>
  <c r="O43" i="68"/>
  <c r="K43" i="68"/>
  <c r="O42" i="68"/>
  <c r="K42" i="68"/>
  <c r="O41" i="68"/>
  <c r="K41" i="68"/>
  <c r="O40" i="68"/>
  <c r="K40" i="68"/>
  <c r="O39" i="68"/>
  <c r="K39" i="68"/>
  <c r="O38" i="68"/>
  <c r="K38" i="68"/>
  <c r="O37" i="68"/>
  <c r="K37" i="68"/>
  <c r="O36" i="68"/>
  <c r="K36" i="68"/>
  <c r="O35" i="68"/>
  <c r="K35" i="68"/>
  <c r="O34" i="68"/>
  <c r="K34" i="68"/>
  <c r="O33" i="68"/>
  <c r="K33" i="68"/>
  <c r="O32" i="68"/>
  <c r="K32" i="68"/>
  <c r="O31" i="68"/>
  <c r="K31" i="68"/>
  <c r="O30" i="68"/>
  <c r="K30" i="68"/>
  <c r="O29" i="68"/>
  <c r="K29" i="68"/>
  <c r="O28" i="68"/>
  <c r="K28" i="68"/>
  <c r="O27" i="68"/>
  <c r="K27" i="68"/>
  <c r="O26" i="68"/>
  <c r="K26" i="68"/>
  <c r="O25" i="68"/>
  <c r="K25" i="68"/>
  <c r="O24" i="68"/>
  <c r="K24" i="68"/>
  <c r="O23" i="68"/>
  <c r="K23" i="68"/>
  <c r="O22" i="68"/>
  <c r="K22" i="68"/>
  <c r="O21" i="68"/>
  <c r="K21" i="68"/>
  <c r="O20" i="68"/>
  <c r="K20" i="68"/>
  <c r="O19" i="68"/>
  <c r="K19" i="68"/>
  <c r="O18" i="68"/>
  <c r="K18" i="68"/>
  <c r="O17" i="68"/>
  <c r="K17" i="68"/>
  <c r="O16" i="68"/>
  <c r="K16" i="68"/>
  <c r="O15" i="68"/>
  <c r="K15" i="68"/>
  <c r="O14" i="68"/>
  <c r="K14" i="68"/>
  <c r="O13" i="68"/>
  <c r="K13" i="68"/>
  <c r="O12" i="68"/>
  <c r="K12" i="68"/>
  <c r="O11" i="68"/>
  <c r="K11" i="68"/>
  <c r="O10" i="68"/>
  <c r="K10" i="68"/>
  <c r="O9" i="68"/>
  <c r="K9" i="68"/>
  <c r="K8" i="68"/>
  <c r="O7" i="68"/>
  <c r="K7" i="68"/>
  <c r="O6" i="68"/>
  <c r="K6" i="68"/>
  <c r="O5" i="68"/>
  <c r="K5" i="68"/>
  <c r="O4" i="68"/>
  <c r="K4" i="68"/>
  <c r="O3" i="68"/>
  <c r="K3" i="68"/>
  <c r="O198" i="41" l="1"/>
  <c r="K198" i="41"/>
  <c r="O197" i="41"/>
  <c r="K197" i="41"/>
  <c r="O196" i="41"/>
  <c r="K196" i="41"/>
  <c r="O59" i="67"/>
  <c r="K59" i="67"/>
  <c r="O58" i="67"/>
  <c r="K58" i="67"/>
  <c r="O57" i="67"/>
  <c r="K57" i="67"/>
  <c r="O56" i="67"/>
  <c r="K56" i="67"/>
  <c r="O55" i="67"/>
  <c r="K55" i="67"/>
  <c r="O54" i="67"/>
  <c r="K54" i="67"/>
  <c r="O53" i="67"/>
  <c r="K53" i="67"/>
  <c r="O52" i="67"/>
  <c r="K52" i="67"/>
  <c r="O51" i="67"/>
  <c r="K51" i="67"/>
  <c r="O50" i="67"/>
  <c r="K50" i="67"/>
  <c r="O49" i="67"/>
  <c r="K49" i="67"/>
  <c r="O48" i="67"/>
  <c r="K48" i="67"/>
  <c r="O47" i="67"/>
  <c r="K47" i="67"/>
  <c r="O46" i="67"/>
  <c r="K46" i="67"/>
  <c r="O45" i="67"/>
  <c r="K45" i="67"/>
  <c r="O44" i="67"/>
  <c r="K44" i="67"/>
  <c r="O43" i="67"/>
  <c r="K43" i="67"/>
  <c r="O42" i="67"/>
  <c r="K42" i="67"/>
  <c r="O41" i="67"/>
  <c r="K41" i="67"/>
  <c r="O40" i="67"/>
  <c r="K40" i="67"/>
  <c r="O39" i="67"/>
  <c r="K39" i="67"/>
  <c r="O38" i="67"/>
  <c r="K38" i="67"/>
  <c r="O37" i="67"/>
  <c r="K37" i="67"/>
  <c r="O36" i="67"/>
  <c r="K36" i="67"/>
  <c r="O35" i="67"/>
  <c r="K35" i="67"/>
  <c r="O34" i="67"/>
  <c r="K34" i="67"/>
  <c r="O33" i="67"/>
  <c r="K33" i="67"/>
  <c r="O32" i="67"/>
  <c r="K32" i="67"/>
  <c r="O31" i="67"/>
  <c r="K31" i="67"/>
  <c r="O30" i="67"/>
  <c r="K30" i="67"/>
  <c r="O29" i="67"/>
  <c r="K29" i="67"/>
  <c r="O28" i="67"/>
  <c r="K28" i="67"/>
  <c r="O27" i="67"/>
  <c r="K27" i="67"/>
  <c r="O26" i="67"/>
  <c r="K26" i="67"/>
  <c r="O25" i="67"/>
  <c r="K25" i="67"/>
  <c r="O24" i="67"/>
  <c r="K24" i="67"/>
  <c r="O23" i="67"/>
  <c r="K23" i="67"/>
  <c r="O22" i="67"/>
  <c r="K22" i="67"/>
  <c r="O21" i="67"/>
  <c r="K21" i="67"/>
  <c r="O20" i="67"/>
  <c r="K20" i="67"/>
  <c r="O19" i="67"/>
  <c r="K19" i="67"/>
  <c r="O18" i="67"/>
  <c r="K18" i="67"/>
  <c r="O17" i="67"/>
  <c r="K17" i="67"/>
  <c r="O16" i="67"/>
  <c r="K16" i="67"/>
  <c r="O15" i="67"/>
  <c r="K15" i="67"/>
  <c r="O14" i="67"/>
  <c r="K14" i="67"/>
  <c r="O13" i="67"/>
  <c r="K13" i="67"/>
  <c r="O12" i="67"/>
  <c r="K12" i="67"/>
  <c r="O11" i="67"/>
  <c r="K11" i="67"/>
  <c r="O10" i="67"/>
  <c r="K10" i="67"/>
  <c r="O9" i="67"/>
  <c r="K9" i="67"/>
  <c r="O8" i="67"/>
  <c r="K8" i="67"/>
  <c r="O7" i="67"/>
  <c r="K7" i="67"/>
  <c r="O6" i="67"/>
  <c r="K6" i="67"/>
  <c r="O5" i="67"/>
  <c r="K5" i="67"/>
  <c r="O4" i="67"/>
  <c r="K4" i="67"/>
  <c r="O3" i="67"/>
  <c r="K3" i="67"/>
  <c r="O59" i="65" l="1"/>
  <c r="K59" i="65"/>
  <c r="O58" i="65"/>
  <c r="K58" i="65"/>
  <c r="O57" i="65"/>
  <c r="K57" i="65"/>
  <c r="O56" i="65"/>
  <c r="K56" i="65"/>
  <c r="O55" i="65"/>
  <c r="K55" i="65"/>
  <c r="O54" i="65"/>
  <c r="K54" i="65"/>
  <c r="O53" i="65"/>
  <c r="K53" i="65"/>
  <c r="O52" i="65"/>
  <c r="K52" i="65"/>
  <c r="O51" i="65"/>
  <c r="K51" i="65"/>
  <c r="O50" i="65"/>
  <c r="K50" i="65"/>
  <c r="O49" i="65"/>
  <c r="K49" i="65"/>
  <c r="O48" i="65"/>
  <c r="K48" i="65"/>
  <c r="O47" i="65"/>
  <c r="K47" i="65"/>
  <c r="O46" i="65"/>
  <c r="K46" i="65"/>
  <c r="O45" i="65"/>
  <c r="K45" i="65"/>
  <c r="O44" i="65"/>
  <c r="K44" i="65"/>
  <c r="O43" i="65"/>
  <c r="K43" i="65"/>
  <c r="O42" i="65"/>
  <c r="K42" i="65"/>
  <c r="O41" i="65"/>
  <c r="K41" i="65"/>
  <c r="O40" i="65"/>
  <c r="K40" i="65"/>
  <c r="O39" i="65"/>
  <c r="K39" i="65"/>
  <c r="O38" i="65"/>
  <c r="K38" i="65"/>
  <c r="O37" i="65"/>
  <c r="K37" i="65"/>
  <c r="O36" i="65"/>
  <c r="K36" i="65"/>
  <c r="O35" i="65"/>
  <c r="K35" i="65"/>
  <c r="O34" i="65"/>
  <c r="K34" i="65"/>
  <c r="O33" i="65"/>
  <c r="K33" i="65"/>
  <c r="O32" i="65"/>
  <c r="K32" i="65"/>
  <c r="O31" i="65"/>
  <c r="K31" i="65"/>
  <c r="O30" i="65"/>
  <c r="K30" i="65"/>
  <c r="O29" i="65"/>
  <c r="K29" i="65"/>
  <c r="O28" i="65"/>
  <c r="K28" i="65"/>
  <c r="O27" i="65"/>
  <c r="K27" i="65"/>
  <c r="O26" i="65"/>
  <c r="K26" i="65"/>
  <c r="O25" i="65"/>
  <c r="K25" i="65"/>
  <c r="O24" i="65"/>
  <c r="K24" i="65"/>
  <c r="O23" i="65"/>
  <c r="K23" i="65"/>
  <c r="O22" i="65"/>
  <c r="K22" i="65"/>
  <c r="O21" i="65"/>
  <c r="K21" i="65"/>
  <c r="O20" i="65"/>
  <c r="K20" i="65"/>
  <c r="O19" i="65"/>
  <c r="K19" i="65"/>
  <c r="O18" i="65"/>
  <c r="K18" i="65"/>
  <c r="O17" i="65"/>
  <c r="K17" i="65"/>
  <c r="O16" i="65"/>
  <c r="K16" i="65"/>
  <c r="O15" i="65"/>
  <c r="K15" i="65"/>
  <c r="O14" i="65"/>
  <c r="K14" i="65"/>
  <c r="O13" i="65"/>
  <c r="K13" i="65"/>
  <c r="O12" i="65"/>
  <c r="K12" i="65"/>
  <c r="O11" i="65"/>
  <c r="K11" i="65"/>
  <c r="O10" i="65"/>
  <c r="K10" i="65"/>
  <c r="O9" i="65"/>
  <c r="K9" i="65"/>
  <c r="O8" i="65"/>
  <c r="K8" i="65"/>
  <c r="O7" i="65"/>
  <c r="K7" i="65"/>
  <c r="O6" i="65"/>
  <c r="K6" i="65"/>
  <c r="O5" i="65"/>
  <c r="K5" i="65"/>
  <c r="O4" i="65"/>
  <c r="K4" i="65"/>
  <c r="O3" i="65"/>
  <c r="K3" i="65"/>
  <c r="O175" i="41" l="1"/>
  <c r="K175" i="41" l="1"/>
  <c r="O177" i="41"/>
  <c r="K177" i="41"/>
  <c r="O176" i="41"/>
  <c r="K176" i="41"/>
  <c r="O139" i="41"/>
  <c r="K139" i="41"/>
  <c r="O59" i="64"/>
  <c r="K59" i="64"/>
  <c r="O58" i="64"/>
  <c r="K58" i="64"/>
  <c r="O57" i="64"/>
  <c r="K57" i="64"/>
  <c r="O56" i="64"/>
  <c r="K56" i="64"/>
  <c r="O55" i="64"/>
  <c r="K55" i="64"/>
  <c r="O54" i="64"/>
  <c r="K54" i="64"/>
  <c r="O53" i="64"/>
  <c r="K53" i="64"/>
  <c r="O52" i="64"/>
  <c r="K52" i="64"/>
  <c r="O51" i="64"/>
  <c r="K51" i="64"/>
  <c r="O50" i="64"/>
  <c r="K50" i="64"/>
  <c r="O49" i="64"/>
  <c r="K49" i="64"/>
  <c r="O48" i="64"/>
  <c r="K48" i="64"/>
  <c r="O47" i="64"/>
  <c r="K47" i="64"/>
  <c r="O46" i="64"/>
  <c r="K46" i="64"/>
  <c r="O45" i="64"/>
  <c r="K45" i="64"/>
  <c r="O44" i="64"/>
  <c r="K44" i="64"/>
  <c r="O43" i="64"/>
  <c r="K43" i="64"/>
  <c r="O42" i="64"/>
  <c r="K42" i="64"/>
  <c r="O41" i="64"/>
  <c r="K41" i="64"/>
  <c r="O40" i="64"/>
  <c r="K40" i="64"/>
  <c r="O39" i="64"/>
  <c r="K39" i="64"/>
  <c r="O38" i="64"/>
  <c r="K38" i="64"/>
  <c r="O37" i="64"/>
  <c r="K37" i="64"/>
  <c r="O36" i="64"/>
  <c r="K36" i="64"/>
  <c r="O35" i="64"/>
  <c r="K35" i="64"/>
  <c r="O34" i="64"/>
  <c r="K34" i="64"/>
  <c r="O33" i="64"/>
  <c r="K33" i="64"/>
  <c r="O32" i="64"/>
  <c r="K32" i="64"/>
  <c r="O31" i="64"/>
  <c r="K31" i="64"/>
  <c r="O30" i="64"/>
  <c r="K30" i="64"/>
  <c r="O29" i="64"/>
  <c r="K29" i="64"/>
  <c r="O28" i="64"/>
  <c r="K28" i="64"/>
  <c r="O27" i="64"/>
  <c r="K27" i="64"/>
  <c r="O26" i="64"/>
  <c r="K26" i="64"/>
  <c r="O25" i="64"/>
  <c r="K25" i="64"/>
  <c r="O24" i="64"/>
  <c r="K24" i="64"/>
  <c r="O23" i="64"/>
  <c r="K23" i="64"/>
  <c r="O22" i="64"/>
  <c r="K22" i="64"/>
  <c r="O21" i="64"/>
  <c r="K21" i="64"/>
  <c r="O20" i="64"/>
  <c r="K20" i="64"/>
  <c r="O19" i="64"/>
  <c r="K19" i="64"/>
  <c r="O18" i="64"/>
  <c r="K18" i="64"/>
  <c r="O17" i="64"/>
  <c r="K17" i="64"/>
  <c r="O16" i="64"/>
  <c r="K16" i="64"/>
  <c r="O15" i="64"/>
  <c r="K15" i="64"/>
  <c r="O14" i="64"/>
  <c r="K14" i="64"/>
  <c r="O13" i="64"/>
  <c r="K13" i="64"/>
  <c r="O12" i="64"/>
  <c r="K12" i="64"/>
  <c r="O11" i="64"/>
  <c r="K11" i="64"/>
  <c r="O10" i="64"/>
  <c r="K10" i="64"/>
  <c r="O9" i="64"/>
  <c r="K9" i="64"/>
  <c r="O8" i="64"/>
  <c r="K8" i="64"/>
  <c r="O7" i="64"/>
  <c r="K7" i="64"/>
  <c r="O6" i="64"/>
  <c r="K6" i="64"/>
  <c r="O5" i="64"/>
  <c r="K5" i="64"/>
  <c r="O4" i="64"/>
  <c r="K4" i="64"/>
  <c r="O3" i="64"/>
  <c r="K3" i="64"/>
  <c r="O149" i="41"/>
  <c r="K149" i="41"/>
  <c r="O113" i="41"/>
  <c r="O119" i="41" l="1"/>
  <c r="K119" i="41"/>
  <c r="O8" i="56" l="1"/>
  <c r="O99" i="41" l="1"/>
  <c r="K99" i="41"/>
  <c r="K4" i="49"/>
  <c r="K60" i="41"/>
  <c r="O60" i="41"/>
  <c r="K61" i="41"/>
  <c r="O61" i="41"/>
  <c r="K62" i="41"/>
  <c r="O62" i="41"/>
  <c r="K63" i="41"/>
  <c r="O63" i="41"/>
  <c r="K64" i="41"/>
  <c r="O64" i="41"/>
  <c r="K65" i="41"/>
  <c r="O65" i="41"/>
  <c r="K66" i="41"/>
  <c r="O66" i="41"/>
  <c r="K67" i="41"/>
  <c r="O67" i="41"/>
  <c r="K68" i="41"/>
  <c r="O68" i="41"/>
  <c r="K69" i="41"/>
  <c r="O69" i="41"/>
  <c r="K70" i="41"/>
  <c r="O70" i="41"/>
  <c r="K71" i="41"/>
  <c r="O71" i="41"/>
  <c r="K72" i="41"/>
  <c r="O72" i="41"/>
  <c r="K73" i="41"/>
  <c r="O73" i="41"/>
  <c r="K74" i="41"/>
  <c r="O74" i="41"/>
  <c r="K75" i="41"/>
  <c r="O75" i="41"/>
  <c r="K76" i="41"/>
  <c r="O76" i="41"/>
  <c r="K77" i="41"/>
  <c r="O77" i="41"/>
  <c r="K78" i="41"/>
  <c r="O78" i="41"/>
  <c r="K79" i="41"/>
  <c r="O79" i="41"/>
  <c r="K80" i="41"/>
  <c r="O80" i="41"/>
  <c r="K81" i="41"/>
  <c r="O81" i="41"/>
  <c r="K82" i="41"/>
  <c r="O82" i="41"/>
  <c r="O83" i="41"/>
  <c r="K84" i="41"/>
  <c r="O84" i="41"/>
  <c r="K85" i="41"/>
  <c r="O85" i="41"/>
  <c r="K86" i="41"/>
  <c r="O86" i="41"/>
  <c r="K87" i="41"/>
  <c r="O87" i="41"/>
  <c r="K88" i="41"/>
  <c r="O88" i="41"/>
  <c r="K89" i="41"/>
  <c r="O89" i="41"/>
  <c r="K90" i="41"/>
  <c r="O90" i="41"/>
  <c r="K91" i="41"/>
  <c r="O91" i="41"/>
  <c r="K92" i="41"/>
  <c r="O92" i="41"/>
  <c r="K93" i="41"/>
  <c r="O93" i="41"/>
  <c r="K94" i="41"/>
  <c r="O94" i="41"/>
  <c r="K95" i="41"/>
  <c r="O95" i="41"/>
  <c r="K96" i="41"/>
  <c r="O96" i="41"/>
  <c r="K97" i="41"/>
  <c r="O97" i="41"/>
  <c r="K98" i="41"/>
  <c r="O98" i="41"/>
  <c r="K100" i="41"/>
  <c r="O100" i="41"/>
  <c r="K101" i="41"/>
  <c r="O101" i="41"/>
  <c r="K102" i="41"/>
  <c r="O102" i="41"/>
  <c r="K103" i="41"/>
  <c r="O103" i="41"/>
  <c r="K104" i="41"/>
  <c r="O104" i="41"/>
  <c r="K105" i="41"/>
  <c r="O105" i="41"/>
  <c r="K106" i="41"/>
  <c r="O106" i="41"/>
  <c r="K107" i="41"/>
  <c r="O107" i="41"/>
  <c r="K108" i="41"/>
  <c r="O108" i="41"/>
  <c r="K109" i="41"/>
  <c r="O109" i="41"/>
  <c r="K110" i="41"/>
  <c r="O110" i="41"/>
  <c r="K111" i="41"/>
  <c r="O111" i="41"/>
  <c r="K112" i="41"/>
  <c r="O112" i="41"/>
  <c r="K113" i="41"/>
  <c r="K114" i="41"/>
  <c r="O114" i="41"/>
  <c r="K115" i="41"/>
  <c r="O115" i="41"/>
  <c r="K116" i="41"/>
  <c r="O116" i="41"/>
  <c r="K117" i="41"/>
  <c r="O117" i="41"/>
  <c r="K118" i="41"/>
  <c r="O118" i="41"/>
  <c r="K120" i="41"/>
  <c r="O120" i="41"/>
  <c r="K121" i="41"/>
  <c r="O121" i="41"/>
  <c r="K122" i="41"/>
  <c r="O122" i="41"/>
  <c r="K123" i="41"/>
  <c r="O123" i="41"/>
  <c r="K124" i="41"/>
  <c r="O124" i="41"/>
  <c r="K125" i="41"/>
  <c r="O125" i="41"/>
  <c r="K126" i="41"/>
  <c r="O126" i="41"/>
  <c r="K127" i="41"/>
  <c r="O127" i="41"/>
  <c r="K128" i="41"/>
  <c r="O128" i="41"/>
  <c r="K129" i="41"/>
  <c r="O129" i="41"/>
  <c r="K130" i="41"/>
  <c r="O130" i="41"/>
  <c r="K131" i="41"/>
  <c r="O131" i="41"/>
  <c r="K132" i="41"/>
  <c r="O132" i="41"/>
  <c r="K133" i="41"/>
  <c r="O133" i="41"/>
  <c r="K134" i="41"/>
  <c r="O134" i="41"/>
  <c r="K135" i="41"/>
  <c r="O135" i="41"/>
  <c r="K136" i="41"/>
  <c r="O136" i="41"/>
  <c r="K137" i="41"/>
  <c r="O137" i="41"/>
  <c r="K138" i="41"/>
  <c r="O138" i="41"/>
  <c r="K140" i="41"/>
  <c r="O140" i="41"/>
  <c r="K141" i="41"/>
  <c r="O141" i="41"/>
  <c r="K142" i="41"/>
  <c r="O142" i="41"/>
  <c r="K143" i="41"/>
  <c r="O143" i="41"/>
  <c r="K144" i="41"/>
  <c r="O144" i="41"/>
  <c r="K145" i="41"/>
  <c r="O145" i="41"/>
  <c r="K146" i="41"/>
  <c r="O146" i="41"/>
  <c r="K147" i="41"/>
  <c r="O147" i="41"/>
  <c r="K148" i="41"/>
  <c r="O148" i="41"/>
  <c r="K150" i="41"/>
  <c r="O150" i="41"/>
  <c r="K151" i="41"/>
  <c r="O151" i="41"/>
  <c r="K152" i="41"/>
  <c r="O152" i="41"/>
  <c r="K153" i="41"/>
  <c r="O153" i="41"/>
  <c r="K154" i="41"/>
  <c r="O154" i="41"/>
  <c r="K155" i="41"/>
  <c r="O155" i="41"/>
  <c r="K156" i="41"/>
  <c r="O156" i="41"/>
  <c r="K157" i="41"/>
  <c r="O157" i="41"/>
  <c r="K158" i="41"/>
  <c r="O158" i="41"/>
  <c r="K159" i="41"/>
  <c r="O159" i="41"/>
  <c r="K160" i="41"/>
  <c r="O160" i="41"/>
  <c r="K161" i="41"/>
  <c r="O161" i="41"/>
  <c r="K162" i="41"/>
  <c r="O162" i="41"/>
  <c r="K163" i="41"/>
  <c r="O163" i="41"/>
  <c r="K164" i="41"/>
  <c r="O164" i="41"/>
  <c r="K165" i="41"/>
  <c r="O165" i="41"/>
  <c r="K166" i="41"/>
  <c r="O166" i="41"/>
  <c r="K167" i="41"/>
  <c r="O167" i="41"/>
  <c r="K168" i="41"/>
  <c r="O168" i="41"/>
  <c r="K169" i="41"/>
  <c r="O169" i="41"/>
  <c r="K170" i="41"/>
  <c r="O170" i="41"/>
  <c r="K171" i="41"/>
  <c r="O171" i="41"/>
  <c r="K172" i="41"/>
  <c r="O172" i="41"/>
  <c r="K173" i="41"/>
  <c r="O173" i="41"/>
  <c r="K174" i="41"/>
  <c r="O174" i="41"/>
  <c r="K178" i="41"/>
  <c r="O178" i="41"/>
  <c r="K179" i="41"/>
  <c r="O179" i="41"/>
  <c r="K180" i="41"/>
  <c r="O180" i="41"/>
  <c r="K181" i="41"/>
  <c r="O181" i="41"/>
  <c r="K182" i="41"/>
  <c r="O182" i="41"/>
  <c r="K183" i="41"/>
  <c r="O183" i="41"/>
  <c r="K184" i="41"/>
  <c r="O184" i="41"/>
  <c r="K185" i="41"/>
  <c r="O185" i="41"/>
  <c r="K186" i="41"/>
  <c r="O186" i="41"/>
  <c r="K187" i="41"/>
  <c r="O187" i="41"/>
  <c r="K188" i="41"/>
  <c r="O188" i="41"/>
  <c r="K189" i="41"/>
  <c r="O189" i="41"/>
  <c r="K190" i="41"/>
  <c r="O190" i="41"/>
  <c r="K191" i="41"/>
  <c r="O191" i="41"/>
  <c r="K192" i="41"/>
  <c r="O192" i="41"/>
  <c r="K193" i="41"/>
  <c r="O193" i="41"/>
  <c r="K194" i="41"/>
  <c r="O194" i="41"/>
  <c r="K195" i="41"/>
  <c r="O195" i="41"/>
  <c r="K199" i="41"/>
  <c r="O199" i="41"/>
  <c r="K200" i="41"/>
  <c r="O200" i="41"/>
  <c r="K201" i="41"/>
  <c r="O201" i="41"/>
  <c r="K202" i="41"/>
  <c r="O202" i="41"/>
  <c r="K203" i="41"/>
  <c r="O203" i="41"/>
  <c r="K204" i="41"/>
  <c r="O204" i="41"/>
  <c r="K205" i="41"/>
  <c r="O205" i="41"/>
  <c r="K206" i="41"/>
  <c r="O206" i="41"/>
  <c r="K207" i="41"/>
  <c r="O207" i="41"/>
  <c r="K208" i="41"/>
  <c r="O208" i="41"/>
  <c r="K209" i="41"/>
  <c r="O209" i="41"/>
  <c r="K210" i="41"/>
  <c r="O210" i="41"/>
  <c r="K211" i="41"/>
  <c r="O211" i="41"/>
  <c r="K212" i="41"/>
  <c r="O212" i="41"/>
  <c r="K213" i="41"/>
  <c r="O213" i="41"/>
  <c r="K214" i="41"/>
  <c r="O214" i="41"/>
  <c r="K215" i="41"/>
  <c r="O215" i="41"/>
  <c r="K216" i="41"/>
  <c r="O216" i="41"/>
  <c r="K217" i="41"/>
  <c r="O217" i="41"/>
  <c r="K218" i="41"/>
  <c r="O218" i="41"/>
  <c r="K219" i="41"/>
  <c r="O219" i="41"/>
  <c r="K220" i="41"/>
  <c r="O220" i="41"/>
  <c r="K221" i="41"/>
  <c r="O221" i="41"/>
  <c r="K222" i="41"/>
  <c r="O222" i="41"/>
  <c r="K223" i="41"/>
  <c r="O223" i="41"/>
  <c r="K224" i="41"/>
  <c r="O224" i="41"/>
  <c r="K225" i="41"/>
  <c r="O225" i="41"/>
  <c r="K226" i="41"/>
  <c r="O226" i="41"/>
  <c r="K227" i="41"/>
  <c r="O227" i="41"/>
  <c r="K228" i="41"/>
  <c r="O228" i="41"/>
  <c r="K229" i="41"/>
  <c r="O229" i="41"/>
  <c r="K230" i="41"/>
  <c r="O230" i="41"/>
  <c r="K231" i="41"/>
  <c r="O231" i="41"/>
  <c r="K232" i="41"/>
  <c r="O232" i="41"/>
  <c r="K233" i="41"/>
  <c r="O233" i="41"/>
  <c r="K234" i="41"/>
  <c r="O234" i="41"/>
  <c r="K235" i="41"/>
  <c r="O235" i="41"/>
  <c r="K236" i="41"/>
  <c r="O236" i="41"/>
  <c r="K237" i="41"/>
  <c r="O237" i="41"/>
  <c r="K238" i="41"/>
  <c r="O238" i="41"/>
  <c r="K239" i="41"/>
  <c r="O239" i="41"/>
  <c r="K240" i="41"/>
  <c r="O240" i="41"/>
  <c r="K241" i="41"/>
  <c r="O241" i="41"/>
  <c r="K242" i="41"/>
  <c r="O242" i="41"/>
  <c r="K243" i="41"/>
  <c r="O243" i="41"/>
  <c r="K244" i="41"/>
  <c r="O244" i="41"/>
  <c r="K245" i="41"/>
  <c r="O245" i="41"/>
  <c r="K246" i="41"/>
  <c r="O246" i="41"/>
  <c r="K247" i="41"/>
  <c r="O247" i="41"/>
  <c r="K248" i="41"/>
  <c r="O248" i="41"/>
  <c r="K249" i="41"/>
  <c r="O249" i="41"/>
  <c r="K250" i="41"/>
  <c r="O250" i="41"/>
  <c r="K251" i="41"/>
  <c r="O251" i="41"/>
  <c r="K252" i="41"/>
  <c r="O252" i="41"/>
  <c r="K253" i="41"/>
  <c r="O253" i="41"/>
  <c r="K254" i="41"/>
  <c r="O254" i="41"/>
  <c r="K255" i="41"/>
  <c r="O255" i="41"/>
  <c r="K256" i="41"/>
  <c r="O256" i="41"/>
  <c r="K257" i="41"/>
  <c r="O257" i="41"/>
  <c r="K258" i="41"/>
  <c r="O258" i="41"/>
  <c r="K259" i="41"/>
  <c r="O259" i="41"/>
  <c r="K260" i="41"/>
  <c r="O260" i="41"/>
  <c r="K261" i="41"/>
  <c r="O261" i="41"/>
  <c r="K262" i="41"/>
  <c r="O262" i="41"/>
  <c r="K263" i="41"/>
  <c r="O263" i="41"/>
  <c r="K264" i="41"/>
  <c r="O264" i="41"/>
  <c r="K265" i="41"/>
  <c r="O265" i="41"/>
  <c r="K266" i="41"/>
  <c r="K267" i="41"/>
  <c r="O267" i="41"/>
  <c r="K268" i="41"/>
  <c r="O268" i="41"/>
  <c r="K269" i="41"/>
  <c r="O269" i="41"/>
  <c r="K270" i="41"/>
  <c r="O270" i="41"/>
  <c r="K271" i="41"/>
  <c r="O271" i="41"/>
  <c r="K272" i="41"/>
  <c r="O272" i="41"/>
  <c r="K273" i="41"/>
  <c r="O273" i="41"/>
  <c r="K274" i="41"/>
  <c r="O274" i="41"/>
  <c r="K275" i="41"/>
  <c r="O275" i="41"/>
  <c r="K276" i="41"/>
  <c r="O276" i="41"/>
  <c r="K277" i="41"/>
  <c r="O277" i="41"/>
  <c r="K278" i="41"/>
  <c r="O278" i="41"/>
  <c r="K279" i="41"/>
  <c r="O279" i="41"/>
  <c r="K280" i="41"/>
  <c r="O280" i="41"/>
  <c r="K281" i="41"/>
  <c r="O281" i="41"/>
  <c r="K282" i="41"/>
  <c r="O282" i="41"/>
  <c r="K283" i="41"/>
  <c r="O283" i="41"/>
  <c r="K284" i="41"/>
  <c r="O284" i="41"/>
  <c r="K285" i="41"/>
  <c r="O285" i="41"/>
  <c r="K286" i="41"/>
  <c r="O286" i="41"/>
  <c r="K287" i="41"/>
  <c r="O287" i="41"/>
  <c r="K288" i="41"/>
  <c r="O288" i="41"/>
  <c r="K289" i="41"/>
  <c r="O289" i="41"/>
  <c r="K290" i="41"/>
  <c r="O290" i="41"/>
  <c r="K291" i="41"/>
  <c r="O291" i="41"/>
  <c r="K292" i="41"/>
  <c r="O292" i="41"/>
  <c r="K293" i="41"/>
  <c r="O293" i="41"/>
  <c r="K294" i="41"/>
  <c r="O294" i="41"/>
  <c r="K295" i="41"/>
  <c r="O295" i="41"/>
  <c r="K296" i="41"/>
  <c r="O296" i="41"/>
  <c r="K297" i="41"/>
  <c r="O297" i="41"/>
  <c r="K298" i="41"/>
  <c r="O298" i="41"/>
  <c r="K299" i="41"/>
  <c r="O299" i="41"/>
  <c r="K300" i="41"/>
  <c r="O300" i="41"/>
  <c r="K301" i="41"/>
  <c r="O301" i="41"/>
  <c r="K302" i="41"/>
  <c r="O302" i="41"/>
  <c r="K303" i="41"/>
  <c r="O303" i="41"/>
  <c r="K304" i="41"/>
  <c r="O304" i="41"/>
  <c r="K305" i="41"/>
  <c r="O305" i="41"/>
  <c r="K306" i="41"/>
  <c r="O306" i="41"/>
  <c r="K307" i="41"/>
  <c r="O307" i="41"/>
  <c r="K308" i="41"/>
  <c r="O308" i="41"/>
  <c r="K309" i="41"/>
  <c r="O309" i="41"/>
  <c r="K310" i="41"/>
  <c r="O310" i="41"/>
  <c r="K311" i="41"/>
  <c r="O311" i="41"/>
  <c r="K312" i="41"/>
  <c r="O312" i="41"/>
  <c r="K313" i="41"/>
  <c r="O313" i="41"/>
  <c r="K314" i="41"/>
  <c r="O314" i="41"/>
  <c r="K315" i="41"/>
  <c r="O315" i="41"/>
  <c r="K316" i="41"/>
  <c r="O316" i="41"/>
  <c r="K317" i="41"/>
  <c r="O317" i="41"/>
  <c r="K318" i="41"/>
  <c r="O318" i="41"/>
  <c r="K319" i="41"/>
  <c r="O319" i="41"/>
  <c r="K320" i="41"/>
  <c r="K321" i="41"/>
  <c r="O321" i="41"/>
  <c r="K322" i="41"/>
  <c r="O322" i="41"/>
  <c r="K323" i="41"/>
  <c r="O323" i="41"/>
  <c r="K324" i="41"/>
  <c r="O324" i="41"/>
  <c r="K325" i="41"/>
  <c r="O325" i="41"/>
  <c r="K326" i="41"/>
  <c r="O326" i="41"/>
  <c r="K327" i="41"/>
  <c r="O327" i="41"/>
  <c r="K328" i="41"/>
  <c r="O328" i="41"/>
  <c r="K329" i="41"/>
  <c r="O329" i="41"/>
  <c r="K330" i="41"/>
  <c r="O330" i="41"/>
  <c r="K331" i="41"/>
  <c r="O331" i="41"/>
  <c r="K332" i="41"/>
  <c r="O332" i="41"/>
  <c r="K333" i="41"/>
  <c r="O333" i="41"/>
  <c r="K334" i="41"/>
  <c r="O334" i="41"/>
  <c r="K335" i="41"/>
  <c r="O335" i="41"/>
  <c r="K336" i="41"/>
  <c r="O336" i="41"/>
  <c r="K337" i="41"/>
  <c r="O337" i="41"/>
  <c r="K338" i="41"/>
  <c r="O338" i="41"/>
  <c r="K339" i="41"/>
  <c r="O339" i="41"/>
  <c r="K340" i="41"/>
  <c r="O340" i="41"/>
  <c r="K341" i="41"/>
  <c r="O341" i="41"/>
  <c r="K342" i="41"/>
  <c r="O342" i="41"/>
  <c r="K343" i="41"/>
  <c r="O343" i="41"/>
  <c r="K344" i="41"/>
  <c r="O344" i="41"/>
  <c r="K345" i="41"/>
  <c r="O345" i="41"/>
  <c r="K346" i="41"/>
  <c r="O346" i="41"/>
  <c r="K347" i="41"/>
  <c r="O347" i="41"/>
  <c r="K348" i="41"/>
  <c r="O348" i="41"/>
  <c r="K349" i="41"/>
  <c r="O349" i="41"/>
  <c r="K350" i="41"/>
  <c r="O350" i="41"/>
  <c r="K351" i="41"/>
  <c r="O351" i="41"/>
  <c r="K352" i="41"/>
  <c r="O352" i="41"/>
  <c r="K353" i="41"/>
  <c r="O353" i="41"/>
  <c r="K354" i="41"/>
  <c r="O354" i="41"/>
  <c r="K355" i="41"/>
  <c r="O355" i="41"/>
  <c r="K356" i="41"/>
  <c r="O356" i="41"/>
  <c r="K357" i="41"/>
  <c r="O357" i="41"/>
  <c r="O59" i="63"/>
  <c r="K59" i="63"/>
  <c r="O58" i="63"/>
  <c r="K58" i="63"/>
  <c r="O57" i="63"/>
  <c r="K57" i="63"/>
  <c r="O56" i="63"/>
  <c r="K56" i="63"/>
  <c r="O55" i="63"/>
  <c r="K55" i="63"/>
  <c r="O54" i="63"/>
  <c r="K54" i="63"/>
  <c r="O53" i="63"/>
  <c r="K53" i="63"/>
  <c r="O52" i="63"/>
  <c r="K52" i="63"/>
  <c r="O51" i="63"/>
  <c r="K51" i="63"/>
  <c r="O50" i="63"/>
  <c r="K50" i="63"/>
  <c r="O49" i="63"/>
  <c r="K49" i="63"/>
  <c r="O48" i="63"/>
  <c r="K48" i="63"/>
  <c r="O47" i="63"/>
  <c r="K47" i="63"/>
  <c r="O46" i="63"/>
  <c r="K46" i="63"/>
  <c r="O45" i="63"/>
  <c r="K45" i="63"/>
  <c r="O44" i="63"/>
  <c r="K44" i="63"/>
  <c r="O43" i="63"/>
  <c r="K43" i="63"/>
  <c r="O42" i="63"/>
  <c r="K42" i="63"/>
  <c r="O41" i="63"/>
  <c r="K41" i="63"/>
  <c r="O40" i="63"/>
  <c r="K40" i="63"/>
  <c r="O39" i="63"/>
  <c r="K39" i="63"/>
  <c r="O38" i="63"/>
  <c r="K38" i="63"/>
  <c r="O37" i="63"/>
  <c r="K37" i="63"/>
  <c r="O36" i="63"/>
  <c r="K36" i="63"/>
  <c r="O35" i="63"/>
  <c r="K35" i="63"/>
  <c r="O34" i="63"/>
  <c r="K34" i="63"/>
  <c r="O33" i="63"/>
  <c r="K33" i="63"/>
  <c r="O32" i="63"/>
  <c r="K32" i="63"/>
  <c r="O31" i="63"/>
  <c r="K31" i="63"/>
  <c r="O30" i="63"/>
  <c r="K30" i="63"/>
  <c r="O29" i="63"/>
  <c r="K29" i="63"/>
  <c r="O28" i="63"/>
  <c r="K28" i="63"/>
  <c r="O27" i="63"/>
  <c r="K27" i="63"/>
  <c r="O26" i="63"/>
  <c r="K26" i="63"/>
  <c r="O25" i="63"/>
  <c r="K25" i="63"/>
  <c r="O24" i="63"/>
  <c r="K24" i="63"/>
  <c r="O23" i="63"/>
  <c r="K23" i="63"/>
  <c r="O22" i="63"/>
  <c r="K22" i="63"/>
  <c r="O21" i="63"/>
  <c r="K21" i="63"/>
  <c r="O20" i="63"/>
  <c r="K20" i="63"/>
  <c r="O19" i="63"/>
  <c r="K19" i="63"/>
  <c r="O18" i="63"/>
  <c r="K18" i="63"/>
  <c r="O17" i="63"/>
  <c r="K17" i="63"/>
  <c r="O16" i="63"/>
  <c r="K16" i="63"/>
  <c r="O15" i="63"/>
  <c r="K15" i="63"/>
  <c r="O14" i="63"/>
  <c r="K14" i="63"/>
  <c r="O13" i="63"/>
  <c r="K13" i="63"/>
  <c r="O12" i="63"/>
  <c r="K12" i="63"/>
  <c r="O11" i="63"/>
  <c r="K11" i="63"/>
  <c r="O10" i="63"/>
  <c r="K10" i="63"/>
  <c r="O9" i="63"/>
  <c r="K9" i="63"/>
  <c r="O8" i="63"/>
  <c r="K8" i="63"/>
  <c r="O7" i="63"/>
  <c r="K7" i="63"/>
  <c r="O6" i="63"/>
  <c r="K6" i="63"/>
  <c r="O5" i="63"/>
  <c r="K5" i="63"/>
  <c r="O4" i="63"/>
  <c r="K4" i="63"/>
  <c r="O3" i="63"/>
  <c r="K3" i="63"/>
  <c r="O59" i="62" l="1"/>
  <c r="K59" i="62"/>
  <c r="O58" i="62"/>
  <c r="K58" i="62"/>
  <c r="O57" i="62"/>
  <c r="K57" i="62"/>
  <c r="O56" i="62"/>
  <c r="K56" i="62"/>
  <c r="O55" i="62"/>
  <c r="K55" i="62"/>
  <c r="O54" i="62"/>
  <c r="K54" i="62"/>
  <c r="O53" i="62"/>
  <c r="K53" i="62"/>
  <c r="O52" i="62"/>
  <c r="K52" i="62"/>
  <c r="O51" i="62"/>
  <c r="K51" i="62"/>
  <c r="O50" i="62"/>
  <c r="K50" i="62"/>
  <c r="O49" i="62"/>
  <c r="K49" i="62"/>
  <c r="O48" i="62"/>
  <c r="K48" i="62"/>
  <c r="O47" i="62"/>
  <c r="K47" i="62"/>
  <c r="O46" i="62"/>
  <c r="K46" i="62"/>
  <c r="O45" i="62"/>
  <c r="K45" i="62"/>
  <c r="O44" i="62"/>
  <c r="K44" i="62"/>
  <c r="O43" i="62"/>
  <c r="K43" i="62"/>
  <c r="O42" i="62"/>
  <c r="K42" i="62"/>
  <c r="O41" i="62"/>
  <c r="K41" i="62"/>
  <c r="O40" i="62"/>
  <c r="K40" i="62"/>
  <c r="O39" i="62"/>
  <c r="K39" i="62"/>
  <c r="O38" i="62"/>
  <c r="K38" i="62"/>
  <c r="O37" i="62"/>
  <c r="K37" i="62"/>
  <c r="O36" i="62"/>
  <c r="K36" i="62"/>
  <c r="O35" i="62"/>
  <c r="K35" i="62"/>
  <c r="O34" i="62"/>
  <c r="K34" i="62"/>
  <c r="O33" i="62"/>
  <c r="K33" i="62"/>
  <c r="O32" i="62"/>
  <c r="K32" i="62"/>
  <c r="O31" i="62"/>
  <c r="K31" i="62"/>
  <c r="O30" i="62"/>
  <c r="K30" i="62"/>
  <c r="O29" i="62"/>
  <c r="K29" i="62"/>
  <c r="O28" i="62"/>
  <c r="K28" i="62"/>
  <c r="O27" i="62"/>
  <c r="K27" i="62"/>
  <c r="O26" i="62"/>
  <c r="K26" i="62"/>
  <c r="O25" i="62"/>
  <c r="K25" i="62"/>
  <c r="O24" i="62"/>
  <c r="K24" i="62"/>
  <c r="O23" i="62"/>
  <c r="K23" i="62"/>
  <c r="O22" i="62"/>
  <c r="K22" i="62"/>
  <c r="O21" i="62"/>
  <c r="K21" i="62"/>
  <c r="O20" i="62"/>
  <c r="K20" i="62"/>
  <c r="O19" i="62"/>
  <c r="K19" i="62"/>
  <c r="O18" i="62"/>
  <c r="K18" i="62"/>
  <c r="O17" i="62"/>
  <c r="K17" i="62"/>
  <c r="O16" i="62"/>
  <c r="K16" i="62"/>
  <c r="O15" i="62"/>
  <c r="K15" i="62"/>
  <c r="O14" i="62"/>
  <c r="K14" i="62"/>
  <c r="O13" i="62"/>
  <c r="K13" i="62"/>
  <c r="O12" i="62"/>
  <c r="K12" i="62"/>
  <c r="O11" i="62"/>
  <c r="K11" i="62"/>
  <c r="O10" i="62"/>
  <c r="K10" i="62"/>
  <c r="O9" i="62"/>
  <c r="K9" i="62"/>
  <c r="O8" i="62"/>
  <c r="K8" i="62"/>
  <c r="O7" i="62"/>
  <c r="K7" i="62"/>
  <c r="O6" i="62"/>
  <c r="K6" i="62"/>
  <c r="O5" i="62"/>
  <c r="K5" i="62"/>
  <c r="O4" i="62"/>
  <c r="K4" i="62"/>
  <c r="O3" i="62"/>
  <c r="K3" i="62"/>
  <c r="O59" i="59"/>
  <c r="K59" i="59"/>
  <c r="O58" i="59"/>
  <c r="K58" i="59"/>
  <c r="O57" i="59"/>
  <c r="K57" i="59"/>
  <c r="O56" i="59"/>
  <c r="K56" i="59"/>
  <c r="O55" i="59"/>
  <c r="K55" i="59"/>
  <c r="O54" i="59"/>
  <c r="K54" i="59"/>
  <c r="O53" i="59"/>
  <c r="K53" i="59"/>
  <c r="O52" i="59"/>
  <c r="K52" i="59"/>
  <c r="O51" i="59"/>
  <c r="K51" i="59"/>
  <c r="O50" i="59"/>
  <c r="K50" i="59"/>
  <c r="O49" i="59"/>
  <c r="K49" i="59"/>
  <c r="O48" i="59"/>
  <c r="K48" i="59"/>
  <c r="O47" i="59"/>
  <c r="K47" i="59"/>
  <c r="O46" i="59"/>
  <c r="K46" i="59"/>
  <c r="O45" i="59"/>
  <c r="K45" i="59"/>
  <c r="O44" i="59"/>
  <c r="K44" i="59"/>
  <c r="O43" i="59"/>
  <c r="K43" i="59"/>
  <c r="O42" i="59"/>
  <c r="K42" i="59"/>
  <c r="O41" i="59"/>
  <c r="K41" i="59"/>
  <c r="O40" i="59"/>
  <c r="K40" i="59"/>
  <c r="O39" i="59"/>
  <c r="K39" i="59"/>
  <c r="O38" i="59"/>
  <c r="K38" i="59"/>
  <c r="O37" i="59"/>
  <c r="K37" i="59"/>
  <c r="O36" i="59"/>
  <c r="K36" i="59"/>
  <c r="O35" i="59"/>
  <c r="K35" i="59"/>
  <c r="O34" i="59"/>
  <c r="K34" i="59"/>
  <c r="O33" i="59"/>
  <c r="K33" i="59"/>
  <c r="O32" i="59"/>
  <c r="K32" i="59"/>
  <c r="O31" i="59"/>
  <c r="K31" i="59"/>
  <c r="O30" i="59"/>
  <c r="K30" i="59"/>
  <c r="O29" i="59"/>
  <c r="K29" i="59"/>
  <c r="O28" i="59"/>
  <c r="K28" i="59"/>
  <c r="O27" i="59"/>
  <c r="K27" i="59"/>
  <c r="O26" i="59"/>
  <c r="K26" i="59"/>
  <c r="O25" i="59"/>
  <c r="K25" i="59"/>
  <c r="O24" i="59"/>
  <c r="K24" i="59"/>
  <c r="O23" i="59"/>
  <c r="K23" i="59"/>
  <c r="O22" i="59"/>
  <c r="K22" i="59"/>
  <c r="O21" i="59"/>
  <c r="K21" i="59"/>
  <c r="O20" i="59"/>
  <c r="K20" i="59"/>
  <c r="O19" i="59"/>
  <c r="K19" i="59"/>
  <c r="O18" i="59"/>
  <c r="K18" i="59"/>
  <c r="O17" i="59"/>
  <c r="K17" i="59"/>
  <c r="O16" i="59"/>
  <c r="K16" i="59"/>
  <c r="O15" i="59"/>
  <c r="K15" i="59"/>
  <c r="O14" i="59"/>
  <c r="K14" i="59"/>
  <c r="O13" i="59"/>
  <c r="K13" i="59"/>
  <c r="O12" i="59"/>
  <c r="K12" i="59"/>
  <c r="K11" i="59"/>
  <c r="O10" i="59"/>
  <c r="K10" i="59"/>
  <c r="O9" i="59"/>
  <c r="K9" i="59"/>
  <c r="O8" i="59"/>
  <c r="K8" i="59"/>
  <c r="O7" i="59"/>
  <c r="K7" i="59"/>
  <c r="O6" i="59"/>
  <c r="K6" i="59"/>
  <c r="O5" i="59"/>
  <c r="K5" i="59"/>
  <c r="O4" i="59"/>
  <c r="K4" i="59"/>
  <c r="O3" i="59"/>
  <c r="K3" i="59"/>
  <c r="O27" i="41"/>
  <c r="K27" i="41"/>
  <c r="O59" i="58"/>
  <c r="K59" i="58"/>
  <c r="O58" i="58"/>
  <c r="K58" i="58"/>
  <c r="O57" i="58"/>
  <c r="K57" i="58"/>
  <c r="O56" i="58"/>
  <c r="K56" i="58"/>
  <c r="O55" i="58"/>
  <c r="K55" i="58"/>
  <c r="O54" i="58"/>
  <c r="K54" i="58"/>
  <c r="O53" i="58"/>
  <c r="K53" i="58"/>
  <c r="O52" i="58"/>
  <c r="K52" i="58"/>
  <c r="O51" i="58"/>
  <c r="K51" i="58"/>
  <c r="O50" i="58"/>
  <c r="K50" i="58"/>
  <c r="O49" i="58"/>
  <c r="K49" i="58"/>
  <c r="O48" i="58"/>
  <c r="K48" i="58"/>
  <c r="O47" i="58"/>
  <c r="K47" i="58"/>
  <c r="O46" i="58"/>
  <c r="K46" i="58"/>
  <c r="O45" i="58"/>
  <c r="K45" i="58"/>
  <c r="O44" i="58"/>
  <c r="K44" i="58"/>
  <c r="O43" i="58"/>
  <c r="K43" i="58"/>
  <c r="O42" i="58"/>
  <c r="K42" i="58"/>
  <c r="O41" i="58"/>
  <c r="K41" i="58"/>
  <c r="O40" i="58"/>
  <c r="K40" i="58"/>
  <c r="O39" i="58"/>
  <c r="K39" i="58"/>
  <c r="O38" i="58"/>
  <c r="K38" i="58"/>
  <c r="O37" i="58"/>
  <c r="K37" i="58"/>
  <c r="O36" i="58"/>
  <c r="K36" i="58"/>
  <c r="O35" i="58"/>
  <c r="K35" i="58"/>
  <c r="O34" i="58"/>
  <c r="K34" i="58"/>
  <c r="O33" i="58"/>
  <c r="K33" i="58"/>
  <c r="O32" i="58"/>
  <c r="K32" i="58"/>
  <c r="O31" i="58"/>
  <c r="K31" i="58"/>
  <c r="O30" i="58"/>
  <c r="K30" i="58"/>
  <c r="O29" i="58"/>
  <c r="K29" i="58"/>
  <c r="O28" i="58"/>
  <c r="K28" i="58"/>
  <c r="O27" i="58"/>
  <c r="K27" i="58"/>
  <c r="O26" i="58"/>
  <c r="K26" i="58"/>
  <c r="O25" i="58"/>
  <c r="K25" i="58"/>
  <c r="O24" i="58"/>
  <c r="K24" i="58"/>
  <c r="O23" i="58"/>
  <c r="K23" i="58"/>
  <c r="O22" i="58"/>
  <c r="K22" i="58"/>
  <c r="O21" i="58"/>
  <c r="K21" i="58"/>
  <c r="O20" i="58"/>
  <c r="K20" i="58"/>
  <c r="O19" i="58"/>
  <c r="K19" i="58"/>
  <c r="O18" i="58"/>
  <c r="K18" i="58"/>
  <c r="O17" i="58"/>
  <c r="K17" i="58"/>
  <c r="O16" i="58"/>
  <c r="K16" i="58"/>
  <c r="O15" i="58"/>
  <c r="K15" i="58"/>
  <c r="O14" i="58"/>
  <c r="K14" i="58"/>
  <c r="O13" i="58"/>
  <c r="K13" i="58"/>
  <c r="O12" i="58"/>
  <c r="K12" i="58"/>
  <c r="O11" i="58"/>
  <c r="K11" i="58"/>
  <c r="O10" i="58"/>
  <c r="K10" i="58"/>
  <c r="O9" i="58"/>
  <c r="K9" i="58"/>
  <c r="O8" i="58"/>
  <c r="K8" i="58"/>
  <c r="O7" i="58"/>
  <c r="K7" i="58"/>
  <c r="O6" i="58"/>
  <c r="K6" i="58"/>
  <c r="O5" i="58"/>
  <c r="K5" i="58"/>
  <c r="O4" i="58"/>
  <c r="K4" i="58"/>
  <c r="O3" i="58"/>
  <c r="K3" i="58"/>
  <c r="K5" i="52"/>
  <c r="O56" i="56"/>
  <c r="K56" i="56"/>
  <c r="O55" i="56"/>
  <c r="K55" i="56"/>
  <c r="O54" i="56"/>
  <c r="K54" i="56"/>
  <c r="O53" i="56"/>
  <c r="K53" i="56"/>
  <c r="O52" i="56"/>
  <c r="K52" i="56"/>
  <c r="O51" i="56"/>
  <c r="K51" i="56"/>
  <c r="O50" i="56"/>
  <c r="K50" i="56"/>
  <c r="O49" i="56"/>
  <c r="K49" i="56"/>
  <c r="O47" i="56"/>
  <c r="K47" i="56"/>
  <c r="O46" i="56"/>
  <c r="K46" i="56"/>
  <c r="O45" i="56"/>
  <c r="K45" i="56"/>
  <c r="O44" i="56"/>
  <c r="K44" i="56"/>
  <c r="O43" i="56"/>
  <c r="K43" i="56"/>
  <c r="O42" i="56"/>
  <c r="K42" i="56"/>
  <c r="O41" i="56"/>
  <c r="K41" i="56"/>
  <c r="O40" i="56"/>
  <c r="K40" i="56"/>
  <c r="O38" i="56"/>
  <c r="K38" i="56"/>
  <c r="O37" i="56"/>
  <c r="K37" i="56"/>
  <c r="O36" i="56"/>
  <c r="K36" i="56"/>
  <c r="O35" i="56"/>
  <c r="K35" i="56"/>
  <c r="O34" i="56"/>
  <c r="K34" i="56"/>
  <c r="O33" i="56"/>
  <c r="K33" i="56"/>
  <c r="O32" i="56"/>
  <c r="K32" i="56"/>
  <c r="O31" i="56"/>
  <c r="K31" i="56"/>
  <c r="O30" i="56"/>
  <c r="K30" i="56"/>
  <c r="O29" i="56"/>
  <c r="K29" i="56"/>
  <c r="O28" i="56"/>
  <c r="K28" i="56"/>
  <c r="O27" i="56"/>
  <c r="K27" i="56"/>
  <c r="O26" i="56"/>
  <c r="K26" i="56"/>
  <c r="O25" i="56"/>
  <c r="K25" i="56"/>
  <c r="O24" i="56"/>
  <c r="K24" i="56"/>
  <c r="O23" i="56"/>
  <c r="K23" i="56"/>
  <c r="O22" i="56"/>
  <c r="K22" i="56"/>
  <c r="O21" i="56"/>
  <c r="K21" i="56"/>
  <c r="O20" i="56"/>
  <c r="K20" i="56"/>
  <c r="O19" i="56"/>
  <c r="K19" i="56"/>
  <c r="O18" i="56"/>
  <c r="K18" i="56"/>
  <c r="O17" i="56"/>
  <c r="K17" i="56"/>
  <c r="O16" i="56"/>
  <c r="K16" i="56"/>
  <c r="O15" i="56"/>
  <c r="K15" i="56"/>
  <c r="O14" i="56"/>
  <c r="K14" i="56"/>
  <c r="O13" i="56"/>
  <c r="K13" i="56"/>
  <c r="O12" i="56"/>
  <c r="K12" i="56"/>
  <c r="O11" i="56"/>
  <c r="K11" i="56"/>
  <c r="O10" i="56"/>
  <c r="K10" i="56"/>
  <c r="O9" i="56"/>
  <c r="K9" i="56"/>
  <c r="K8" i="56"/>
  <c r="K7" i="56"/>
  <c r="O6" i="56"/>
  <c r="K6" i="56"/>
  <c r="O5" i="56"/>
  <c r="K5" i="56"/>
  <c r="O4" i="56"/>
  <c r="K4" i="56"/>
  <c r="O3" i="56"/>
  <c r="K3" i="56"/>
  <c r="O59" i="55"/>
  <c r="K59" i="55"/>
  <c r="O58" i="55"/>
  <c r="K58" i="55"/>
  <c r="O57" i="55"/>
  <c r="K57" i="55"/>
  <c r="O56" i="55"/>
  <c r="K56" i="55"/>
  <c r="O55" i="55"/>
  <c r="K55" i="55"/>
  <c r="O54" i="55"/>
  <c r="K54" i="55"/>
  <c r="O53" i="55"/>
  <c r="K53" i="55"/>
  <c r="O52" i="55"/>
  <c r="K52" i="55"/>
  <c r="O51" i="55"/>
  <c r="K51" i="55"/>
  <c r="O50" i="55"/>
  <c r="K50" i="55"/>
  <c r="O49" i="55"/>
  <c r="K49" i="55"/>
  <c r="O48" i="55"/>
  <c r="K48" i="55"/>
  <c r="O47" i="55"/>
  <c r="K47" i="55"/>
  <c r="O46" i="55"/>
  <c r="K46" i="55"/>
  <c r="O45" i="55"/>
  <c r="K45" i="55"/>
  <c r="O44" i="55"/>
  <c r="K44" i="55"/>
  <c r="O43" i="55"/>
  <c r="K43" i="55"/>
  <c r="O42" i="55"/>
  <c r="K42" i="55"/>
  <c r="O41" i="55"/>
  <c r="K41" i="55"/>
  <c r="O40" i="55"/>
  <c r="K40" i="55"/>
  <c r="O39" i="55"/>
  <c r="K39" i="55"/>
  <c r="O38" i="55"/>
  <c r="K38" i="55"/>
  <c r="O37" i="55"/>
  <c r="K37" i="55"/>
  <c r="O36" i="55"/>
  <c r="K36" i="55"/>
  <c r="O35" i="55"/>
  <c r="K35" i="55"/>
  <c r="O34" i="55"/>
  <c r="K34" i="55"/>
  <c r="O33" i="55"/>
  <c r="K33" i="55"/>
  <c r="O32" i="55"/>
  <c r="K32" i="55"/>
  <c r="O31" i="55"/>
  <c r="K31" i="55"/>
  <c r="O30" i="55"/>
  <c r="K30" i="55"/>
  <c r="O29" i="55"/>
  <c r="K29" i="55"/>
  <c r="O28" i="55"/>
  <c r="K28" i="55"/>
  <c r="O27" i="55"/>
  <c r="K27" i="55"/>
  <c r="O26" i="55"/>
  <c r="K26" i="55"/>
  <c r="O25" i="55"/>
  <c r="K25" i="55"/>
  <c r="O24" i="55"/>
  <c r="K24" i="55"/>
  <c r="O23" i="55"/>
  <c r="K23" i="55"/>
  <c r="O22" i="55"/>
  <c r="K22" i="55"/>
  <c r="O21" i="55"/>
  <c r="K21" i="55"/>
  <c r="O20" i="55"/>
  <c r="K20" i="55"/>
  <c r="O19" i="55"/>
  <c r="K19" i="55"/>
  <c r="O18" i="55"/>
  <c r="K18" i="55"/>
  <c r="O17" i="55"/>
  <c r="K17" i="55"/>
  <c r="O16" i="55"/>
  <c r="K16" i="55"/>
  <c r="O15" i="55"/>
  <c r="K15" i="55"/>
  <c r="O14" i="55"/>
  <c r="K14" i="55"/>
  <c r="O13" i="55"/>
  <c r="K13" i="55"/>
  <c r="O12" i="55"/>
  <c r="K12" i="55"/>
  <c r="O11" i="55"/>
  <c r="K11" i="55"/>
  <c r="O10" i="55"/>
  <c r="K10" i="55"/>
  <c r="O9" i="55"/>
  <c r="K9" i="55"/>
  <c r="O8" i="55"/>
  <c r="K8" i="55"/>
  <c r="O7" i="55"/>
  <c r="K7" i="55"/>
  <c r="O6" i="55"/>
  <c r="K6" i="55"/>
  <c r="O5" i="55"/>
  <c r="K5" i="55"/>
  <c r="O4" i="55"/>
  <c r="K4" i="55"/>
  <c r="O3" i="55"/>
  <c r="K3" i="55"/>
  <c r="O59" i="54"/>
  <c r="K59" i="54"/>
  <c r="O58" i="54"/>
  <c r="K58" i="54"/>
  <c r="O57" i="54"/>
  <c r="K57" i="54"/>
  <c r="O56" i="54"/>
  <c r="K56" i="54"/>
  <c r="O55" i="54"/>
  <c r="K55" i="54"/>
  <c r="O54" i="54"/>
  <c r="K54" i="54"/>
  <c r="O53" i="54"/>
  <c r="K53" i="54"/>
  <c r="O52" i="54"/>
  <c r="K52" i="54"/>
  <c r="O51" i="54"/>
  <c r="K51" i="54"/>
  <c r="O50" i="54"/>
  <c r="K50" i="54"/>
  <c r="O49" i="54"/>
  <c r="K49" i="54"/>
  <c r="O48" i="54"/>
  <c r="K48" i="54"/>
  <c r="O47" i="54"/>
  <c r="K47" i="54"/>
  <c r="O46" i="54"/>
  <c r="K46" i="54"/>
  <c r="O45" i="54"/>
  <c r="K45" i="54"/>
  <c r="O44" i="54"/>
  <c r="K44" i="54"/>
  <c r="O43" i="54"/>
  <c r="K43" i="54"/>
  <c r="O42" i="54"/>
  <c r="K42" i="54"/>
  <c r="O41" i="54"/>
  <c r="K41" i="54"/>
  <c r="O40" i="54"/>
  <c r="K40" i="54"/>
  <c r="O39" i="54"/>
  <c r="K39" i="54"/>
  <c r="O38" i="54"/>
  <c r="K38" i="54"/>
  <c r="O37" i="54"/>
  <c r="K37" i="54"/>
  <c r="O36" i="54"/>
  <c r="K36" i="54"/>
  <c r="O35" i="54"/>
  <c r="K35" i="54"/>
  <c r="O34" i="54"/>
  <c r="K34" i="54"/>
  <c r="O33" i="54"/>
  <c r="K33" i="54"/>
  <c r="O32" i="54"/>
  <c r="K32" i="54"/>
  <c r="O31" i="54"/>
  <c r="K31" i="54"/>
  <c r="O30" i="54"/>
  <c r="K30" i="54"/>
  <c r="O29" i="54"/>
  <c r="K29" i="54"/>
  <c r="O28" i="54"/>
  <c r="K28" i="54"/>
  <c r="O27" i="54"/>
  <c r="K27" i="54"/>
  <c r="O26" i="54"/>
  <c r="K26" i="54"/>
  <c r="O25" i="54"/>
  <c r="K25" i="54"/>
  <c r="O24" i="54"/>
  <c r="K24" i="54"/>
  <c r="O23" i="54"/>
  <c r="K23" i="54"/>
  <c r="O22" i="54"/>
  <c r="K22" i="54"/>
  <c r="O21" i="54"/>
  <c r="K21" i="54"/>
  <c r="O20" i="54"/>
  <c r="K20" i="54"/>
  <c r="O19" i="54"/>
  <c r="K19" i="54"/>
  <c r="O18" i="54"/>
  <c r="K18" i="54"/>
  <c r="O17" i="54"/>
  <c r="K17" i="54"/>
  <c r="O16" i="54"/>
  <c r="K16" i="54"/>
  <c r="O15" i="54"/>
  <c r="K15" i="54"/>
  <c r="O14" i="54"/>
  <c r="K14" i="54"/>
  <c r="O13" i="54"/>
  <c r="K13" i="54"/>
  <c r="O12" i="54"/>
  <c r="K12" i="54"/>
  <c r="O11" i="54"/>
  <c r="K11" i="54"/>
  <c r="O10" i="54"/>
  <c r="K10" i="54"/>
  <c r="O9" i="54"/>
  <c r="K9" i="54"/>
  <c r="O8" i="54"/>
  <c r="K8" i="54"/>
  <c r="O7" i="54"/>
  <c r="K7" i="54"/>
  <c r="O6" i="54"/>
  <c r="K6" i="54"/>
  <c r="O5" i="54"/>
  <c r="K5" i="54"/>
  <c r="O4" i="54"/>
  <c r="K4" i="54"/>
  <c r="O3" i="54"/>
  <c r="K3" i="54"/>
  <c r="O8" i="41"/>
  <c r="O59" i="53"/>
  <c r="K59" i="53"/>
  <c r="O58" i="53"/>
  <c r="K58" i="53"/>
  <c r="O57" i="53"/>
  <c r="K57" i="53"/>
  <c r="O56" i="53"/>
  <c r="K56" i="53"/>
  <c r="O55" i="53"/>
  <c r="K55" i="53"/>
  <c r="O54" i="53"/>
  <c r="K54" i="53"/>
  <c r="O53" i="53"/>
  <c r="K53" i="53"/>
  <c r="O52" i="53"/>
  <c r="K52" i="53"/>
  <c r="O51" i="53"/>
  <c r="K51" i="53"/>
  <c r="O50" i="53"/>
  <c r="K50" i="53"/>
  <c r="O49" i="53"/>
  <c r="K49" i="53"/>
  <c r="O48" i="53"/>
  <c r="K48" i="53"/>
  <c r="O47" i="53"/>
  <c r="K47" i="53"/>
  <c r="O46" i="53"/>
  <c r="K46" i="53"/>
  <c r="O45" i="53"/>
  <c r="K45" i="53"/>
  <c r="O44" i="53"/>
  <c r="K44" i="53"/>
  <c r="O43" i="53"/>
  <c r="K43" i="53"/>
  <c r="O42" i="53"/>
  <c r="K42" i="53"/>
  <c r="O41" i="53"/>
  <c r="K41" i="53"/>
  <c r="O40" i="53"/>
  <c r="K40" i="53"/>
  <c r="O39" i="53"/>
  <c r="K39" i="53"/>
  <c r="O38" i="53"/>
  <c r="K38" i="53"/>
  <c r="O37" i="53"/>
  <c r="K37" i="53"/>
  <c r="O36" i="53"/>
  <c r="K36" i="53"/>
  <c r="O35" i="53"/>
  <c r="K35" i="53"/>
  <c r="O34" i="53"/>
  <c r="K34" i="53"/>
  <c r="O33" i="53"/>
  <c r="K33" i="53"/>
  <c r="O32" i="53"/>
  <c r="K32" i="53"/>
  <c r="O31" i="53"/>
  <c r="K31" i="53"/>
  <c r="O30" i="53"/>
  <c r="K30" i="53"/>
  <c r="O29" i="53"/>
  <c r="K29" i="53"/>
  <c r="O28" i="53"/>
  <c r="K28" i="53"/>
  <c r="O27" i="53"/>
  <c r="K27" i="53"/>
  <c r="O26" i="53"/>
  <c r="K26" i="53"/>
  <c r="O25" i="53"/>
  <c r="K25" i="53"/>
  <c r="O24" i="53"/>
  <c r="K24" i="53"/>
  <c r="O23" i="53"/>
  <c r="K23" i="53"/>
  <c r="O22" i="53"/>
  <c r="K22" i="53"/>
  <c r="O21" i="53"/>
  <c r="K21" i="53"/>
  <c r="O20" i="53"/>
  <c r="K20" i="53"/>
  <c r="O19" i="53"/>
  <c r="K19" i="53"/>
  <c r="O18" i="53"/>
  <c r="K18" i="53"/>
  <c r="O17" i="53"/>
  <c r="K17" i="53"/>
  <c r="O16" i="53"/>
  <c r="K16" i="53"/>
  <c r="O15" i="53"/>
  <c r="K15" i="53"/>
  <c r="O14" i="53"/>
  <c r="K14" i="53"/>
  <c r="O13" i="53"/>
  <c r="K13" i="53"/>
  <c r="O12" i="53"/>
  <c r="K12" i="53"/>
  <c r="O11" i="53"/>
  <c r="K11" i="53"/>
  <c r="O10" i="53"/>
  <c r="K10" i="53"/>
  <c r="O9" i="53"/>
  <c r="K9" i="53"/>
  <c r="O8" i="53"/>
  <c r="K8" i="53"/>
  <c r="O7" i="53"/>
  <c r="K7" i="53"/>
  <c r="O6" i="53"/>
  <c r="K6" i="53"/>
  <c r="O5" i="53"/>
  <c r="K5" i="53"/>
  <c r="O4" i="53"/>
  <c r="K4" i="53"/>
  <c r="O3" i="53"/>
  <c r="K3" i="53"/>
  <c r="O59" i="52"/>
  <c r="K59" i="52"/>
  <c r="O58" i="52"/>
  <c r="K58" i="52"/>
  <c r="O57" i="52"/>
  <c r="K57" i="52"/>
  <c r="O56" i="52"/>
  <c r="K56" i="52"/>
  <c r="O55" i="52"/>
  <c r="K55" i="52"/>
  <c r="O54" i="52"/>
  <c r="K54" i="52"/>
  <c r="O53" i="52"/>
  <c r="K53" i="52"/>
  <c r="O52" i="52"/>
  <c r="K52" i="52"/>
  <c r="O51" i="52"/>
  <c r="K51" i="52"/>
  <c r="O50" i="52"/>
  <c r="K50" i="52"/>
  <c r="O49" i="52"/>
  <c r="K49" i="52"/>
  <c r="O48" i="52"/>
  <c r="K48" i="52"/>
  <c r="O47" i="52"/>
  <c r="K47" i="52"/>
  <c r="O46" i="52"/>
  <c r="K46" i="52"/>
  <c r="O45" i="52"/>
  <c r="K45" i="52"/>
  <c r="O44" i="52"/>
  <c r="K44" i="52"/>
  <c r="O43" i="52"/>
  <c r="K43" i="52"/>
  <c r="O42" i="52"/>
  <c r="K42" i="52"/>
  <c r="O41" i="52"/>
  <c r="K41" i="52"/>
  <c r="O40" i="52"/>
  <c r="K40" i="52"/>
  <c r="O39" i="52"/>
  <c r="K39" i="52"/>
  <c r="O38" i="52"/>
  <c r="K38" i="52"/>
  <c r="O37" i="52"/>
  <c r="K37" i="52"/>
  <c r="O36" i="52"/>
  <c r="K36" i="52"/>
  <c r="O35" i="52"/>
  <c r="K35" i="52"/>
  <c r="O34" i="52"/>
  <c r="K34" i="52"/>
  <c r="O33" i="52"/>
  <c r="K33" i="52"/>
  <c r="O32" i="52"/>
  <c r="K32" i="52"/>
  <c r="O31" i="52"/>
  <c r="K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O23" i="52"/>
  <c r="K23" i="52"/>
  <c r="O22" i="52"/>
  <c r="K22" i="52"/>
  <c r="O21" i="52"/>
  <c r="K21" i="52"/>
  <c r="O20" i="52"/>
  <c r="K20" i="52"/>
  <c r="O19" i="52"/>
  <c r="K19" i="52"/>
  <c r="O18" i="52"/>
  <c r="K18" i="52"/>
  <c r="O17" i="52"/>
  <c r="K17" i="52"/>
  <c r="O16" i="52"/>
  <c r="K16" i="52"/>
  <c r="O15" i="52"/>
  <c r="K15" i="52"/>
  <c r="O14" i="52"/>
  <c r="K14" i="52"/>
  <c r="O13" i="52"/>
  <c r="K13" i="52"/>
  <c r="O12" i="52"/>
  <c r="K12" i="52"/>
  <c r="O11" i="52"/>
  <c r="K11" i="52"/>
  <c r="O10" i="52"/>
  <c r="K10" i="52"/>
  <c r="O9" i="52"/>
  <c r="K9" i="52"/>
  <c r="O8" i="52"/>
  <c r="K8" i="52"/>
  <c r="O7" i="52"/>
  <c r="K7" i="52"/>
  <c r="O6" i="52"/>
  <c r="K6" i="52"/>
  <c r="O5" i="52"/>
  <c r="O4" i="52"/>
  <c r="K4" i="52"/>
  <c r="O3" i="52"/>
  <c r="K3" i="52"/>
  <c r="O59" i="51" l="1"/>
  <c r="K59" i="51"/>
  <c r="O58" i="51"/>
  <c r="K58" i="51"/>
  <c r="O57" i="51"/>
  <c r="K57" i="51"/>
  <c r="O56" i="51"/>
  <c r="K56" i="51"/>
  <c r="O55" i="51"/>
  <c r="K55" i="51"/>
  <c r="O54" i="51"/>
  <c r="K54" i="51"/>
  <c r="O53" i="51"/>
  <c r="K53" i="51"/>
  <c r="O52" i="51"/>
  <c r="K52" i="51"/>
  <c r="O51" i="51"/>
  <c r="K51" i="51"/>
  <c r="O50" i="51"/>
  <c r="K50" i="51"/>
  <c r="O49" i="51"/>
  <c r="K49" i="51"/>
  <c r="O48" i="51"/>
  <c r="K48" i="51"/>
  <c r="O47" i="51"/>
  <c r="K47" i="51"/>
  <c r="O46" i="51"/>
  <c r="K46" i="51"/>
  <c r="O45" i="51"/>
  <c r="K45" i="51"/>
  <c r="O44" i="51"/>
  <c r="K44" i="51"/>
  <c r="O43" i="51"/>
  <c r="K43" i="51"/>
  <c r="O42" i="51"/>
  <c r="K42" i="51"/>
  <c r="O41" i="51"/>
  <c r="K41" i="51"/>
  <c r="O40" i="51"/>
  <c r="K40" i="51"/>
  <c r="O39" i="51"/>
  <c r="K39" i="51"/>
  <c r="O38" i="51"/>
  <c r="K38" i="51"/>
  <c r="O37" i="51"/>
  <c r="K37" i="51"/>
  <c r="O36" i="51"/>
  <c r="K36" i="51"/>
  <c r="O35" i="51"/>
  <c r="K35" i="51"/>
  <c r="O34" i="51"/>
  <c r="K34" i="51"/>
  <c r="O33" i="51"/>
  <c r="K33" i="51"/>
  <c r="O32" i="51"/>
  <c r="K32" i="51"/>
  <c r="O31" i="51"/>
  <c r="K31" i="51"/>
  <c r="O30" i="51"/>
  <c r="K30" i="51"/>
  <c r="O29" i="51"/>
  <c r="K29" i="51"/>
  <c r="O28" i="51"/>
  <c r="K28" i="51"/>
  <c r="O27" i="51"/>
  <c r="K27" i="51"/>
  <c r="O26" i="51"/>
  <c r="K26" i="51"/>
  <c r="O25" i="51"/>
  <c r="K25" i="51"/>
  <c r="O24" i="51"/>
  <c r="K24" i="51"/>
  <c r="O23" i="51"/>
  <c r="K23" i="51"/>
  <c r="O22" i="51"/>
  <c r="K22" i="51"/>
  <c r="O21" i="51"/>
  <c r="K21" i="51"/>
  <c r="O20" i="51"/>
  <c r="K20" i="51"/>
  <c r="O19" i="51"/>
  <c r="K19" i="51"/>
  <c r="O18" i="51"/>
  <c r="K18" i="51"/>
  <c r="O17" i="51"/>
  <c r="K17" i="51"/>
  <c r="O16" i="51"/>
  <c r="K16" i="51"/>
  <c r="O15" i="51"/>
  <c r="K15" i="51"/>
  <c r="O14" i="51"/>
  <c r="K14" i="51"/>
  <c r="O13" i="51"/>
  <c r="K13" i="51"/>
  <c r="O12" i="51"/>
  <c r="K12" i="51"/>
  <c r="O11" i="51"/>
  <c r="K11" i="51"/>
  <c r="O10" i="51"/>
  <c r="K10" i="51"/>
  <c r="O9" i="51"/>
  <c r="K9" i="51"/>
  <c r="O8" i="51"/>
  <c r="K8" i="51"/>
  <c r="O7" i="51"/>
  <c r="K7" i="51"/>
  <c r="O6" i="51"/>
  <c r="K6" i="51"/>
  <c r="O5" i="51"/>
  <c r="K5" i="51"/>
  <c r="O4" i="51"/>
  <c r="K4" i="51"/>
  <c r="O3" i="51"/>
  <c r="K3" i="51"/>
  <c r="O59" i="50"/>
  <c r="K59" i="50"/>
  <c r="O58" i="50"/>
  <c r="K58" i="50"/>
  <c r="O57" i="50"/>
  <c r="K57" i="50"/>
  <c r="O56" i="50"/>
  <c r="K56" i="50"/>
  <c r="O55" i="50"/>
  <c r="K55" i="50"/>
  <c r="O54" i="50"/>
  <c r="K54" i="50"/>
  <c r="O53" i="50"/>
  <c r="K53" i="50"/>
  <c r="O52" i="50"/>
  <c r="K52" i="50"/>
  <c r="O51" i="50"/>
  <c r="K51" i="50"/>
  <c r="O50" i="50"/>
  <c r="K50" i="50"/>
  <c r="O49" i="50"/>
  <c r="K49" i="50"/>
  <c r="O48" i="50"/>
  <c r="K48" i="50"/>
  <c r="O47" i="50"/>
  <c r="K47" i="50"/>
  <c r="O46" i="50"/>
  <c r="K46" i="50"/>
  <c r="O45" i="50"/>
  <c r="K45" i="50"/>
  <c r="O44" i="50"/>
  <c r="K44" i="50"/>
  <c r="O43" i="50"/>
  <c r="K43" i="50"/>
  <c r="O42" i="50"/>
  <c r="K42" i="50"/>
  <c r="O41" i="50"/>
  <c r="K41" i="50"/>
  <c r="O40" i="50"/>
  <c r="K40" i="50"/>
  <c r="O39" i="50"/>
  <c r="K39" i="50"/>
  <c r="O38" i="50"/>
  <c r="K38" i="50"/>
  <c r="O37" i="50"/>
  <c r="K37" i="50"/>
  <c r="O36" i="50"/>
  <c r="K36" i="50"/>
  <c r="O35" i="50"/>
  <c r="K35" i="50"/>
  <c r="O34" i="50"/>
  <c r="K34" i="50"/>
  <c r="O33" i="50"/>
  <c r="K33" i="50"/>
  <c r="O32" i="50"/>
  <c r="K32" i="50"/>
  <c r="O31" i="50"/>
  <c r="K31" i="50"/>
  <c r="O30" i="50"/>
  <c r="K30" i="50"/>
  <c r="O29" i="50"/>
  <c r="K29" i="50"/>
  <c r="O28" i="50"/>
  <c r="K28" i="50"/>
  <c r="O27" i="50"/>
  <c r="K27" i="50"/>
  <c r="O26" i="50"/>
  <c r="K26" i="50"/>
  <c r="O25" i="50"/>
  <c r="K25" i="50"/>
  <c r="O24" i="50"/>
  <c r="K24" i="50"/>
  <c r="O23" i="50"/>
  <c r="K23" i="50"/>
  <c r="O22" i="50"/>
  <c r="K22" i="50"/>
  <c r="O21" i="50"/>
  <c r="K21" i="50"/>
  <c r="O20" i="50"/>
  <c r="K20" i="50"/>
  <c r="O19" i="50"/>
  <c r="K19" i="50"/>
  <c r="O18" i="50"/>
  <c r="K18" i="50"/>
  <c r="O17" i="50"/>
  <c r="K17" i="50"/>
  <c r="O16" i="50"/>
  <c r="K16" i="50"/>
  <c r="O15" i="50"/>
  <c r="K15" i="50"/>
  <c r="O14" i="50"/>
  <c r="K14" i="50"/>
  <c r="O13" i="50"/>
  <c r="K13" i="50"/>
  <c r="O12" i="50"/>
  <c r="K12" i="50"/>
  <c r="O11" i="50"/>
  <c r="K11" i="50"/>
  <c r="O10" i="50"/>
  <c r="K10" i="50"/>
  <c r="O9" i="50"/>
  <c r="K9" i="50"/>
  <c r="O8" i="50"/>
  <c r="K8" i="50"/>
  <c r="O7" i="50"/>
  <c r="K7" i="50"/>
  <c r="O6" i="50"/>
  <c r="K6" i="50"/>
  <c r="O5" i="50"/>
  <c r="K5" i="50"/>
  <c r="O4" i="50"/>
  <c r="K4" i="50"/>
  <c r="O3" i="50"/>
  <c r="K3" i="50"/>
  <c r="O59" i="49" l="1"/>
  <c r="K59" i="49"/>
  <c r="O58" i="49"/>
  <c r="K58" i="49"/>
  <c r="O57" i="49"/>
  <c r="K57" i="49"/>
  <c r="O56" i="49"/>
  <c r="K56" i="49"/>
  <c r="O55" i="49"/>
  <c r="K55" i="49"/>
  <c r="O54" i="49"/>
  <c r="K54" i="49"/>
  <c r="O53" i="49"/>
  <c r="K53" i="49"/>
  <c r="O52" i="49"/>
  <c r="K52" i="49"/>
  <c r="O51" i="49"/>
  <c r="K51" i="49"/>
  <c r="O50" i="49"/>
  <c r="K50" i="49"/>
  <c r="O49" i="49"/>
  <c r="K49" i="49"/>
  <c r="O48" i="49"/>
  <c r="K48" i="49"/>
  <c r="O47" i="49"/>
  <c r="K47" i="49"/>
  <c r="O46" i="49"/>
  <c r="K46" i="49"/>
  <c r="O45" i="49"/>
  <c r="K45" i="49"/>
  <c r="O44" i="49"/>
  <c r="K44" i="49"/>
  <c r="O43" i="49"/>
  <c r="K43" i="49"/>
  <c r="O42" i="49"/>
  <c r="K42" i="49"/>
  <c r="O41" i="49"/>
  <c r="K41" i="49"/>
  <c r="O40" i="49"/>
  <c r="K40" i="49"/>
  <c r="O39" i="49"/>
  <c r="K39" i="49"/>
  <c r="O38" i="49"/>
  <c r="K38" i="49"/>
  <c r="O37" i="49"/>
  <c r="K37" i="49"/>
  <c r="O36" i="49"/>
  <c r="K36" i="49"/>
  <c r="O35" i="49"/>
  <c r="K35" i="49"/>
  <c r="O34" i="49"/>
  <c r="K34" i="49"/>
  <c r="O33" i="49"/>
  <c r="K33" i="49"/>
  <c r="O32" i="49"/>
  <c r="K32" i="49"/>
  <c r="O31" i="49"/>
  <c r="K31" i="49"/>
  <c r="O30" i="49"/>
  <c r="K30" i="49"/>
  <c r="O29" i="49"/>
  <c r="K29" i="49"/>
  <c r="O28" i="49"/>
  <c r="K28" i="49"/>
  <c r="O27" i="49"/>
  <c r="K27" i="49"/>
  <c r="O26" i="49"/>
  <c r="K26" i="49"/>
  <c r="O25" i="49"/>
  <c r="K25" i="49"/>
  <c r="O24" i="49"/>
  <c r="K24" i="49"/>
  <c r="O23" i="49"/>
  <c r="K23" i="49"/>
  <c r="O22" i="49"/>
  <c r="K22" i="49"/>
  <c r="O21" i="49"/>
  <c r="K21" i="49"/>
  <c r="O20" i="49"/>
  <c r="K20" i="49"/>
  <c r="O19" i="49"/>
  <c r="K19" i="49"/>
  <c r="O18" i="49"/>
  <c r="K18" i="49"/>
  <c r="O17" i="49"/>
  <c r="K17" i="49"/>
  <c r="O16" i="49"/>
  <c r="K16" i="49"/>
  <c r="O15" i="49"/>
  <c r="K15" i="49"/>
  <c r="O14" i="49"/>
  <c r="K14" i="49"/>
  <c r="O13" i="49"/>
  <c r="K13" i="49"/>
  <c r="O12" i="49"/>
  <c r="K12" i="49"/>
  <c r="O11" i="49"/>
  <c r="K11" i="49"/>
  <c r="O10" i="49"/>
  <c r="K10" i="49"/>
  <c r="O9" i="49"/>
  <c r="K9" i="49"/>
  <c r="O8" i="49"/>
  <c r="K8" i="49"/>
  <c r="O7" i="49"/>
  <c r="K7" i="49"/>
  <c r="O6" i="49"/>
  <c r="K6" i="49"/>
  <c r="O5" i="49"/>
  <c r="K5" i="49"/>
  <c r="O4" i="49"/>
  <c r="O3" i="49"/>
  <c r="K3" i="49"/>
  <c r="O4" i="47"/>
  <c r="O59" i="48"/>
  <c r="K59" i="48"/>
  <c r="O58" i="48"/>
  <c r="K58" i="48"/>
  <c r="O57" i="48"/>
  <c r="K57" i="48"/>
  <c r="O56" i="48"/>
  <c r="K56" i="48"/>
  <c r="O55" i="48"/>
  <c r="K55" i="48"/>
  <c r="O54" i="48"/>
  <c r="K54" i="48"/>
  <c r="O53" i="48"/>
  <c r="K53" i="48"/>
  <c r="O52" i="48"/>
  <c r="K52" i="48"/>
  <c r="O51" i="48"/>
  <c r="K51" i="48"/>
  <c r="O50" i="48"/>
  <c r="K50" i="48"/>
  <c r="O49" i="48"/>
  <c r="K49" i="48"/>
  <c r="O48" i="48"/>
  <c r="K48" i="48"/>
  <c r="O47" i="48"/>
  <c r="K47" i="48"/>
  <c r="O46" i="48"/>
  <c r="K46" i="48"/>
  <c r="O45" i="48"/>
  <c r="K45" i="48"/>
  <c r="O44" i="48"/>
  <c r="K44" i="48"/>
  <c r="O43" i="48"/>
  <c r="K43" i="48"/>
  <c r="O42" i="48"/>
  <c r="K42" i="48"/>
  <c r="O41" i="48"/>
  <c r="K41" i="48"/>
  <c r="O40" i="48"/>
  <c r="K40" i="48"/>
  <c r="O39" i="48"/>
  <c r="K39" i="48"/>
  <c r="O38" i="48"/>
  <c r="K38" i="48"/>
  <c r="O37" i="48"/>
  <c r="K37" i="48"/>
  <c r="O36" i="48"/>
  <c r="K36" i="48"/>
  <c r="O35" i="48"/>
  <c r="K35" i="48"/>
  <c r="O34" i="48"/>
  <c r="K34" i="48"/>
  <c r="O33" i="48"/>
  <c r="K33" i="48"/>
  <c r="O32" i="48"/>
  <c r="K32" i="48"/>
  <c r="O31" i="48"/>
  <c r="K31" i="48"/>
  <c r="O30" i="48"/>
  <c r="K30" i="48"/>
  <c r="O29" i="48"/>
  <c r="K29" i="48"/>
  <c r="O28" i="48"/>
  <c r="K28" i="48"/>
  <c r="O27" i="48"/>
  <c r="K27" i="48"/>
  <c r="O26" i="48"/>
  <c r="K26" i="48"/>
  <c r="O25" i="48"/>
  <c r="K25" i="48"/>
  <c r="O24" i="48"/>
  <c r="K24" i="48"/>
  <c r="O23" i="48"/>
  <c r="K23" i="48"/>
  <c r="O22" i="48"/>
  <c r="K22" i="48"/>
  <c r="O21" i="48"/>
  <c r="K21" i="48"/>
  <c r="O20" i="48"/>
  <c r="K20" i="48"/>
  <c r="O19" i="48"/>
  <c r="K19" i="48"/>
  <c r="O18" i="48"/>
  <c r="K18" i="48"/>
  <c r="O17" i="48"/>
  <c r="K17" i="48"/>
  <c r="O16" i="48"/>
  <c r="K16" i="48"/>
  <c r="O15" i="48"/>
  <c r="K15" i="48"/>
  <c r="O14" i="48"/>
  <c r="K14" i="48"/>
  <c r="O13" i="48"/>
  <c r="K13" i="48"/>
  <c r="O12" i="48"/>
  <c r="K12" i="48"/>
  <c r="O11" i="48"/>
  <c r="K11" i="48"/>
  <c r="O10" i="48"/>
  <c r="K10" i="48"/>
  <c r="O9" i="48"/>
  <c r="K9" i="48"/>
  <c r="O8" i="48"/>
  <c r="K8" i="48"/>
  <c r="O7" i="48"/>
  <c r="K7" i="48"/>
  <c r="O6" i="48"/>
  <c r="K6" i="48"/>
  <c r="O5" i="48"/>
  <c r="K5" i="48"/>
  <c r="O4" i="48"/>
  <c r="K4" i="48"/>
  <c r="O3" i="48"/>
  <c r="K3" i="48"/>
  <c r="O59" i="47"/>
  <c r="K59" i="47"/>
  <c r="O58" i="47"/>
  <c r="K58" i="47"/>
  <c r="O57" i="47"/>
  <c r="K57" i="47"/>
  <c r="O56" i="47"/>
  <c r="K56" i="47"/>
  <c r="O55" i="47"/>
  <c r="K55" i="47"/>
  <c r="O54" i="47"/>
  <c r="K54" i="47"/>
  <c r="O53" i="47"/>
  <c r="K53" i="47"/>
  <c r="O52" i="47"/>
  <c r="K52" i="47"/>
  <c r="O51" i="47"/>
  <c r="K51" i="47"/>
  <c r="O50" i="47"/>
  <c r="K50" i="47"/>
  <c r="O49" i="47"/>
  <c r="K49" i="47"/>
  <c r="O48" i="47"/>
  <c r="K48" i="47"/>
  <c r="O47" i="47"/>
  <c r="K47" i="47"/>
  <c r="O46" i="47"/>
  <c r="K46" i="47"/>
  <c r="O45" i="47"/>
  <c r="K45" i="47"/>
  <c r="O44" i="47"/>
  <c r="K44" i="47"/>
  <c r="O43" i="47"/>
  <c r="K43" i="47"/>
  <c r="O42" i="47"/>
  <c r="K42" i="47"/>
  <c r="O41" i="47"/>
  <c r="K41" i="47"/>
  <c r="O40" i="47"/>
  <c r="K40" i="47"/>
  <c r="O39" i="47"/>
  <c r="K39" i="47"/>
  <c r="O38" i="47"/>
  <c r="K38" i="47"/>
  <c r="O37" i="47"/>
  <c r="K37" i="47"/>
  <c r="O36" i="47"/>
  <c r="K36" i="47"/>
  <c r="O35" i="47"/>
  <c r="K35" i="47"/>
  <c r="O34" i="47"/>
  <c r="K34" i="47"/>
  <c r="O32" i="47"/>
  <c r="K32" i="47"/>
  <c r="O31" i="47"/>
  <c r="K31" i="47"/>
  <c r="O30" i="47"/>
  <c r="K30" i="47"/>
  <c r="O29" i="47"/>
  <c r="K29" i="47"/>
  <c r="O28" i="47"/>
  <c r="K28" i="47"/>
  <c r="O27" i="47"/>
  <c r="K27" i="47"/>
  <c r="O26" i="47"/>
  <c r="K26" i="47"/>
  <c r="O25" i="47"/>
  <c r="K25" i="47"/>
  <c r="O24" i="47"/>
  <c r="K24" i="47"/>
  <c r="O23" i="47"/>
  <c r="K23" i="47"/>
  <c r="O22" i="47"/>
  <c r="K22" i="47"/>
  <c r="O21" i="47"/>
  <c r="K21" i="47"/>
  <c r="O20" i="47"/>
  <c r="K20" i="47"/>
  <c r="O19" i="47"/>
  <c r="K19" i="47"/>
  <c r="O18" i="47"/>
  <c r="K18" i="47"/>
  <c r="O17" i="47"/>
  <c r="K17" i="47"/>
  <c r="O16" i="47"/>
  <c r="K16" i="47"/>
  <c r="O15" i="47"/>
  <c r="K15" i="47"/>
  <c r="O14" i="47"/>
  <c r="K14" i="47"/>
  <c r="O13" i="47"/>
  <c r="K13" i="47"/>
  <c r="O12" i="47"/>
  <c r="K12" i="47"/>
  <c r="O11" i="47"/>
  <c r="K11" i="47"/>
  <c r="O10" i="47"/>
  <c r="K10" i="47"/>
  <c r="O9" i="47"/>
  <c r="K9" i="47"/>
  <c r="O8" i="47"/>
  <c r="K8" i="47"/>
  <c r="O7" i="47"/>
  <c r="K7" i="47"/>
  <c r="O6" i="47"/>
  <c r="K6" i="47"/>
  <c r="O5" i="47"/>
  <c r="K5" i="47"/>
  <c r="K4" i="47"/>
  <c r="O3" i="47"/>
  <c r="K3" i="47"/>
  <c r="O59" i="46"/>
  <c r="K59" i="46"/>
  <c r="O58" i="46"/>
  <c r="K58" i="46"/>
  <c r="O57" i="46"/>
  <c r="K57" i="46"/>
  <c r="O56" i="46"/>
  <c r="K56" i="46"/>
  <c r="O55" i="46"/>
  <c r="K55" i="46"/>
  <c r="O54" i="46"/>
  <c r="K54" i="46"/>
  <c r="O53" i="46"/>
  <c r="K53" i="46"/>
  <c r="O52" i="46"/>
  <c r="K52" i="46"/>
  <c r="O51" i="46"/>
  <c r="K51" i="46"/>
  <c r="O50" i="46"/>
  <c r="K50" i="46"/>
  <c r="O49" i="46"/>
  <c r="K49" i="46"/>
  <c r="O48" i="46"/>
  <c r="K48" i="46"/>
  <c r="O47" i="46"/>
  <c r="K47" i="46"/>
  <c r="O46" i="46"/>
  <c r="K46" i="46"/>
  <c r="O45" i="46"/>
  <c r="K45" i="46"/>
  <c r="O44" i="46"/>
  <c r="K44" i="46"/>
  <c r="O43" i="46"/>
  <c r="K43" i="46"/>
  <c r="O42" i="46"/>
  <c r="K42" i="46"/>
  <c r="O41" i="46"/>
  <c r="K41" i="46"/>
  <c r="O40" i="46"/>
  <c r="K40" i="46"/>
  <c r="O39" i="46"/>
  <c r="K39" i="46"/>
  <c r="O38" i="46"/>
  <c r="K38" i="46"/>
  <c r="O37" i="46"/>
  <c r="K37" i="46"/>
  <c r="O36" i="46"/>
  <c r="K36" i="46"/>
  <c r="O35" i="46"/>
  <c r="K35" i="46"/>
  <c r="O34" i="46"/>
  <c r="K34" i="46"/>
  <c r="O33" i="46"/>
  <c r="K33" i="46"/>
  <c r="O32" i="46"/>
  <c r="K32" i="46"/>
  <c r="O31" i="46"/>
  <c r="K31" i="46"/>
  <c r="O30" i="46"/>
  <c r="K30" i="46"/>
  <c r="O29" i="46"/>
  <c r="K29" i="46"/>
  <c r="O28" i="46"/>
  <c r="K28" i="46"/>
  <c r="O27" i="46"/>
  <c r="K27" i="46"/>
  <c r="O26" i="46"/>
  <c r="K26" i="46"/>
  <c r="O25" i="46"/>
  <c r="K25" i="46"/>
  <c r="O24" i="46"/>
  <c r="K24" i="46"/>
  <c r="O23" i="46"/>
  <c r="K23" i="46"/>
  <c r="O22" i="46"/>
  <c r="K22" i="46"/>
  <c r="O21" i="46"/>
  <c r="K21" i="46"/>
  <c r="O20" i="46"/>
  <c r="K20" i="46"/>
  <c r="O19" i="46"/>
  <c r="K19" i="46"/>
  <c r="O18" i="46"/>
  <c r="K18" i="46"/>
  <c r="O17" i="46"/>
  <c r="K17" i="46"/>
  <c r="O16" i="46"/>
  <c r="K16" i="46"/>
  <c r="O15" i="46"/>
  <c r="K15" i="46"/>
  <c r="O14" i="46"/>
  <c r="K14" i="46"/>
  <c r="O13" i="46"/>
  <c r="K13" i="46"/>
  <c r="O12" i="46"/>
  <c r="K12" i="46"/>
  <c r="O11" i="46"/>
  <c r="K11" i="46"/>
  <c r="O10" i="46"/>
  <c r="K10" i="46"/>
  <c r="O9" i="46"/>
  <c r="K9" i="46"/>
  <c r="O8" i="46"/>
  <c r="K8" i="46"/>
  <c r="O7" i="46"/>
  <c r="K7" i="46"/>
  <c r="O6" i="46"/>
  <c r="K6" i="46"/>
  <c r="O5" i="46"/>
  <c r="K5" i="46"/>
  <c r="O4" i="46"/>
  <c r="K4" i="46"/>
  <c r="O3" i="46"/>
  <c r="K3" i="46"/>
  <c r="O59" i="45"/>
  <c r="K59" i="45"/>
  <c r="O58" i="45"/>
  <c r="K58" i="45"/>
  <c r="O57" i="45"/>
  <c r="K57" i="45"/>
  <c r="O56" i="45"/>
  <c r="K56" i="45"/>
  <c r="O55" i="45"/>
  <c r="K55" i="45"/>
  <c r="O54" i="45"/>
  <c r="K54" i="45"/>
  <c r="O53" i="45"/>
  <c r="K53" i="45"/>
  <c r="O52" i="45"/>
  <c r="K52" i="45"/>
  <c r="O51" i="45"/>
  <c r="K51" i="45"/>
  <c r="O50" i="45"/>
  <c r="K50" i="45"/>
  <c r="O49" i="45"/>
  <c r="K49" i="45"/>
  <c r="O48" i="45"/>
  <c r="K48" i="45"/>
  <c r="O47" i="45"/>
  <c r="K47" i="45"/>
  <c r="O46" i="45"/>
  <c r="K46" i="45"/>
  <c r="O45" i="45"/>
  <c r="K45" i="45"/>
  <c r="O44" i="45"/>
  <c r="K44" i="45"/>
  <c r="O43" i="45"/>
  <c r="K43" i="45"/>
  <c r="O42" i="45"/>
  <c r="K42" i="45"/>
  <c r="O41" i="45"/>
  <c r="K41" i="45"/>
  <c r="O40" i="45"/>
  <c r="K40" i="45"/>
  <c r="O39" i="45"/>
  <c r="K39" i="45"/>
  <c r="O38" i="45"/>
  <c r="K38" i="45"/>
  <c r="O37" i="45"/>
  <c r="K37" i="45"/>
  <c r="O36" i="45"/>
  <c r="K36" i="45"/>
  <c r="O35" i="45"/>
  <c r="K35" i="45"/>
  <c r="O34" i="45"/>
  <c r="K34" i="45"/>
  <c r="O33" i="45"/>
  <c r="K33" i="45"/>
  <c r="O32" i="45"/>
  <c r="K32" i="45"/>
  <c r="O31" i="45"/>
  <c r="K31" i="45"/>
  <c r="O30" i="45"/>
  <c r="K30" i="45"/>
  <c r="O29" i="45"/>
  <c r="K29" i="45"/>
  <c r="O28" i="45"/>
  <c r="K28" i="45"/>
  <c r="O27" i="45"/>
  <c r="K27" i="45"/>
  <c r="O26" i="45"/>
  <c r="K26" i="45"/>
  <c r="O25" i="45"/>
  <c r="K25" i="45"/>
  <c r="O24" i="45"/>
  <c r="K24" i="45"/>
  <c r="O23" i="45"/>
  <c r="K23" i="45"/>
  <c r="O22" i="45"/>
  <c r="K22" i="45"/>
  <c r="O21" i="45"/>
  <c r="K21" i="45"/>
  <c r="O20" i="45"/>
  <c r="K20" i="45"/>
  <c r="O19" i="45"/>
  <c r="K19" i="45"/>
  <c r="O18" i="45"/>
  <c r="K18" i="45"/>
  <c r="O17" i="45"/>
  <c r="K17" i="45"/>
  <c r="O16" i="45"/>
  <c r="K16" i="45"/>
  <c r="O15" i="45"/>
  <c r="K15" i="45"/>
  <c r="O14" i="45"/>
  <c r="K14" i="45"/>
  <c r="O13" i="45"/>
  <c r="K13" i="45"/>
  <c r="O12" i="45"/>
  <c r="K12" i="45"/>
  <c r="O11" i="45"/>
  <c r="K11" i="45"/>
  <c r="O10" i="45"/>
  <c r="K10" i="45"/>
  <c r="O9" i="45"/>
  <c r="K9" i="45"/>
  <c r="O8" i="45"/>
  <c r="K8" i="45"/>
  <c r="O7" i="45"/>
  <c r="K7" i="45"/>
  <c r="O6" i="45"/>
  <c r="K6" i="45"/>
  <c r="O5" i="45"/>
  <c r="K5" i="45"/>
  <c r="O4" i="45"/>
  <c r="K4" i="45"/>
  <c r="O3" i="45"/>
  <c r="K3" i="45"/>
  <c r="O59" i="44" l="1"/>
  <c r="K59" i="44"/>
  <c r="O58" i="44"/>
  <c r="K58" i="44"/>
  <c r="O57" i="44"/>
  <c r="K57" i="44"/>
  <c r="O56" i="44"/>
  <c r="K56" i="44"/>
  <c r="O55" i="44"/>
  <c r="K55" i="44"/>
  <c r="O54" i="44"/>
  <c r="K54" i="44"/>
  <c r="O53" i="44"/>
  <c r="K53" i="44"/>
  <c r="O52" i="44"/>
  <c r="K52" i="44"/>
  <c r="O51" i="44"/>
  <c r="K51" i="44"/>
  <c r="O50" i="44"/>
  <c r="K50" i="44"/>
  <c r="O49" i="44"/>
  <c r="K49" i="44"/>
  <c r="O48" i="44"/>
  <c r="K48" i="44"/>
  <c r="O47" i="44"/>
  <c r="K47" i="44"/>
  <c r="O46" i="44"/>
  <c r="K46" i="44"/>
  <c r="O45" i="44"/>
  <c r="K45" i="44"/>
  <c r="O44" i="44"/>
  <c r="K44" i="44"/>
  <c r="O43" i="44"/>
  <c r="K43" i="44"/>
  <c r="O42" i="44"/>
  <c r="K42" i="44"/>
  <c r="O41" i="44"/>
  <c r="K41" i="44"/>
  <c r="O40" i="44"/>
  <c r="K40" i="44"/>
  <c r="O39" i="44"/>
  <c r="K39" i="44"/>
  <c r="O38" i="44"/>
  <c r="K38" i="44"/>
  <c r="O37" i="44"/>
  <c r="K37" i="44"/>
  <c r="O36" i="44"/>
  <c r="K36" i="44"/>
  <c r="O35" i="44"/>
  <c r="K35" i="44"/>
  <c r="O34" i="44"/>
  <c r="K34" i="44"/>
  <c r="O33" i="44"/>
  <c r="K33" i="44"/>
  <c r="O32" i="44"/>
  <c r="K32" i="44"/>
  <c r="O31" i="44"/>
  <c r="K31" i="44"/>
  <c r="O30" i="44"/>
  <c r="K30" i="44"/>
  <c r="O29" i="44"/>
  <c r="K29" i="44"/>
  <c r="O28" i="44"/>
  <c r="K28" i="44"/>
  <c r="O27" i="44"/>
  <c r="K27" i="44"/>
  <c r="O26" i="44"/>
  <c r="K26" i="44"/>
  <c r="O25" i="44"/>
  <c r="K25" i="44"/>
  <c r="O24" i="44"/>
  <c r="K24" i="44"/>
  <c r="O23" i="44"/>
  <c r="K23" i="44"/>
  <c r="O22" i="44"/>
  <c r="K22" i="44"/>
  <c r="O21" i="44"/>
  <c r="K21" i="44"/>
  <c r="O20" i="44"/>
  <c r="K20" i="44"/>
  <c r="O19" i="44"/>
  <c r="K19" i="44"/>
  <c r="O18" i="44"/>
  <c r="K18" i="44"/>
  <c r="O17" i="44"/>
  <c r="K17" i="44"/>
  <c r="O16" i="44"/>
  <c r="K16" i="44"/>
  <c r="O15" i="44"/>
  <c r="K15" i="44"/>
  <c r="O14" i="44"/>
  <c r="K14" i="44"/>
  <c r="O13" i="44"/>
  <c r="K13" i="44"/>
  <c r="O12" i="44"/>
  <c r="K12" i="44"/>
  <c r="O11" i="44"/>
  <c r="K11" i="44"/>
  <c r="O10" i="44"/>
  <c r="K10" i="44"/>
  <c r="O9" i="44"/>
  <c r="K9" i="44"/>
  <c r="O8" i="44"/>
  <c r="K8" i="44"/>
  <c r="O7" i="44"/>
  <c r="K7" i="44"/>
  <c r="O6" i="44"/>
  <c r="K6" i="44"/>
  <c r="O5" i="44"/>
  <c r="K5" i="44"/>
  <c r="O4" i="44"/>
  <c r="K4" i="44"/>
  <c r="O3" i="44"/>
  <c r="K3" i="44"/>
  <c r="O59" i="43"/>
  <c r="K59" i="43"/>
  <c r="O58" i="43"/>
  <c r="K58" i="43"/>
  <c r="O57" i="43"/>
  <c r="K57" i="43"/>
  <c r="O56" i="43"/>
  <c r="K56" i="43"/>
  <c r="O55" i="43"/>
  <c r="K55" i="43"/>
  <c r="O54" i="43"/>
  <c r="K54" i="43"/>
  <c r="O53" i="43"/>
  <c r="K53" i="43"/>
  <c r="O52" i="43"/>
  <c r="K52" i="43"/>
  <c r="O51" i="43"/>
  <c r="K51" i="43"/>
  <c r="O50" i="43"/>
  <c r="K50" i="43"/>
  <c r="O49" i="43"/>
  <c r="K49" i="43"/>
  <c r="O48" i="43"/>
  <c r="K48" i="43"/>
  <c r="O47" i="43"/>
  <c r="K47" i="43"/>
  <c r="O46" i="43"/>
  <c r="K46" i="43"/>
  <c r="O45" i="43"/>
  <c r="K45" i="43"/>
  <c r="O44" i="43"/>
  <c r="K44" i="43"/>
  <c r="O43" i="43"/>
  <c r="K43" i="43"/>
  <c r="O42" i="43"/>
  <c r="K42" i="43"/>
  <c r="O41" i="43"/>
  <c r="K41" i="43"/>
  <c r="O40" i="43"/>
  <c r="K40" i="43"/>
  <c r="O39" i="43"/>
  <c r="K39" i="43"/>
  <c r="O38" i="43"/>
  <c r="K38" i="43"/>
  <c r="O37" i="43"/>
  <c r="K37" i="43"/>
  <c r="O36" i="43"/>
  <c r="K36" i="43"/>
  <c r="O35" i="43"/>
  <c r="K35" i="43"/>
  <c r="O34" i="43"/>
  <c r="K34" i="43"/>
  <c r="O33" i="43"/>
  <c r="K33" i="43"/>
  <c r="O32" i="43"/>
  <c r="K32" i="43"/>
  <c r="O31" i="43"/>
  <c r="K31" i="43"/>
  <c r="O30" i="43"/>
  <c r="K30" i="43"/>
  <c r="O29" i="43"/>
  <c r="K29" i="43"/>
  <c r="O28" i="43"/>
  <c r="K28" i="43"/>
  <c r="O27" i="43"/>
  <c r="K27" i="43"/>
  <c r="O26" i="43"/>
  <c r="K26" i="43"/>
  <c r="O25" i="43"/>
  <c r="K25" i="43"/>
  <c r="O24" i="43"/>
  <c r="K24" i="43"/>
  <c r="O23" i="43"/>
  <c r="O22" i="43"/>
  <c r="K22" i="43"/>
  <c r="O21" i="43"/>
  <c r="K21" i="43"/>
  <c r="O20" i="43"/>
  <c r="K20" i="43"/>
  <c r="O19" i="43"/>
  <c r="K19" i="43"/>
  <c r="O18" i="43"/>
  <c r="K18" i="43"/>
  <c r="O17" i="43"/>
  <c r="K17" i="43"/>
  <c r="O16" i="43"/>
  <c r="K16" i="43"/>
  <c r="O15" i="43"/>
  <c r="K15" i="43"/>
  <c r="O14" i="43"/>
  <c r="K14" i="43"/>
  <c r="O13" i="43"/>
  <c r="K13" i="43"/>
  <c r="O12" i="43"/>
  <c r="K12" i="43"/>
  <c r="O11" i="43"/>
  <c r="K11" i="43"/>
  <c r="O10" i="43"/>
  <c r="K10" i="43"/>
  <c r="O9" i="43"/>
  <c r="K9" i="43"/>
  <c r="O8" i="43"/>
  <c r="K8" i="43"/>
  <c r="O7" i="43"/>
  <c r="K7" i="43"/>
  <c r="O6" i="43"/>
  <c r="K6" i="43"/>
  <c r="O5" i="43"/>
  <c r="K5" i="43"/>
  <c r="O4" i="43"/>
  <c r="K4" i="43"/>
  <c r="O3" i="43"/>
  <c r="K3" i="43"/>
  <c r="O59" i="41"/>
  <c r="K59" i="41"/>
  <c r="O58" i="41"/>
  <c r="K58" i="41"/>
  <c r="O57" i="41"/>
  <c r="K57" i="41"/>
  <c r="O56" i="41"/>
  <c r="K56" i="41"/>
  <c r="O55" i="41"/>
  <c r="K55" i="41"/>
  <c r="O54" i="41"/>
  <c r="K54" i="41"/>
  <c r="O53" i="41"/>
  <c r="K53" i="41"/>
  <c r="O52" i="41"/>
  <c r="K52" i="41"/>
  <c r="O51" i="41"/>
  <c r="K51" i="41"/>
  <c r="O50" i="41"/>
  <c r="K50" i="41"/>
  <c r="O49" i="41"/>
  <c r="K49" i="41"/>
  <c r="O48" i="41"/>
  <c r="K48" i="41"/>
  <c r="O47" i="41"/>
  <c r="K47" i="41"/>
  <c r="O46" i="41"/>
  <c r="K46" i="41"/>
  <c r="O45" i="41"/>
  <c r="K45" i="41"/>
  <c r="O44" i="41"/>
  <c r="K44" i="41"/>
  <c r="O43" i="41"/>
  <c r="K43" i="41"/>
  <c r="O42" i="41"/>
  <c r="K42" i="41"/>
  <c r="O41" i="41"/>
  <c r="K41" i="41"/>
  <c r="O40" i="41"/>
  <c r="K40" i="41"/>
  <c r="O39" i="41"/>
  <c r="K39" i="41"/>
  <c r="O38" i="41"/>
  <c r="K38" i="41"/>
  <c r="O37" i="41"/>
  <c r="K37" i="41"/>
  <c r="O36" i="41"/>
  <c r="K36" i="41"/>
  <c r="O35" i="41"/>
  <c r="K35" i="41"/>
  <c r="O34" i="41"/>
  <c r="K34" i="41"/>
  <c r="O33" i="41"/>
  <c r="K33" i="41"/>
  <c r="O32" i="41"/>
  <c r="K32" i="41"/>
  <c r="O31" i="41"/>
  <c r="K31" i="41"/>
  <c r="O30" i="41"/>
  <c r="K30" i="41"/>
  <c r="O29" i="41"/>
  <c r="K29" i="41"/>
  <c r="O28" i="41"/>
  <c r="K28" i="41"/>
  <c r="O26" i="41"/>
  <c r="K26" i="41"/>
  <c r="O25" i="41"/>
  <c r="K25" i="41"/>
  <c r="O24" i="41"/>
  <c r="K24" i="41"/>
  <c r="O23" i="41"/>
  <c r="K23" i="41"/>
  <c r="O22" i="41"/>
  <c r="K22" i="41"/>
  <c r="O21" i="41"/>
  <c r="K21" i="41"/>
  <c r="O20" i="41"/>
  <c r="K20" i="41"/>
  <c r="O19" i="41"/>
  <c r="K19" i="41"/>
  <c r="O18" i="41"/>
  <c r="K18" i="41"/>
  <c r="O17" i="41"/>
  <c r="K17" i="41"/>
  <c r="O16" i="41"/>
  <c r="K16" i="41"/>
  <c r="O15" i="41"/>
  <c r="K15" i="41"/>
  <c r="O14" i="41"/>
  <c r="K14" i="41"/>
  <c r="O13" i="41"/>
  <c r="K13" i="41"/>
  <c r="O12" i="41"/>
  <c r="K12" i="41"/>
  <c r="O11" i="41"/>
  <c r="K11" i="41"/>
  <c r="O10" i="41"/>
  <c r="K10" i="41"/>
  <c r="O9" i="41"/>
  <c r="K9" i="41"/>
  <c r="K8" i="41"/>
  <c r="O7" i="41"/>
  <c r="K7" i="41"/>
  <c r="O6" i="41"/>
  <c r="K6" i="41"/>
  <c r="O5" i="41"/>
  <c r="K5" i="41"/>
  <c r="O4" i="41"/>
  <c r="K4" i="41"/>
  <c r="O3" i="41"/>
  <c r="K3" i="41"/>
</calcChain>
</file>

<file path=xl/sharedStrings.xml><?xml version="1.0" encoding="utf-8"?>
<sst xmlns="http://schemas.openxmlformats.org/spreadsheetml/2006/main" count="7542" uniqueCount="1825">
  <si>
    <t xml:space="preserve">STATYSTYKI PRODUKCJI </t>
  </si>
  <si>
    <t>Lp.</t>
  </si>
  <si>
    <t xml:space="preserve">Nazwa produktu </t>
  </si>
  <si>
    <t xml:space="preserve">Data rozpoczęcia produkcji </t>
  </si>
  <si>
    <t>Data zakończenia produkcji</t>
  </si>
  <si>
    <t>Nr wtryskarki</t>
  </si>
  <si>
    <t>Ilość łączna wyprodukowanych elementów</t>
  </si>
  <si>
    <t>Czas cyklu [s] - na maszynie</t>
  </si>
  <si>
    <t>Średnia ilość produkowanych detali na 1 zmianę [8h]</t>
  </si>
  <si>
    <t>Krotność formy</t>
  </si>
  <si>
    <t xml:space="preserve">Realny czas cyklu  (uwzględniający brakowe cykle)  </t>
  </si>
  <si>
    <t>Szacunkowy poziom braków [%]</t>
  </si>
  <si>
    <t>Waga netto 1 sztuki [kg]</t>
  </si>
  <si>
    <t>Waga brutto - cały wtrysk z wlewkiem [kg]</t>
  </si>
  <si>
    <t>Waga 1 sztuki brutto</t>
  </si>
  <si>
    <t xml:space="preserve">Ilość sztuk w kartonie </t>
  </si>
  <si>
    <t xml:space="preserve">Waga kartonu </t>
  </si>
  <si>
    <t>Rodzaj kartonu</t>
  </si>
  <si>
    <t xml:space="preserve">Wzór produkcyjny nr. </t>
  </si>
  <si>
    <t>Symbol tworzywa</t>
  </si>
  <si>
    <t>Symbol barwnika</t>
  </si>
  <si>
    <t xml:space="preserve">Kto zakładał formę </t>
  </si>
  <si>
    <t xml:space="preserve">Kto demontował formę </t>
  </si>
  <si>
    <t>Wzór z zakończoenia produkcji</t>
  </si>
  <si>
    <t>Uwagi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</si>
  <si>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</si>
  <si>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</si>
  <si>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</si>
  <si>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</si>
  <si>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</si>
  <si>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</si>
  <si>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</si>
  <si>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</si>
  <si>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</si>
  <si>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</si>
  <si>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</si>
  <si>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</si>
  <si>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</si>
  <si>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</si>
  <si>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</si>
  <si>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</si>
  <si>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</si>
  <si>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</si>
  <si>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</si>
  <si>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</si>
  <si>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</si>
  <si>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</si>
  <si>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</si>
  <si>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</si>
  <si>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</si>
  <si>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</si>
  <si>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</si>
  <si>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</si>
  <si>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</si>
  <si>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</si>
  <si>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</si>
  <si>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</si>
  <si>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</si>
  <si>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</si>
  <si>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</si>
  <si>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</si>
  <si>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</si>
  <si>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</si>
  <si>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</si>
  <si>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</si>
  <si>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</si>
  <si>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</si>
  <si>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</si>
  <si>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</si>
  <si>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</si>
  <si>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</si>
  <si>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</si>
  <si>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</si>
  <si>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</si>
  <si>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</si>
  <si>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</si>
  <si>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</si>
  <si>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</si>
  <si>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</si>
  <si>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</si>
  <si>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</si>
  <si>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</si>
  <si>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 xml:space="preserve">Dozowanie 
barwnika
[%} </t>
  </si>
  <si>
    <t>Nr zamówienia 
wewn.</t>
  </si>
  <si>
    <t>FIBOO</t>
  </si>
  <si>
    <t>LIDERPOOL</t>
  </si>
  <si>
    <t>ZAŚLEPKA ASA BIAŁA</t>
  </si>
  <si>
    <t>P5</t>
  </si>
  <si>
    <t>26/01-A</t>
  </si>
  <si>
    <t xml:space="preserve">STAREX WR9120 W94848 KGL </t>
  </si>
  <si>
    <t xml:space="preserve">KRYSTIAN </t>
  </si>
  <si>
    <t>MOCOWANIE PLEXA 30x15/15x15</t>
  </si>
  <si>
    <t>P2</t>
  </si>
  <si>
    <t>TPE-E HRC9480/230</t>
  </si>
  <si>
    <t>KRYSTIAN</t>
  </si>
  <si>
    <t>SPINKA</t>
  </si>
  <si>
    <t>1/2026</t>
  </si>
  <si>
    <t>POM C27N RESINEX</t>
  </si>
  <si>
    <t>HP400331/40</t>
  </si>
  <si>
    <t>KM</t>
  </si>
  <si>
    <t>325/2025</t>
  </si>
  <si>
    <t>26/01-B</t>
  </si>
  <si>
    <t>PP HT 25 11</t>
  </si>
  <si>
    <t>ŁUKASZ</t>
  </si>
  <si>
    <t xml:space="preserve">W4-99U </t>
  </si>
  <si>
    <t>GÓRA POCHŁANIACZA WILGOCI RÓŻOWY</t>
  </si>
  <si>
    <t>FORD PERFORMANCE 33</t>
  </si>
  <si>
    <t>RENAULT PASSION 35</t>
  </si>
  <si>
    <t>03/2026</t>
  </si>
  <si>
    <t>PS PLASTICSOLUTION</t>
  </si>
  <si>
    <t>COFORMA</t>
  </si>
  <si>
    <t>MODUŁ 200</t>
  </si>
  <si>
    <t>05/2026</t>
  </si>
  <si>
    <t>SKRZYNIA</t>
  </si>
  <si>
    <t>POM HOSTAFORM C9021 RESINEX</t>
  </si>
  <si>
    <t>C001</t>
  </si>
  <si>
    <t>MERCEDES BENZ 1</t>
  </si>
  <si>
    <t>26/01-C</t>
  </si>
  <si>
    <t>MERCEDES AMG 44</t>
  </si>
  <si>
    <t>26/01-D</t>
  </si>
  <si>
    <t>NIE</t>
  </si>
  <si>
    <t>FIBERLAB</t>
  </si>
  <si>
    <t>SZPULA BOK</t>
  </si>
  <si>
    <t>09/2026</t>
  </si>
  <si>
    <t>P1</t>
  </si>
  <si>
    <t>REGLANULAT PC BIAŁY</t>
  </si>
  <si>
    <t>ANDRZEJ</t>
  </si>
  <si>
    <t>ZAŚLEPKA ASA  J.SZARY</t>
  </si>
  <si>
    <t>02/2026</t>
  </si>
  <si>
    <t>ASA LI911 NATURAL</t>
  </si>
  <si>
    <t>GM80721B</t>
  </si>
  <si>
    <t>MATA LOLLIPOP MINI RÓŻ</t>
  </si>
  <si>
    <t>08/2026</t>
  </si>
  <si>
    <t>HRC9480/230 KRAIBURG</t>
  </si>
  <si>
    <t xml:space="preserve">GM-32218E </t>
  </si>
  <si>
    <t>FIBOOWL M BETTERCAT</t>
  </si>
  <si>
    <t>GM12197E</t>
  </si>
  <si>
    <t>GÓRA POCHŁANIACZA WILGOCI BIAŁY</t>
  </si>
  <si>
    <t>W003</t>
  </si>
  <si>
    <t>07/2026</t>
  </si>
  <si>
    <t>MATA LOLLIPOP MINI ZIELONY</t>
  </si>
  <si>
    <t>GM41373P</t>
  </si>
  <si>
    <t>26/01-E</t>
  </si>
  <si>
    <t>26/01-F</t>
  </si>
  <si>
    <t>TOYOTA 14</t>
  </si>
  <si>
    <t>HYUNDAI 13</t>
  </si>
  <si>
    <t>HICTRANS</t>
  </si>
  <si>
    <t>MATA LOLLIPOP MINI ŻÓŁTY</t>
  </si>
  <si>
    <t>25/01-C</t>
  </si>
  <si>
    <t>GM10684P</t>
  </si>
  <si>
    <t>KACER</t>
  </si>
  <si>
    <t>TAK</t>
  </si>
  <si>
    <t xml:space="preserve">ŁĄCZNIK DŁUGI </t>
  </si>
  <si>
    <t>12/2026</t>
  </si>
  <si>
    <t>26/1-A</t>
  </si>
  <si>
    <t>rPP BIAŁY PROGRESS</t>
  </si>
  <si>
    <t>KACPER</t>
  </si>
  <si>
    <t>SZPULA ABS DUŻA</t>
  </si>
  <si>
    <t>10/2026</t>
  </si>
  <si>
    <t>PRZEKŁADKI</t>
  </si>
  <si>
    <t>rABS PROGRESS</t>
  </si>
  <si>
    <t>ŁUKASZ KACPER</t>
  </si>
  <si>
    <t xml:space="preserve">ZAŚLEPKA ASA C.SZARY </t>
  </si>
  <si>
    <t>GM80779S</t>
  </si>
  <si>
    <t>14/2026</t>
  </si>
  <si>
    <t>HRC9480/230 KRAIBURG 95% PP TATREN IM 2263 5%</t>
  </si>
  <si>
    <t xml:space="preserve">FIBOOWL S GREENPETFOOD </t>
  </si>
  <si>
    <t>15/2026</t>
  </si>
  <si>
    <t>P6</t>
  </si>
  <si>
    <t>GM-12197E</t>
  </si>
  <si>
    <t>APP</t>
  </si>
  <si>
    <t>HALTERUNG BRUCKE SCHWARZ Zg-Nr 12_6818F</t>
  </si>
  <si>
    <t>11/2026</t>
  </si>
  <si>
    <t>PLASTAMID 6B1G10BK NATURAL</t>
  </si>
  <si>
    <t>HP99611</t>
  </si>
  <si>
    <t>FIBOOWL L FUTTERHAUS RÓŻ</t>
  </si>
  <si>
    <t>FIBOOWL L FUTTERHAUS C.SZARY</t>
  </si>
  <si>
    <t xml:space="preserve">GM-80690E </t>
  </si>
  <si>
    <t>FIBOOWL L C.SZARY</t>
  </si>
  <si>
    <t>16/2026</t>
  </si>
  <si>
    <t>GM80690E</t>
  </si>
  <si>
    <t>ZAŚLEPKA ASA WANILIOWY</t>
  </si>
  <si>
    <t>GM10483B</t>
  </si>
  <si>
    <t>FIBOOWL L C.NIEBIESKI</t>
  </si>
  <si>
    <t>GM-53281E</t>
  </si>
  <si>
    <t>FIBOOWL L ZIELONY</t>
  </si>
  <si>
    <t>18/2026</t>
  </si>
  <si>
    <t>BETATIGER RECHTS 7501              BETATIGER LINKS 7502</t>
  </si>
  <si>
    <t>22/2026</t>
  </si>
  <si>
    <t xml:space="preserve">PA6+50GF-PLASTAMID 6B1 G10 BK </t>
  </si>
  <si>
    <t>RAIS</t>
  </si>
  <si>
    <t>RAIS UCHWYT 3 PP</t>
  </si>
  <si>
    <t>19/2026</t>
  </si>
  <si>
    <t>GM-378E</t>
  </si>
  <si>
    <t>FIBOOWL M  BEŻ</t>
  </si>
  <si>
    <t>FIBOOWL M RÓŻOWY</t>
  </si>
  <si>
    <t>FIBOOWL M C.NIEBIESKI</t>
  </si>
  <si>
    <t>FIBOOWL M C.ZIELONY</t>
  </si>
  <si>
    <t>27.01.20256</t>
  </si>
  <si>
    <t xml:space="preserve">GM-53281E  </t>
  </si>
  <si>
    <t>SLOW FIBOOWL C.NIEBIESKI</t>
  </si>
  <si>
    <t>17/2026</t>
  </si>
  <si>
    <t>HRC9480/230 KRAIBURG 95% PP TATREN IM2263 5%</t>
  </si>
  <si>
    <t>MATA 47x30 GREEN PETFOOD</t>
  </si>
  <si>
    <t>21/2026</t>
  </si>
  <si>
    <t>94/35/6</t>
  </si>
  <si>
    <t xml:space="preserve">HRC9480/230 KRAIBURG </t>
  </si>
  <si>
    <t>GM 80295</t>
  </si>
  <si>
    <t>GM43107E</t>
  </si>
  <si>
    <t>27.01,2026</t>
  </si>
  <si>
    <t>SLOW FIBOOWL FIOLETOWY</t>
  </si>
  <si>
    <t>W5-25</t>
  </si>
  <si>
    <t>SLOW FIBOOWL RÓŻOWY</t>
  </si>
  <si>
    <t>26/2026</t>
  </si>
  <si>
    <t>26/01/-A</t>
  </si>
  <si>
    <t>R+PET CL-80M PRT RADOMSKO</t>
  </si>
  <si>
    <t>20-33521F PET</t>
  </si>
  <si>
    <t>ZAŚLEPKA ASA BEŻ</t>
  </si>
  <si>
    <t>SAN8GA7957</t>
  </si>
  <si>
    <t>24/2026</t>
  </si>
  <si>
    <t>zamówienie 24/2026 kontynuacja produkcji</t>
  </si>
  <si>
    <t>SLOW FIBOOWL ŻÓŁTY</t>
  </si>
  <si>
    <t>ROSA</t>
  </si>
  <si>
    <t>SZPULA ROSA</t>
  </si>
  <si>
    <t>13/2026</t>
  </si>
  <si>
    <t>REGLANULAT PC BIAŁY EMIPAK</t>
  </si>
  <si>
    <t>WEISS 20-91147F PC</t>
  </si>
  <si>
    <t>HIC</t>
  </si>
  <si>
    <t>ŁAPKI PL CZARNY</t>
  </si>
  <si>
    <t>23/2026</t>
  </si>
  <si>
    <t>PC REGRANULAT CZARNY ARGUS</t>
  </si>
  <si>
    <t>ECKVERBINDER (1) 7202</t>
  </si>
  <si>
    <t>25/2026</t>
  </si>
  <si>
    <t>PLASTAMID 6 NATURAL B28 G5</t>
  </si>
  <si>
    <t>20-91568F PA</t>
  </si>
  <si>
    <t>MISKA M RÓŻOWY</t>
  </si>
  <si>
    <t>MISKA M ZIELONY</t>
  </si>
  <si>
    <t>26/02-B</t>
  </si>
  <si>
    <t>SLOW FIBOOWL C.SZARY</t>
  </si>
  <si>
    <t>26/02-E</t>
  </si>
  <si>
    <t>100% PRZEMIAŁ PP</t>
  </si>
  <si>
    <t>RAIS UCHWYT 3 OBTRYSK</t>
  </si>
  <si>
    <t>20/2026</t>
  </si>
  <si>
    <t>26/02-A</t>
  </si>
  <si>
    <t>TF60QD-LCN KRAIBURG</t>
  </si>
  <si>
    <t>W707</t>
  </si>
  <si>
    <t>L&amp;P</t>
  </si>
  <si>
    <t>ŁAPKA DE A0070-1</t>
  </si>
  <si>
    <t>27/2026</t>
  </si>
  <si>
    <t>MISKA M J.NIEBIESKI</t>
  </si>
  <si>
    <t>26/02-C</t>
  </si>
  <si>
    <t>GM51745P</t>
  </si>
  <si>
    <t>MISKA M C.NIEBIESKI</t>
  </si>
  <si>
    <t>26/02-D</t>
  </si>
  <si>
    <t>GM51519P</t>
  </si>
  <si>
    <t>SLOW FIBOOWL LOGO POKUSA</t>
  </si>
  <si>
    <t>04/2026</t>
  </si>
  <si>
    <t>60/40/30</t>
  </si>
  <si>
    <t>W7131</t>
  </si>
  <si>
    <t xml:space="preserve">MISKA M C.SZARA </t>
  </si>
  <si>
    <t>MATA 47x30 FUTTERHAUS</t>
  </si>
  <si>
    <t>29/2026</t>
  </si>
  <si>
    <t>25/02-A</t>
  </si>
  <si>
    <t xml:space="preserve">GM 81071P </t>
  </si>
  <si>
    <t>MISKA M GREENPETFOOD</t>
  </si>
  <si>
    <t>28/2026</t>
  </si>
  <si>
    <t>GM10683P</t>
  </si>
  <si>
    <t xml:space="preserve">REGLANULAT PC CZARNY </t>
  </si>
  <si>
    <t>ŁAPKA DE A0070-0</t>
  </si>
  <si>
    <t>33/2026</t>
  </si>
  <si>
    <t xml:space="preserve">PC12.80 UR </t>
  </si>
  <si>
    <t>093012 V1 SLIDEBLOC DIN 18R</t>
  </si>
  <si>
    <t>30/2026</t>
  </si>
  <si>
    <t>POM C27 RESINEX</t>
  </si>
  <si>
    <t>GM378E</t>
  </si>
  <si>
    <t>ŁAPKA AT A0071-1</t>
  </si>
  <si>
    <t>34/2026</t>
  </si>
  <si>
    <t>MISKA S RÓŻOWY</t>
  </si>
  <si>
    <t>39/2026</t>
  </si>
  <si>
    <t>MATA LOLLIPOP STICKY RÓŻ</t>
  </si>
  <si>
    <t>36/2026</t>
  </si>
  <si>
    <t>MATA LOLLIPOP STICKY C.SZARY</t>
  </si>
  <si>
    <t>MISKA S ZIELONY</t>
  </si>
  <si>
    <t>25/02-B</t>
  </si>
  <si>
    <t>MISKA S SZARY</t>
  </si>
  <si>
    <t>25/02-C</t>
  </si>
  <si>
    <t>ECKVERBINDER (3) 7205</t>
  </si>
  <si>
    <t>43/2026</t>
  </si>
  <si>
    <t xml:space="preserve">PA6 BEZ WŁÓKNA PLASTAMID 6 B28 CR </t>
  </si>
  <si>
    <t xml:space="preserve">91568F PA </t>
  </si>
  <si>
    <t>MATA 32x32 J.SZARY</t>
  </si>
  <si>
    <t>40/2026</t>
  </si>
  <si>
    <t>MATA 32x32 C.SZARY</t>
  </si>
  <si>
    <t>MATA 32x32 CZARNY</t>
  </si>
  <si>
    <t>GM 378E</t>
  </si>
  <si>
    <t>MATA 32x32 GREENPETFOOD</t>
  </si>
  <si>
    <t>38/2026</t>
  </si>
  <si>
    <t>SLOW FIBFEEDER</t>
  </si>
  <si>
    <t>42/2026</t>
  </si>
  <si>
    <t>RAVATHANE 130 A93 RESINEX</t>
  </si>
  <si>
    <t>GM-326</t>
  </si>
  <si>
    <t>FIBOOWL M GAMEDOG</t>
  </si>
  <si>
    <t>41/2026</t>
  </si>
  <si>
    <t>31/2026</t>
  </si>
  <si>
    <t>REDUKCJA PIRAMIDA</t>
  </si>
  <si>
    <t>35/2026</t>
  </si>
  <si>
    <t>80/118/77</t>
  </si>
  <si>
    <t>PP COPO PROGRESS</t>
  </si>
  <si>
    <t>MISKA S C.SZARY</t>
  </si>
  <si>
    <t>25/02-D</t>
  </si>
  <si>
    <t>GM 801071P</t>
  </si>
  <si>
    <t>MISKA S BEŻ</t>
  </si>
  <si>
    <t>25/02-E</t>
  </si>
  <si>
    <t xml:space="preserve">SPINKA </t>
  </si>
  <si>
    <t>37/2026</t>
  </si>
  <si>
    <t>KACPER JAREK</t>
  </si>
  <si>
    <t>GMPA</t>
  </si>
  <si>
    <t>44/2026</t>
  </si>
  <si>
    <t>ok15000</t>
  </si>
  <si>
    <t>TEREZ B 305 NATURAL</t>
  </si>
  <si>
    <t>46LPA6</t>
  </si>
  <si>
    <t>45/2026</t>
  </si>
  <si>
    <t>GMPP</t>
  </si>
  <si>
    <t>K295 BCD</t>
  </si>
  <si>
    <t>W9-60U</t>
  </si>
  <si>
    <t>51/2026</t>
  </si>
  <si>
    <t>C.SZARY</t>
  </si>
  <si>
    <t>MATA 32x32 FUTTERHAUS C.SZ</t>
  </si>
  <si>
    <t>MATA 32x32 FUTTERHAUS BEŻ</t>
  </si>
  <si>
    <t>32/32/9</t>
  </si>
  <si>
    <t>DUŻO NIEDOLANYCH LUB ZALANYCH DETALI</t>
  </si>
  <si>
    <t>MATA 32x32 FUTTERHAUS RÓŻ</t>
  </si>
  <si>
    <t>FIBOONE BIG PUPPY POARAŃCZ</t>
  </si>
  <si>
    <t>54/2026</t>
  </si>
  <si>
    <t>GM-20225E</t>
  </si>
  <si>
    <t>47/2026</t>
  </si>
  <si>
    <t>PC BIAŁY PLASTPRO LUPOY ER1000LN</t>
  </si>
  <si>
    <t>2,5%</t>
  </si>
  <si>
    <t>DÓŁ POCHŁANIACZA WILGOCI</t>
  </si>
  <si>
    <t>46/2026</t>
  </si>
  <si>
    <t>PP RANDOM YUPLENE R392Y RESINEX</t>
  </si>
  <si>
    <t>FIBOONE BIG PUPPY RÓŻ</t>
  </si>
  <si>
    <t>GM-32747E</t>
  </si>
  <si>
    <t>FIBOONE BIG PUPPY ŻÓŁTY</t>
  </si>
  <si>
    <t>W2-73/1</t>
  </si>
  <si>
    <t>52/2026</t>
  </si>
  <si>
    <t>GPL-GRANSEB 80G/000/139 GRANPOL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</si>
  <si>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</si>
  <si>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</si>
  <si>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</si>
  <si>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</si>
  <si>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</si>
  <si>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</si>
  <si>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</si>
  <si>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</si>
  <si>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</si>
  <si>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</si>
  <si>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</si>
  <si>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</si>
  <si>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</si>
  <si>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</si>
  <si>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</si>
  <si>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</si>
  <si>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</si>
  <si>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</si>
  <si>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</si>
  <si>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</si>
  <si>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</si>
  <si>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</si>
  <si>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</si>
  <si>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</si>
  <si>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</si>
  <si>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</si>
  <si>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</si>
  <si>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</si>
  <si>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</si>
  <si>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</si>
  <si>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</si>
  <si>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</si>
  <si>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</si>
  <si>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</si>
  <si>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</si>
  <si>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</si>
  <si>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</si>
  <si>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</si>
  <si>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</si>
  <si>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</si>
  <si>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</si>
  <si>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</si>
  <si>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</si>
  <si>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</si>
  <si>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</si>
  <si>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</si>
  <si>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</si>
  <si>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</si>
  <si>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</si>
  <si>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</si>
  <si>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</si>
  <si>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</si>
  <si>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</si>
  <si>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</si>
  <si>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</si>
  <si>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</si>
  <si>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</si>
  <si>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</si>
  <si>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</si>
  <si>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</si>
  <si>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</si>
  <si>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</si>
  <si>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</si>
  <si>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</si>
  <si>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</si>
  <si>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</si>
  <si>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</si>
  <si>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</si>
  <si>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</si>
  <si>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</si>
  <si>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</si>
  <si>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</si>
  <si>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</si>
  <si>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</si>
  <si>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</si>
  <si>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</si>
  <si>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</si>
  <si>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</si>
  <si>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</si>
  <si>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</si>
  <si>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</si>
  <si>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</si>
  <si>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</si>
  <si>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</si>
  <si>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</si>
  <si>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</si>
  <si>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</si>
  <si>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</si>
  <si>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</si>
  <si>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</si>
  <si>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</si>
  <si>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</si>
  <si>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</si>
  <si>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</si>
  <si>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</si>
  <si>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</si>
  <si>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</si>
  <si>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</si>
  <si>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</si>
  <si>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</si>
  <si>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</si>
  <si>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</si>
  <si>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</si>
  <si>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</si>
  <si>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</si>
  <si>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</si>
  <si>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</si>
  <si>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</si>
  <si>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</si>
  <si>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</si>
  <si>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</si>
  <si>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</si>
  <si>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</si>
  <si>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</si>
  <si>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</si>
  <si>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</si>
  <si>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</si>
  <si>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</si>
  <si>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</si>
  <si>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</si>
  <si>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</si>
  <si>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</si>
  <si>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</si>
  <si>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</si>
  <si>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</si>
  <si>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</si>
  <si>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</si>
  <si>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</si>
  <si>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</si>
  <si>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</si>
  <si>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</si>
  <si>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</si>
  <si>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</si>
  <si>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</si>
  <si>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</si>
  <si>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</si>
  <si>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</si>
  <si>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</si>
  <si>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</si>
  <si>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</si>
  <si>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</si>
  <si>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</si>
  <si>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</si>
  <si>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</si>
  <si>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</si>
  <si>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</si>
  <si>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</si>
  <si>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</si>
  <si>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</si>
  <si>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</si>
  <si>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</si>
  <si>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</si>
  <si>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</si>
  <si>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</si>
  <si>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</si>
  <si>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</si>
  <si>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</si>
  <si>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</si>
  <si>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</si>
  <si>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</si>
  <si>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</si>
  <si>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</si>
  <si>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</si>
  <si>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</si>
  <si>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</si>
  <si>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</si>
  <si>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</si>
  <si>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</si>
  <si>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</si>
  <si>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</si>
  <si>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</si>
  <si>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</si>
  <si>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</si>
  <si>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</si>
  <si>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</si>
  <si>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</si>
  <si>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</si>
  <si>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</si>
  <si>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</si>
  <si>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</si>
  <si>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</si>
  <si>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</si>
  <si>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</si>
  <si>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</si>
  <si>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</si>
  <si>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</si>
  <si>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</si>
  <si>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</si>
  <si>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</si>
  <si>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</si>
  <si>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</si>
  <si>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</si>
  <si>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</si>
  <si>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</si>
  <si>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</si>
  <si>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</si>
  <si>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</si>
  <si>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</si>
  <si>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</si>
  <si>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</si>
  <si>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</si>
  <si>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</si>
  <si>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</si>
  <si>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</si>
  <si>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</si>
  <si>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</si>
  <si>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</si>
  <si>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</si>
  <si>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</si>
  <si>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</si>
  <si>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</si>
  <si>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</si>
  <si>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</si>
  <si>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</si>
  <si>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</si>
  <si>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</si>
  <si>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</si>
  <si>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</si>
  <si>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</si>
  <si>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</si>
  <si>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</si>
  <si>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</si>
  <si>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</si>
  <si>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</si>
  <si>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</si>
  <si>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</si>
  <si>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</si>
  <si>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</si>
  <si>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</si>
  <si>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</si>
  <si>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</si>
  <si>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</si>
  <si>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</si>
  <si>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</si>
  <si>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</si>
  <si>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</si>
  <si>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</si>
  <si>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</si>
  <si>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</si>
  <si>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</si>
  <si>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</si>
  <si>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</si>
  <si>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</si>
  <si>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</si>
  <si>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</si>
  <si>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</si>
  <si>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</si>
  <si>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</si>
  <si>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</si>
  <si>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</si>
  <si>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</si>
  <si>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</si>
  <si>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</si>
  <si>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</si>
  <si>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</si>
  <si>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</si>
  <si>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</si>
  <si>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</si>
  <si>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</si>
  <si>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</si>
  <si>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</si>
  <si>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</si>
  <si>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</si>
  <si>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</si>
  <si>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</si>
  <si>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</si>
  <si>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</si>
  <si>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</si>
  <si>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</si>
  <si>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</si>
  <si>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</si>
  <si>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</si>
  <si>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</si>
  <si>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</si>
  <si>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</si>
  <si>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</si>
  <si>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</si>
  <si>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</si>
  <si>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</si>
  <si>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</si>
  <si>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</si>
  <si>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</si>
  <si>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</si>
  <si>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</si>
  <si>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</si>
  <si>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</si>
  <si>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</si>
  <si>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</si>
  <si>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</si>
  <si>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</si>
  <si>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</si>
  <si>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</si>
  <si>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</si>
  <si>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</si>
  <si>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</si>
  <si>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</si>
  <si>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</si>
  <si>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</si>
  <si>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FRISBOO POMARAŃCZOWY</t>
  </si>
  <si>
    <t>FIBOONE BIG PUPPY ZIELONY</t>
  </si>
  <si>
    <t>W7-76</t>
  </si>
  <si>
    <t>MATA 47x30 FUTTERHAUS C.SZ</t>
  </si>
  <si>
    <t>49/2026</t>
  </si>
  <si>
    <t>26/03-A</t>
  </si>
  <si>
    <t>FIBOONE BIG PUPPY NIEBIESKI</t>
  </si>
  <si>
    <t>W6-125</t>
  </si>
  <si>
    <t>32/2026</t>
  </si>
  <si>
    <t>093002 V1 SLIDEBLOC DIN 18L</t>
  </si>
  <si>
    <t>FRISBOO RÓŻOWY</t>
  </si>
  <si>
    <t>46PL PP</t>
  </si>
  <si>
    <t>55/2026</t>
  </si>
  <si>
    <t>ok12000</t>
  </si>
  <si>
    <t>SZARPAK FIB POMARAŃCZOWY</t>
  </si>
  <si>
    <t>53/2026</t>
  </si>
  <si>
    <t>FRISBOO ŻÓŁTY</t>
  </si>
  <si>
    <t>26/03-C</t>
  </si>
  <si>
    <t>SZARPAK FIB RÓŻOWY</t>
  </si>
  <si>
    <t>26/03-B</t>
  </si>
  <si>
    <t>MATA 47x30 FUTTERHAUS BEŻ</t>
  </si>
  <si>
    <t>56/2026</t>
  </si>
  <si>
    <t>FIBBOWL MAT 43x22 J.SZARY</t>
  </si>
  <si>
    <t>58/2026</t>
  </si>
  <si>
    <t>P7</t>
  </si>
  <si>
    <t>ŁUKASZ WOJTEK</t>
  </si>
  <si>
    <t>FRISBOO ZIELONY</t>
  </si>
  <si>
    <t>26/03-D</t>
  </si>
  <si>
    <t>FRISBOO NIEBIESKI</t>
  </si>
  <si>
    <t>26/03-E</t>
  </si>
  <si>
    <t>091002 V1 PULLBLOC DIN 18L</t>
  </si>
  <si>
    <t>50/2026</t>
  </si>
  <si>
    <t>091012 V1 PULLBLOC DIN 18R</t>
  </si>
  <si>
    <t>WOJTEK</t>
  </si>
  <si>
    <t>KRYSTIAN WOJTEK</t>
  </si>
  <si>
    <t>160 szt. Zły kolor różowego</t>
  </si>
  <si>
    <t>SZARPAK FIB ŻÓŁTY</t>
  </si>
  <si>
    <t>SNACK FIBOOLL SOFT FUTTERHAUS NIEBIESKI</t>
  </si>
  <si>
    <t>61/2026</t>
  </si>
  <si>
    <t>W6-253</t>
  </si>
  <si>
    <t>SZARPAK FIB ZIOELONY</t>
  </si>
  <si>
    <t>GUMKI MAŁE</t>
  </si>
  <si>
    <t>57/2026</t>
  </si>
  <si>
    <t>26/03/A</t>
  </si>
  <si>
    <t>GRANSEB-75G/TRANSPARENTNY 1/139 GRANPOL</t>
  </si>
  <si>
    <t>SZARPAK FIB NIEBIESKI</t>
  </si>
  <si>
    <t>SZARPAK FIB FIOLETOWY</t>
  </si>
  <si>
    <t>59/2026</t>
  </si>
  <si>
    <t>26/03-F</t>
  </si>
  <si>
    <t xml:space="preserve">W5-25 </t>
  </si>
  <si>
    <t>SNACK FIBOOLL SOFT FUTTERHAUS RÓŻOWY</t>
  </si>
  <si>
    <t>FRISBOO FUTTERHAUS RÓŻOWY</t>
  </si>
  <si>
    <t>66/2026</t>
  </si>
  <si>
    <t>SNACK FIBOOLL SOFT FUTTERHAUS ŻÓŁTY</t>
  </si>
  <si>
    <t>69/2026</t>
  </si>
  <si>
    <t>595/395/400</t>
  </si>
  <si>
    <t>REGLANULAT ABS BIAŁY</t>
  </si>
  <si>
    <t>FRISBOO FUTTERHAUS NIEBIESKI</t>
  </si>
  <si>
    <t>OK40 tys</t>
  </si>
  <si>
    <t>tak</t>
  </si>
  <si>
    <t>FRINGOO FUTTERHAUS NIEBIESKI</t>
  </si>
  <si>
    <t>67/2026</t>
  </si>
  <si>
    <t>095013-8 V2 8x8 mm  R</t>
  </si>
  <si>
    <t>60/2026</t>
  </si>
  <si>
    <t>095003-8 V2 8x8 mm L</t>
  </si>
  <si>
    <t>PA6+30GF PLASTAMID 6B28 BK</t>
  </si>
  <si>
    <t>FRISBOO FUTTERHAUS ŻÓŁTY</t>
  </si>
  <si>
    <t>FRINGOO FUTTERHAUS ŻÓŁTY</t>
  </si>
  <si>
    <t>FRINGOO FUTTERHAUS RÓŻOWY</t>
  </si>
  <si>
    <t>70/2026</t>
  </si>
  <si>
    <t>FIBOONE DENTAL FUTTERHAUS ŻÓŁTY</t>
  </si>
  <si>
    <t>62/2026</t>
  </si>
  <si>
    <t>ŁUKASZ ANDRZEJ</t>
  </si>
  <si>
    <t>ECKVERBINER (3) 7202</t>
  </si>
  <si>
    <t>68/2026</t>
  </si>
  <si>
    <t>71/2026</t>
  </si>
  <si>
    <t>SLOW FIBOOWL CZERWONY</t>
  </si>
  <si>
    <t>72/2026</t>
  </si>
  <si>
    <t>HRC9480/230 KRAIBURG 95% PP TATREN IM2263 BCD 5%</t>
  </si>
  <si>
    <t>SLOW FIBOOWL ZIELONY</t>
  </si>
  <si>
    <t>SLOW FIBOOWL BRIT ZIELONY</t>
  </si>
  <si>
    <t>74/2026</t>
  </si>
  <si>
    <t>FIBOONE DENTAL FUTTERHAUS RÓŻOWY</t>
  </si>
  <si>
    <t>FIBOONE DENTAL ŻÓŁTY</t>
  </si>
  <si>
    <t>73/2026</t>
  </si>
  <si>
    <t>FIBOONE DENTAL RÓZOWY</t>
  </si>
  <si>
    <t>FRISBO POMARAŃCZOWY</t>
  </si>
  <si>
    <t xml:space="preserve">GM-20225E </t>
  </si>
  <si>
    <t>76/2026</t>
  </si>
  <si>
    <t>SZARPAK FIB RÓŻOWY FUTTERHAUS</t>
  </si>
  <si>
    <t>FIBEEK BEZ OTWORU</t>
  </si>
  <si>
    <t>84/2026</t>
  </si>
  <si>
    <t>FRINGOO ŻÓŁTY</t>
  </si>
  <si>
    <t>FRINGOO RÓŻOWY</t>
  </si>
  <si>
    <t>FRINGOO NIEBIESKI</t>
  </si>
  <si>
    <t>129.03.2026</t>
  </si>
  <si>
    <t>FRINGOO POMARAŃCZOWY</t>
  </si>
  <si>
    <t>FRINGOO ZIELONY</t>
  </si>
  <si>
    <t>ŁAPKA DE 2KOMPONENTOWA PC</t>
  </si>
  <si>
    <t>64/2026</t>
  </si>
  <si>
    <t>2-ARGUS-rPC CZARNY</t>
  </si>
  <si>
    <t>PODKŁAD ABS AT 520x120</t>
  </si>
  <si>
    <t>79/2026</t>
  </si>
  <si>
    <t>rABS CZARNY PROGRESS</t>
  </si>
  <si>
    <t>SLOW FIBOOWL BRIT ŻÓŁTY</t>
  </si>
  <si>
    <t>ŚRODEK POCHŁANIACZA WILGOCI</t>
  </si>
  <si>
    <t>78/2026</t>
  </si>
  <si>
    <t>PP RANDOM ADVANCE 400</t>
  </si>
  <si>
    <t>FIBOONE DENTAL FUTTERHAUS NIEBIESKI</t>
  </si>
  <si>
    <t>25.0.2026</t>
  </si>
  <si>
    <t>FIBOONE DENTAL NIEBIESKI</t>
  </si>
  <si>
    <t xml:space="preserve">W6-125 </t>
  </si>
  <si>
    <t>20,03.2026</t>
  </si>
  <si>
    <t xml:space="preserve">LISTWA SZERROKA </t>
  </si>
  <si>
    <t>80/2026</t>
  </si>
  <si>
    <t>LISTWA WĄSKA</t>
  </si>
  <si>
    <t>81/2026</t>
  </si>
  <si>
    <t>ŁAPKA DE OBTRYSK ZIELONY</t>
  </si>
  <si>
    <t>65/2026</t>
  </si>
  <si>
    <t>ŁAPKA DE OBTRYSK RÓŻOWY</t>
  </si>
  <si>
    <t xml:space="preserve">FIBOONE DENTAL POMARAŃCZ </t>
  </si>
  <si>
    <t>LICK FIBOOWL ZIELONY</t>
  </si>
  <si>
    <t>75/2026</t>
  </si>
  <si>
    <t>HRC9480/230 KRAIBURG 90% PP TATREN IM2263 BCD 10%</t>
  </si>
  <si>
    <t>LICK FIBOOWL RÓŻOWY</t>
  </si>
  <si>
    <t>HRC9480/230 KRAIBURG 85% PP TATREN IM2263 BCD 15%</t>
  </si>
  <si>
    <t>FIBOOWL SPIKY FUTTERHAUS RÓŻOWY</t>
  </si>
  <si>
    <t>85/2026</t>
  </si>
  <si>
    <t>HRC9480/230  KRAIBURG</t>
  </si>
  <si>
    <t>FIBOOWL SPIKY FUTTERHAUS C.SZARY</t>
  </si>
  <si>
    <t>SZARPAK FIB NIEBIESKI FUTTERHAUS</t>
  </si>
  <si>
    <t>SZARPAK FIB ŻÓLTY FUTTERHAUS</t>
  </si>
  <si>
    <t xml:space="preserve">ŁAPKA DE OPTRYSK ŻÓŁTY </t>
  </si>
  <si>
    <t>ŁAPKA DE OPTRYSK POMARAŃCZ</t>
  </si>
  <si>
    <t>ŁAPKA DE OPTRYSK CZERWONY</t>
  </si>
  <si>
    <t>W4-16</t>
  </si>
  <si>
    <t>ŁAPKA DE OPTRYSK C.SZARY</t>
  </si>
  <si>
    <t>GM-80690E</t>
  </si>
  <si>
    <t>ŁAPKA DE OPTRYSK CZARNY</t>
  </si>
  <si>
    <t>26/03-G</t>
  </si>
  <si>
    <t>FIJOO C.NIEBIESKI</t>
  </si>
  <si>
    <t>90/2026</t>
  </si>
  <si>
    <t>HRC9480/230 KRAIBURG 50% HRC9480/451 KRAIBURG 50%</t>
  </si>
  <si>
    <t>FIJOO FIOLETOWY</t>
  </si>
  <si>
    <t>91/2026</t>
  </si>
  <si>
    <t>SNACK FIBOOL JUMBO SOFT FUTTERHAUS NIEBIESKI</t>
  </si>
  <si>
    <t>86/2026</t>
  </si>
  <si>
    <t>FIBOOWL SPIKY C.SZARY</t>
  </si>
  <si>
    <t>FIJOO RÓŻOWY</t>
  </si>
  <si>
    <t>LICK FIBOOWL C.NIEBIESKI</t>
  </si>
  <si>
    <t>FIBOOM ŻÓŁTY FUTTERHAUS</t>
  </si>
  <si>
    <t>SZPULA BOK ŻEŃSKI</t>
  </si>
  <si>
    <t>SZPULA BOK MĘSKI</t>
  </si>
  <si>
    <t>93/2026</t>
  </si>
  <si>
    <t>63/2026</t>
  </si>
  <si>
    <t>FIBOOWL SPIKY NIEBIESKI</t>
  </si>
  <si>
    <t>FIBOOWL S  ZIELONY</t>
  </si>
  <si>
    <t>94/2026</t>
  </si>
  <si>
    <t>HRC9480/230 KRAIBURG          PP TATREN IM2263 BCD</t>
  </si>
  <si>
    <t>FIBOOWL S BEŻOWY</t>
  </si>
  <si>
    <t>FIJOO ŻÓŁTY</t>
  </si>
  <si>
    <t>FIBOOWL ŻÓŁTY</t>
  </si>
  <si>
    <t>HRC9480/230 KRAIBURG        PP TATREN IM2263 BCD</t>
  </si>
  <si>
    <t>HRC9480/230 KRAIBURG           PP TATREN IM 2263 BCD</t>
  </si>
  <si>
    <t>FIBOOWL S RÓŻOWY</t>
  </si>
  <si>
    <t>26/04-D</t>
  </si>
  <si>
    <t>HRC9480/230 KRAIBURG           PP TATREN IM2263 BCD</t>
  </si>
  <si>
    <t>FIBOOWL SPIKY RÓŻOWY</t>
  </si>
  <si>
    <t>SNACK FIBOOL JUMBO SOFT FUTTERHAUS ŻÓŁTY</t>
  </si>
  <si>
    <t>FIBOOM NIEBIESKI FUTTERHAUS</t>
  </si>
  <si>
    <t>SZARPAK FIB ZIELONY</t>
  </si>
  <si>
    <t>77/2026</t>
  </si>
  <si>
    <t>26/04-B</t>
  </si>
  <si>
    <t>26/04-A</t>
  </si>
  <si>
    <t>FIBOOWL S C.SZARY</t>
  </si>
  <si>
    <t>26/04-E</t>
  </si>
  <si>
    <t>HRC9480/230 KRAIBURG                     PP TATREN IM 2263 BCD</t>
  </si>
  <si>
    <t>104.2026</t>
  </si>
  <si>
    <t>FIBOOWL SPIKY ZIELONY</t>
  </si>
  <si>
    <t>FRISBOO MINI NIEBIESKI</t>
  </si>
  <si>
    <t>95/2026</t>
  </si>
  <si>
    <t>KACPER ŁUKASZ</t>
  </si>
  <si>
    <t>FIJOO ZIELONY</t>
  </si>
  <si>
    <t>DALSZA PRODUKCJA KOLORY FUTTERHAUS</t>
  </si>
  <si>
    <t>FIJOO ŻÓŁTY FUTTERHAUS</t>
  </si>
  <si>
    <t>96/2026</t>
  </si>
  <si>
    <t>SNACK FIBOOL JUMBO SOFT FUTTERHAUS RÓŻOWY</t>
  </si>
  <si>
    <t>26/04-C</t>
  </si>
  <si>
    <t>nie</t>
  </si>
  <si>
    <t>FRISBOO MINI RÓŻOWY</t>
  </si>
  <si>
    <t xml:space="preserve">FRISBOO MINI ŻÓŁTY </t>
  </si>
  <si>
    <t>FIBOOM RÓŻOWY FUTTERHAUS</t>
  </si>
  <si>
    <t>104/2026</t>
  </si>
  <si>
    <t>105/2026</t>
  </si>
  <si>
    <t>LOLLIPOP STICKY C.SZARY FUTTERHAUS</t>
  </si>
  <si>
    <t>LOLLIPOP STICKY RÓŻOWY  FUTTERHAUS</t>
  </si>
  <si>
    <t>FIBOOWL M PSI BUFET</t>
  </si>
  <si>
    <t>89/2026</t>
  </si>
  <si>
    <t>HRC9480/230 KRAIBURG 95% PP TATREN IM 2263 BCD 5%</t>
  </si>
  <si>
    <t>GM 10684P</t>
  </si>
  <si>
    <t xml:space="preserve">FRISBOO MINI POMARAŃCZ </t>
  </si>
  <si>
    <t>FIJOO NIEBIESKI FUTTERHAUS</t>
  </si>
  <si>
    <t>103/2026</t>
  </si>
  <si>
    <t>102/2026</t>
  </si>
  <si>
    <t xml:space="preserve">ŁUKASZ </t>
  </si>
  <si>
    <t>FIBOOWL M ŻÓŁTY</t>
  </si>
  <si>
    <t>98/2026</t>
  </si>
  <si>
    <t>FIBOONE DENTAL MONSTER FUTTERHAUS NIEBIESKI</t>
  </si>
  <si>
    <t>25.03.23026</t>
  </si>
  <si>
    <t>82/2026</t>
  </si>
  <si>
    <t>PRODUKCJA PRZERWANA AWARIA FORMY</t>
  </si>
  <si>
    <t>FIBOONE DENTAL MONSTER FUTTERHAUS ŻÓŁTY</t>
  </si>
  <si>
    <t>FIJOO EUROPRIS</t>
  </si>
  <si>
    <t>97/2025</t>
  </si>
  <si>
    <t>KOREK PVC SELECT T KOR-180</t>
  </si>
  <si>
    <t>100/2026</t>
  </si>
  <si>
    <t>1-PVC-PVC-ST/P81CZ-0</t>
  </si>
  <si>
    <t>GÓRA POCHŁANIACZA WILGOCI SZARY</t>
  </si>
  <si>
    <t>88/2026</t>
  </si>
  <si>
    <t>W9-173</t>
  </si>
  <si>
    <t>SNACK FIBOOL JUMBO RÓŻOWY</t>
  </si>
  <si>
    <t>SNACK FIBOOL JUMBO POMARAŃCZOWY</t>
  </si>
  <si>
    <t>48/2026</t>
  </si>
  <si>
    <t>PC BIAŁY REGLANUTAT ARGUS</t>
  </si>
  <si>
    <t>FIBOWL M J.SZARY</t>
  </si>
  <si>
    <t>GM 80690E</t>
  </si>
  <si>
    <t>SLOW FIBOOWL FUTTERHAUS C.SZARY</t>
  </si>
  <si>
    <t>MATA FISHKA TURKUSOWY</t>
  </si>
  <si>
    <t>99/2026</t>
  </si>
  <si>
    <t>W6-146</t>
  </si>
  <si>
    <t>MATA FISHKA FIOLETOWY</t>
  </si>
  <si>
    <t>W5-17</t>
  </si>
  <si>
    <t>MATA FISHKA GRANATOWY</t>
  </si>
  <si>
    <t>W6-69</t>
  </si>
  <si>
    <t>ŁAPKI PL TRANSPARENTNY</t>
  </si>
  <si>
    <t>111/2026</t>
  </si>
  <si>
    <t>PC 1280 UR TRANSPARENT</t>
  </si>
  <si>
    <t>KLUCZYK S1</t>
  </si>
  <si>
    <t>109/2026</t>
  </si>
  <si>
    <t>PRZEMIAŁ POM C27N</t>
  </si>
  <si>
    <t>92/2026</t>
  </si>
  <si>
    <t>FIBOONE DENTAL MONSTER RÓŻOWY</t>
  </si>
  <si>
    <t>GÓRA POCHŁANAICZA WILGOCI RÓŻOWY</t>
  </si>
  <si>
    <t>3,5%</t>
  </si>
  <si>
    <t>MATA FISHKA BEŻOWY</t>
  </si>
  <si>
    <t>GM 10683P</t>
  </si>
  <si>
    <t>MATA FISHKA J.SZARY</t>
  </si>
  <si>
    <t>SPINKA /KLIPS :MCLIP</t>
  </si>
  <si>
    <t>101/82026</t>
  </si>
  <si>
    <t>HP99611 2%</t>
  </si>
  <si>
    <t>KRYSTINA</t>
  </si>
  <si>
    <t>PODKŁAD DE 460x110</t>
  </si>
  <si>
    <t>110/2026</t>
  </si>
  <si>
    <t xml:space="preserve">TAK </t>
  </si>
  <si>
    <t>SLOW FIBOOWL MINI RÓŻOWY</t>
  </si>
  <si>
    <t>106/2026</t>
  </si>
  <si>
    <t>HRC94180/230 KRAIBURG 95% TATREN IM2263 5%</t>
  </si>
  <si>
    <t>SLOW FIBOOWL MINI FIOLET</t>
  </si>
  <si>
    <t>HRC9480/230 KRAIBURG 95% TATREN IM2263 5%</t>
  </si>
  <si>
    <t>FIBSY NIEBIESKI FUTTERHAUS</t>
  </si>
  <si>
    <t>83/2026</t>
  </si>
  <si>
    <t>TPE-S-GPL-GRANSEB 80G/000/139 GRANPOL</t>
  </si>
  <si>
    <t>SLOW FIBOOWL MINI C.NIEBIESKI</t>
  </si>
  <si>
    <t>HRC9480/230 KRAIBURG 95%%  TATREN IM2263 5%</t>
  </si>
  <si>
    <t xml:space="preserve">SLOW FIBOOWL MINI ŻÓŁTY </t>
  </si>
  <si>
    <t>PODKŁAD AT 520x120</t>
  </si>
  <si>
    <t>125/2026</t>
  </si>
  <si>
    <t>FIBSY FUTTERHAUS RÓŻOWY</t>
  </si>
  <si>
    <t>FIBOONE BIG PUPPY EUROPRIS</t>
  </si>
  <si>
    <t>112/2026</t>
  </si>
  <si>
    <t>PA6 BEZ WŁÓKNA PLASTAMID 6 B28 CR</t>
  </si>
  <si>
    <t>SLOW FIBOOWL MINI ZIELONY</t>
  </si>
  <si>
    <t>SLOW FIBOOWL MINI C.ZIELONY</t>
  </si>
  <si>
    <t>26/04-F</t>
  </si>
  <si>
    <t>87/2026</t>
  </si>
  <si>
    <t>KRYSTIAN ŁUKASZ</t>
  </si>
  <si>
    <t>FIBSY FUTTERHAUS ŻÓLTY</t>
  </si>
  <si>
    <t>116/2026</t>
  </si>
  <si>
    <t>SLOW FIBOOWL MINI BORDOWY</t>
  </si>
  <si>
    <t>26/04-G</t>
  </si>
  <si>
    <t>W4-62</t>
  </si>
  <si>
    <t>SLOW FIBOOWL MINI GRANAT</t>
  </si>
  <si>
    <t>26/04-H</t>
  </si>
  <si>
    <t>PODKŁAD REJESTRACJI HIC-LP</t>
  </si>
  <si>
    <t>126/2026</t>
  </si>
  <si>
    <t>128/2026</t>
  </si>
  <si>
    <t>FIBOONE DENTAL MONSTER POMARAŃCZOWY</t>
  </si>
  <si>
    <t>FIBOONE DENTAL MONSTER ŻÓŁTY</t>
  </si>
  <si>
    <t>LICK FIBOOWL MINI ŻÓŁTY</t>
  </si>
  <si>
    <t>114/82026</t>
  </si>
  <si>
    <t>114/2026</t>
  </si>
  <si>
    <t>130/2026</t>
  </si>
  <si>
    <t>FIBOONE PUPPY RÓŻ</t>
  </si>
  <si>
    <t>138/2026</t>
  </si>
  <si>
    <t>FRINGOO EUROPRIS</t>
  </si>
  <si>
    <t>FIBOONE DENTAL MONSTER NIEBIESKI</t>
  </si>
  <si>
    <t>LICK FIBOOWL MINI ZIELONY</t>
  </si>
  <si>
    <t>LICK FIBOOWL MINI RÓŻOWY</t>
  </si>
  <si>
    <t>LICK FIBOOWL MINI C.ZIELONY</t>
  </si>
  <si>
    <t>LICK FIBOOWL MINI FIOLETOWY</t>
  </si>
  <si>
    <t>113/2026</t>
  </si>
  <si>
    <t>PODKŁAD REJESTRACJI HIC-GŁADKA</t>
  </si>
  <si>
    <t>FIBOONE DENTAL MONSTER EUROPRIS</t>
  </si>
  <si>
    <t>131/2026</t>
  </si>
  <si>
    <t>117/2026</t>
  </si>
  <si>
    <t>095100-9 V3 9x9U</t>
  </si>
  <si>
    <t>119/2026</t>
  </si>
  <si>
    <t>PA6+30%GF PLASTAMID 6B28 G6</t>
  </si>
  <si>
    <t>095113-9 V3 9x9 R</t>
  </si>
  <si>
    <t>MARMITE</t>
  </si>
  <si>
    <t>ZP190903A2-2stopni</t>
  </si>
  <si>
    <t>120/2026</t>
  </si>
  <si>
    <t>PP COPO REGLANULAT</t>
  </si>
  <si>
    <t>OBWÓDKA DO TABLICY 520x110 CZARNA</t>
  </si>
  <si>
    <t>141/2026</t>
  </si>
  <si>
    <t>REGLANULAT ABS PROGRESS CZARNY</t>
  </si>
  <si>
    <t>FIBOONE DENTAL RÓŻOWY</t>
  </si>
  <si>
    <t>127/2026</t>
  </si>
  <si>
    <t>RAIS UCHWYT 4 PP</t>
  </si>
  <si>
    <t>148/2026</t>
  </si>
  <si>
    <t>PP COPO IM 2263BCD</t>
  </si>
  <si>
    <t>MERCEDES-BENZ 1</t>
  </si>
  <si>
    <t>143/2026</t>
  </si>
  <si>
    <t>AUDI 3</t>
  </si>
  <si>
    <t>OBWÓDKA DO TABLICY 520x110 BIAŁA</t>
  </si>
  <si>
    <t>ABS HI 121H RESINEX</t>
  </si>
  <si>
    <t>GM-447</t>
  </si>
  <si>
    <t>ZMIANA KOLORU NA FORMIE</t>
  </si>
  <si>
    <t>OBWÓDKA RAMKI MOTOCYKLOWEJ 180x200 ABS</t>
  </si>
  <si>
    <t>142/2026</t>
  </si>
  <si>
    <t>121/2026</t>
  </si>
  <si>
    <t>EUROSTER</t>
  </si>
  <si>
    <t>PRZEŁACZNIK</t>
  </si>
  <si>
    <t>SWITCH</t>
  </si>
  <si>
    <t>PUDEŁKO</t>
  </si>
  <si>
    <t>124/2026</t>
  </si>
  <si>
    <t>WOREK STRUNOWY</t>
  </si>
  <si>
    <t>RESINEX-ABS HI121H NATURAL</t>
  </si>
  <si>
    <t xml:space="preserve">W9-36 </t>
  </si>
  <si>
    <t>27,04.2026</t>
  </si>
  <si>
    <t>BMW 2</t>
  </si>
  <si>
    <t>RENAULT 10</t>
  </si>
  <si>
    <t>PODKŁAD POD TABLICE 520x110</t>
  </si>
  <si>
    <t>145/2026</t>
  </si>
  <si>
    <t>rPP+20T EKO BASKET</t>
  </si>
  <si>
    <t>PP-GF30% SCOLEFIN 53G NATURAL</t>
  </si>
  <si>
    <t>PODKŁAD RAMKI MOTOCYKLOWEJ 180x200</t>
  </si>
  <si>
    <t>118/2026</t>
  </si>
  <si>
    <t>156/2026</t>
  </si>
  <si>
    <t>FIBOONE DENTAL EUROPLIS</t>
  </si>
  <si>
    <t>135/2026</t>
  </si>
  <si>
    <t>OBWÓDKA RAMKI MOTOCYKLOWEJ 240x130</t>
  </si>
  <si>
    <t>123/2026</t>
  </si>
  <si>
    <t>FORD 12</t>
  </si>
  <si>
    <t>HONDA 16</t>
  </si>
  <si>
    <t>HALTERUNG BRUCKE SCHWARZ 73,6818,75</t>
  </si>
  <si>
    <t>152/2026</t>
  </si>
  <si>
    <t>PA6+50GF PLASTAMID 6B1 BK NATURAL</t>
  </si>
  <si>
    <t>NOGA REGULATORA</t>
  </si>
  <si>
    <t>PLECY REGULATORA</t>
  </si>
  <si>
    <t>147/2026</t>
  </si>
  <si>
    <t>SEAT 18</t>
  </si>
  <si>
    <t>MITSUBISHI MOTORS 17</t>
  </si>
  <si>
    <t>OBWÓDKA RAMKI MOTOCYKLOWEJ 255x130</t>
  </si>
  <si>
    <t>122/2026</t>
  </si>
  <si>
    <t>MATA FIZZA</t>
  </si>
  <si>
    <t>154/2026</t>
  </si>
  <si>
    <t>22;22;6</t>
  </si>
  <si>
    <t>W2-01</t>
  </si>
  <si>
    <t>ŁIUKASZ WOJTEK</t>
  </si>
  <si>
    <t xml:space="preserve">REDUKCJA TYP C </t>
  </si>
  <si>
    <t>139/2026</t>
  </si>
  <si>
    <t>26/05-A</t>
  </si>
  <si>
    <t>rPP CZARNY PROGRESS</t>
  </si>
  <si>
    <t>MATA SPACEFIB</t>
  </si>
  <si>
    <t>155/2026</t>
  </si>
  <si>
    <t>DO BARWNIKA DODAJEMY GM-91237E 1% BROKAT</t>
  </si>
  <si>
    <t>CITROEN 19</t>
  </si>
  <si>
    <t>26/04-I</t>
  </si>
  <si>
    <t>MAZDA 20</t>
  </si>
  <si>
    <t>26/04-J</t>
  </si>
  <si>
    <t>NISSAN 22</t>
  </si>
  <si>
    <t>26/05-K</t>
  </si>
  <si>
    <t>RANGE ROVER 40</t>
  </si>
  <si>
    <t>26/05-L</t>
  </si>
  <si>
    <t>SLOW FIBOOWL EUROPRIS</t>
  </si>
  <si>
    <t xml:space="preserve">FRONT REGULATORA </t>
  </si>
  <si>
    <t>140/2026</t>
  </si>
  <si>
    <t>RESINEX ABS HF380 WHITE</t>
  </si>
  <si>
    <t xml:space="preserve">FRONT TRANSMITERA </t>
  </si>
  <si>
    <t>VOLKSWAGEN 46</t>
  </si>
  <si>
    <t>26/05-Ł</t>
  </si>
  <si>
    <t>MERCEDES AMG 4</t>
  </si>
  <si>
    <t>26/05-M</t>
  </si>
  <si>
    <t>PODKŁAD RAMKI MOTOCYKLOWEJ 255x130</t>
  </si>
  <si>
    <t>162/2026</t>
  </si>
  <si>
    <t>PODKŁAD RAMKI MOTOCYKLOWEJ 240x130</t>
  </si>
  <si>
    <t>163/2026</t>
  </si>
  <si>
    <t>KORPUS REGULATORA</t>
  </si>
  <si>
    <t>146/2026</t>
  </si>
  <si>
    <t>26/05-B</t>
  </si>
  <si>
    <t>ABS HF380 WHITE RESINEX</t>
  </si>
  <si>
    <t>KORPUS TRANSMITERA</t>
  </si>
  <si>
    <t>UCHWYT 4 OBTRYSK</t>
  </si>
  <si>
    <t>153/2026</t>
  </si>
  <si>
    <t>136/2026</t>
  </si>
  <si>
    <t>REDUKCJA TYP IVT</t>
  </si>
  <si>
    <t>160/2026</t>
  </si>
  <si>
    <t>144/2026</t>
  </si>
  <si>
    <t>ECKVERBINDER (3) 12_7202</t>
  </si>
  <si>
    <t>164/2026</t>
  </si>
  <si>
    <t>SNACK FIBEEK FUTTERHAUS</t>
  </si>
  <si>
    <t>115/2026</t>
  </si>
  <si>
    <t>GRANPOL TPE-S-GRANSEB 80G/000/139</t>
  </si>
  <si>
    <t xml:space="preserve">SZCZOTKA TWARDA </t>
  </si>
  <si>
    <t>133/2026</t>
  </si>
  <si>
    <t>132/2025</t>
  </si>
  <si>
    <t>HRC9480/230 KRAIBURG 90% PP TATREN IM2263  10%</t>
  </si>
  <si>
    <t>W2334</t>
  </si>
  <si>
    <t>SZCZOTKA MIEKKA EUROPRIS</t>
  </si>
  <si>
    <t>SNACK FIBOOL SOFT EUROPRIS</t>
  </si>
  <si>
    <t>137/2026</t>
  </si>
  <si>
    <t>GM-6979E</t>
  </si>
  <si>
    <t>ŁUKASZ KRYSTIAN</t>
  </si>
  <si>
    <t>HRC9480/230 KRAIBURG 95% PP TATRENIM2263 BCD 5%</t>
  </si>
  <si>
    <t>161/2026</t>
  </si>
  <si>
    <t>SZPULA BOK ŻĘSKI</t>
  </si>
  <si>
    <t>149/2026</t>
  </si>
  <si>
    <t>zamówienie 144/2026 do dokończenia</t>
  </si>
  <si>
    <t>SLOW FIBOOWL BORDOWY</t>
  </si>
  <si>
    <t>150/2026</t>
  </si>
  <si>
    <t>PP RANDOM TIPPLEN-R960A</t>
  </si>
  <si>
    <t>RESTERUNG 12_7184</t>
  </si>
  <si>
    <t>170/2026</t>
  </si>
  <si>
    <t>POLIMER PA6-GF30%-PLASTAMID 6 B28-G6</t>
  </si>
  <si>
    <t>BRUCKE 12_7194</t>
  </si>
  <si>
    <t>LOLLIPOP WALLY EUROPRIS</t>
  </si>
  <si>
    <t>134/2026</t>
  </si>
  <si>
    <t>165/2026</t>
  </si>
  <si>
    <t>SNACK FIBOOLL SOFT FIOLETOWY</t>
  </si>
  <si>
    <t>SNACK FIBOOLL SOFT MIĘTOWY</t>
  </si>
  <si>
    <t>GM-43114E</t>
  </si>
  <si>
    <t>ŁAPKI DE TRANSPARENT</t>
  </si>
  <si>
    <t>177/2026</t>
  </si>
  <si>
    <t xml:space="preserve">PC 12.80 UR </t>
  </si>
  <si>
    <t>SLOW FIBOOWL GRANATOWY</t>
  </si>
  <si>
    <t>26/05-C</t>
  </si>
  <si>
    <t>SNACK FIBOOLL SOFT KORALOWY</t>
  </si>
  <si>
    <t>SLOW FIBOOWL C.ZIELONY</t>
  </si>
  <si>
    <t>26/05-D</t>
  </si>
  <si>
    <t>26/05-E</t>
  </si>
  <si>
    <t>W4-154U</t>
  </si>
  <si>
    <t>166/2026</t>
  </si>
  <si>
    <t>GRANSEB 80 GRANPOL</t>
  </si>
  <si>
    <t>4,5%</t>
  </si>
  <si>
    <t>SNACK FIBOOLL NIEBIESKI</t>
  </si>
  <si>
    <t>SNACK FIBOOLL POMARAŃCZOWY</t>
  </si>
  <si>
    <t>PALISANDER</t>
  </si>
  <si>
    <t>ŁAPKI DE CZARNY</t>
  </si>
  <si>
    <t>178/2026</t>
  </si>
  <si>
    <t>PC CZARNY REGLANULAT</t>
  </si>
  <si>
    <t>180/2026</t>
  </si>
  <si>
    <t>SCOLEFIN 53G 10-0 NATURAL STABILIZATOR UV2%</t>
  </si>
  <si>
    <t>W8-43/1</t>
  </si>
  <si>
    <t>LISTWA CIENKA BRĄZOWY</t>
  </si>
  <si>
    <t>LISTWA GRUBA BRĄZOWA</t>
  </si>
  <si>
    <t>SNACK FIBOOLL ZIELONY</t>
  </si>
  <si>
    <t>SNACK FIBOOLL ŻÓLTY</t>
  </si>
  <si>
    <t>ZAŚLEPKA PROFILU PC CZARNY</t>
  </si>
  <si>
    <t>173/2026</t>
  </si>
  <si>
    <t>BOK PRAWY LEWY BRĄZ</t>
  </si>
  <si>
    <t>158/2026</t>
  </si>
  <si>
    <t>HOSTALEN GC7260 STABILIZATOR UV 2%</t>
  </si>
  <si>
    <t>SNAK FIBOOL RÓŻOWY</t>
  </si>
  <si>
    <t>46L PA6</t>
  </si>
  <si>
    <t>181/2026</t>
  </si>
  <si>
    <t>56L PA6</t>
  </si>
  <si>
    <t>182/2026</t>
  </si>
  <si>
    <t>ok10000</t>
  </si>
  <si>
    <t xml:space="preserve">WOJTEK </t>
  </si>
  <si>
    <t>REGAL TAGS</t>
  </si>
  <si>
    <t>CABLE LOCK ZIELONY</t>
  </si>
  <si>
    <t>157/2026</t>
  </si>
  <si>
    <t>PA6 PLASTAMID B28 CR NR</t>
  </si>
  <si>
    <t>W7-259L</t>
  </si>
  <si>
    <t>CABLE LOCK CZERWONY</t>
  </si>
  <si>
    <t>HP 400331/40</t>
  </si>
  <si>
    <t>MATA 47x30 FUTTERHAUS SZARA</t>
  </si>
  <si>
    <t>WOJTEK ŁUKASZ</t>
  </si>
  <si>
    <t>GÓRA POCHŁANAICZA WILGOCI SZARY</t>
  </si>
  <si>
    <t>LOLLIPOP WALLY GRANATOWY</t>
  </si>
  <si>
    <t>179/2026</t>
  </si>
  <si>
    <t>LOLLIPOP WALLY C.ZIELONY</t>
  </si>
  <si>
    <t>ZAŚLEPKA PROFILU PC TRANSP.</t>
  </si>
  <si>
    <t>174/2026</t>
  </si>
  <si>
    <t>PC 12.80 UR POLIMER PROJEKT</t>
  </si>
  <si>
    <t>LISTAW GRUBA GRAFIT</t>
  </si>
  <si>
    <t>W9-67U/1</t>
  </si>
  <si>
    <t>LISTWA CIENKA GRAFIT</t>
  </si>
  <si>
    <t>LOLLIPOP WALLY BORDOWY</t>
  </si>
  <si>
    <t>FIBOOFFET SZARY</t>
  </si>
  <si>
    <t>LOLLIPOP WALLY ŻÓŁTY</t>
  </si>
  <si>
    <t>29.05.20265</t>
  </si>
  <si>
    <t>LOLLIPOP WALLY RÓŻOWY</t>
  </si>
  <si>
    <t>LOLLIPOP WALLY ZIELONY</t>
  </si>
  <si>
    <t>186/2026</t>
  </si>
  <si>
    <t>167/2026</t>
  </si>
  <si>
    <t>ZAŚLEPKA PROFILU PC NIEBIESKI</t>
  </si>
  <si>
    <t>26/05-F</t>
  </si>
  <si>
    <t>UCHWYT 3 PP</t>
  </si>
  <si>
    <t>171/2026</t>
  </si>
  <si>
    <t>26/06-A</t>
  </si>
  <si>
    <t>PC5GB4867</t>
  </si>
  <si>
    <t>ZAŚLEPKA ASA NOWA WANILIA</t>
  </si>
  <si>
    <t>175/2026</t>
  </si>
  <si>
    <t>GM-10483B</t>
  </si>
  <si>
    <t>BOK PRAWY LEWY GRAFIT</t>
  </si>
  <si>
    <t>26/06-B</t>
  </si>
  <si>
    <t>FIBOOFFET RÓŻOWY</t>
  </si>
  <si>
    <t>MATA 32x32 C.NIEBIESKI</t>
  </si>
  <si>
    <t>168/2026</t>
  </si>
  <si>
    <t>MISKA L ZIELONA</t>
  </si>
  <si>
    <t>183/26</t>
  </si>
  <si>
    <t>ŁAPKI DE 2 KOMPONENTOWA</t>
  </si>
  <si>
    <t>184/2026</t>
  </si>
  <si>
    <t>ZAŚLEPKA ASA NOWA BEŻOWA</t>
  </si>
  <si>
    <t>MATA 32x32 JASNO SZARY</t>
  </si>
  <si>
    <t>LISTWA GRUBA CZARNY</t>
  </si>
  <si>
    <t>LISTWA CIENKA CZARNY</t>
  </si>
  <si>
    <t>26/06-C</t>
  </si>
  <si>
    <t>26-06-C</t>
  </si>
  <si>
    <t>MISKA L NIEBIESKA</t>
  </si>
  <si>
    <t>183/2026</t>
  </si>
  <si>
    <t>MISKA L CIEMNO SZARY</t>
  </si>
  <si>
    <t>MATA 32x32 C.SZARY FUTTERHAUS</t>
  </si>
  <si>
    <t>169/2026</t>
  </si>
  <si>
    <t>PODKŁAD AT 525x125 ABS</t>
  </si>
  <si>
    <t>198/2026</t>
  </si>
  <si>
    <t>ZAŚLEPKA ASA NOWA CIEMNO SZARY</t>
  </si>
  <si>
    <t>GM-807795</t>
  </si>
  <si>
    <t>MATA 32x32 BEŻ FUTTERHAUS</t>
  </si>
  <si>
    <t>MATA 32x32 RÓŻOWY FUTTERHAUS</t>
  </si>
  <si>
    <t>UCHWYT 3 OBTRYSK</t>
  </si>
  <si>
    <t>172/2026</t>
  </si>
  <si>
    <t>187/2026</t>
  </si>
  <si>
    <t>189/2026</t>
  </si>
  <si>
    <t xml:space="preserve">ZAŚLEPKA ASA NOWA JASNO SZARA </t>
  </si>
  <si>
    <t>26/06-D</t>
  </si>
  <si>
    <t>GM-80721B</t>
  </si>
  <si>
    <t>FIBOOWL L RÓŻOWY</t>
  </si>
  <si>
    <t>201/2026</t>
  </si>
  <si>
    <t>FIBOOWL L CIEMNO NIEBIESKI</t>
  </si>
  <si>
    <t>ŁAPKA DE OPTRYSK RÓŻOWY</t>
  </si>
  <si>
    <t>FIBOOWL L ŻÓŁTY</t>
  </si>
  <si>
    <t>PODKŁAD DE 520x110 ABS</t>
  </si>
  <si>
    <t>197/2026</t>
  </si>
  <si>
    <t>11.06.2026</t>
  </si>
  <si>
    <t>BOK PRAWY LEWY CZARNY</t>
  </si>
  <si>
    <t>ŁAPKA DE OBTRYSK ŻÓŁTY</t>
  </si>
  <si>
    <t>FIBOOWL L BEŻOWY</t>
  </si>
  <si>
    <t>26/06-E</t>
  </si>
  <si>
    <t>26/06-F</t>
  </si>
  <si>
    <t>ZAŚLEPKA ASA NOWA BIAŁA</t>
  </si>
  <si>
    <t>176/2026</t>
  </si>
  <si>
    <t xml:space="preserve">ASA STAREX WR9120 </t>
  </si>
  <si>
    <t>W94848</t>
  </si>
  <si>
    <t>205/2026</t>
  </si>
  <si>
    <t xml:space="preserve">WKŁAD </t>
  </si>
  <si>
    <t>190/2026</t>
  </si>
  <si>
    <t>ŁAPKA DE OBTRYSK C.SZARY</t>
  </si>
  <si>
    <t>ŁAPKA DE OBTRYSK CZARNY</t>
  </si>
  <si>
    <t>PODKŁAD DE 460x110 ABS</t>
  </si>
  <si>
    <t>196/2026</t>
  </si>
  <si>
    <t>095003-8 V2 8x8 mm L                                   095013-8 V2 8x8 mm R</t>
  </si>
  <si>
    <t xml:space="preserve">PA6 GF30% PLASTAMID      6-B28-G6 </t>
  </si>
  <si>
    <t>195/2026</t>
  </si>
  <si>
    <t>ZAŚLEPKA PROFILU PC  CZARNY</t>
  </si>
  <si>
    <t>199/2026</t>
  </si>
  <si>
    <t>CABLE LOCK ŻÓLTY</t>
  </si>
  <si>
    <t>W2-127L</t>
  </si>
  <si>
    <t>188/2026</t>
  </si>
  <si>
    <t>185/2026</t>
  </si>
  <si>
    <t>PA6 BEZ WŁÓKNA PLASTAMID 6 B1N</t>
  </si>
  <si>
    <t>KONDENSAT</t>
  </si>
  <si>
    <t>191/2026</t>
  </si>
  <si>
    <t>OBWÓDKA DO TABLICY 520 CZARNY</t>
  </si>
  <si>
    <t>203/2026</t>
  </si>
  <si>
    <t>202/2026</t>
  </si>
  <si>
    <t>FIBONNE DENTAL MONSTER ZIELONY</t>
  </si>
  <si>
    <t>FIBONNE DENTAL MONSTER POMARAŃCZOWY</t>
  </si>
  <si>
    <t>ECKVERBINDER 12_7202</t>
  </si>
  <si>
    <t>208/2026</t>
  </si>
  <si>
    <t>PA6+25GF PLASTAMID 6 NATURAL B28 G5</t>
  </si>
  <si>
    <t>20-91568FPA</t>
  </si>
  <si>
    <t>25000 prawy       30000 lewy</t>
  </si>
  <si>
    <t>209/2026</t>
  </si>
  <si>
    <t>MODUŁ M50 L200 PP</t>
  </si>
  <si>
    <t>PP MOPLEN EP 548R</t>
  </si>
  <si>
    <t>PASEK ELASTOMEROWY</t>
  </si>
  <si>
    <t>194/2026</t>
  </si>
  <si>
    <t>HRC9480/230 KRAIBURG 55% PP TIPPLEN K295 BCD 45%</t>
  </si>
  <si>
    <t>POKRYWA</t>
  </si>
  <si>
    <t>192/2026</t>
  </si>
  <si>
    <t>215/2026</t>
  </si>
  <si>
    <t>PAWEŁ</t>
  </si>
  <si>
    <t>OBWÓDKA DO TABLICY 520 BIAŁA</t>
  </si>
  <si>
    <t>206/2026</t>
  </si>
  <si>
    <t>26/07-A</t>
  </si>
  <si>
    <t>HI 121H RESINEX</t>
  </si>
  <si>
    <t>GM 447</t>
  </si>
  <si>
    <t xml:space="preserve">ŁUKASZ   </t>
  </si>
  <si>
    <t>ŁĄCZNIK KRÓTKI</t>
  </si>
  <si>
    <t>207/2026</t>
  </si>
  <si>
    <t>L  30000               P 36000</t>
  </si>
  <si>
    <t>ZAŚLEPKA PROFILU PC TRANSPARENT</t>
  </si>
  <si>
    <t>200/2026</t>
  </si>
  <si>
    <t>218/2026</t>
  </si>
  <si>
    <t>PODKŁAD POD TABLICE 520</t>
  </si>
  <si>
    <t>216/2026</t>
  </si>
  <si>
    <t>rPP+20T EKO BASKET 90% PP+30GF RESINEX 10%</t>
  </si>
  <si>
    <t>WOJTEK KRYSTIAN</t>
  </si>
  <si>
    <t>PODSTAWA UP</t>
  </si>
  <si>
    <t>193/2026</t>
  </si>
  <si>
    <t>FIBOOWL S C.NIEBIESKI</t>
  </si>
  <si>
    <t>217/2026</t>
  </si>
  <si>
    <t>26/07-B</t>
  </si>
  <si>
    <t>VOLKSWAGEN 7</t>
  </si>
  <si>
    <t>232/2026</t>
  </si>
  <si>
    <t>rHIPS PLASTICS SOLUTION</t>
  </si>
  <si>
    <t>26/07-C</t>
  </si>
  <si>
    <t>FIBOOWL S ZIELONY</t>
  </si>
  <si>
    <t>26/07-D</t>
  </si>
  <si>
    <t>FIBOOWL S BORDOWY</t>
  </si>
  <si>
    <t>26/07-E</t>
  </si>
  <si>
    <t>FIBOOWL S ŻÓŁTY</t>
  </si>
  <si>
    <t>26/07-F</t>
  </si>
  <si>
    <t>222/2026</t>
  </si>
  <si>
    <t>DACIA 26</t>
  </si>
  <si>
    <t>VOLVO 21</t>
  </si>
  <si>
    <t>FIBOOWL S BUTELKOWA ZIELEŃ</t>
  </si>
  <si>
    <t>26/07-G</t>
  </si>
  <si>
    <t>FIBOOWL M ZIELONY</t>
  </si>
  <si>
    <t>211/2026</t>
  </si>
  <si>
    <t>GM-41373P</t>
  </si>
  <si>
    <t>210/2026</t>
  </si>
  <si>
    <t>Dużo odpadu zanieczyszczone tworzywo(liście itp..)</t>
  </si>
  <si>
    <t>221/2026</t>
  </si>
  <si>
    <t>PODKŁAD RAMKI MOTOCYKLOWEJ 240/130 ABS</t>
  </si>
  <si>
    <t>220/2026</t>
  </si>
  <si>
    <t>BYD 58</t>
  </si>
  <si>
    <t>CUPRA 57</t>
  </si>
  <si>
    <t>ZAŚLEPKA PROFILU KOŃCOWEGO B2410</t>
  </si>
  <si>
    <t>224/2026</t>
  </si>
  <si>
    <t>PVC-ST/P81CZ-0</t>
  </si>
  <si>
    <t>FIAT SPORT 41</t>
  </si>
  <si>
    <t>DACIA 48</t>
  </si>
  <si>
    <t>26/07-H</t>
  </si>
  <si>
    <t>LOLLIPOP BETTERCAT ŚWIĄTECZNY</t>
  </si>
  <si>
    <t>212/2026</t>
  </si>
  <si>
    <t>OBWÓDKA RAMKI MOTOCYKLOWEJ 240x130 ABS</t>
  </si>
  <si>
    <t>223/2026</t>
  </si>
  <si>
    <t>ZAŚLEPKA PROFILU KOŃCOWEGO B2410L LOGO BB</t>
  </si>
  <si>
    <t>PODKŁAD RAMKI MOTOCYKLOWEJ 255x130 ABS</t>
  </si>
  <si>
    <t>242/2026</t>
  </si>
  <si>
    <t>FIBOONE DENTAL ZIELONY</t>
  </si>
  <si>
    <t>241/2026</t>
  </si>
  <si>
    <t>219/2026</t>
  </si>
  <si>
    <t>14.07.23026</t>
  </si>
  <si>
    <t>ZAŚLEPKA PROFILU ŚRODKOWEGO EXTRA-TOP-B2414</t>
  </si>
  <si>
    <t>226/2026</t>
  </si>
  <si>
    <t>230/2026</t>
  </si>
  <si>
    <t>231/2026</t>
  </si>
  <si>
    <t>KLAWISZ MAŁY  OKRĄGŁY</t>
  </si>
  <si>
    <t>KLAWISZ DUŻY  OKRĄGŁY</t>
  </si>
  <si>
    <t>235/2026</t>
  </si>
  <si>
    <t>WOJTEK KACPER</t>
  </si>
  <si>
    <t>MATA LOLIPOOP STICKY RÓŻOWY</t>
  </si>
  <si>
    <t>248/2026</t>
  </si>
  <si>
    <t>KACPER WOJTEK</t>
  </si>
  <si>
    <t>MATA 47x30 FUTTERHAUS RÓŻOWY</t>
  </si>
  <si>
    <t>250/2026</t>
  </si>
  <si>
    <t>GM-32218E</t>
  </si>
  <si>
    <t>ZASLEPKA PROFILU NAPĘDOWEGO B2411</t>
  </si>
  <si>
    <t>227/2026</t>
  </si>
  <si>
    <t>MATA LOLIPOOP STICKY NIEBIESKA</t>
  </si>
  <si>
    <t>233/2026</t>
  </si>
  <si>
    <t>213/2026</t>
  </si>
  <si>
    <t>HRC9480/230 KRAIBURG 80% PP TATREN IM2263 BCD 20%</t>
  </si>
  <si>
    <t xml:space="preserve">MATA LOLLIPOP C.SZARY </t>
  </si>
  <si>
    <t>p5</t>
  </si>
  <si>
    <t>26/07-c</t>
  </si>
  <si>
    <t>MATA FIBLITTER 44x44 BETTERCAT</t>
  </si>
  <si>
    <t>249/2026</t>
  </si>
  <si>
    <t>ZAŚLEPKA PROFILU ŚRODKOWEGO B2412N</t>
  </si>
  <si>
    <t>228/2026</t>
  </si>
  <si>
    <t xml:space="preserve">NIE ZAUWARZONO ZAPCHANEGO MAŁEGO KLAWISZA </t>
  </si>
  <si>
    <t>251/2026</t>
  </si>
  <si>
    <t>236/2026</t>
  </si>
  <si>
    <t>239/2026</t>
  </si>
  <si>
    <t>MATA FIBLITTER 44x44 RÓŻOWA</t>
  </si>
  <si>
    <t>214/2026</t>
  </si>
  <si>
    <t>MATA FIBLITTER 44x44 BEŻ</t>
  </si>
  <si>
    <t>MATA FIBLITTER 44x44 J.SZARY</t>
  </si>
  <si>
    <t>MATA FIBLITTER 44x44 C.SZARY</t>
  </si>
  <si>
    <t>PODKŁAD DO REJESTRACJI 460 LP</t>
  </si>
  <si>
    <t>234/2026</t>
  </si>
  <si>
    <t>244/2026</t>
  </si>
  <si>
    <t>rPC BIAŁY ARGUS</t>
  </si>
  <si>
    <t>ZAŚLEPKA PROFILU ŚRODKOWEGO PLAT-SECTION B2415</t>
  </si>
  <si>
    <t>229/2026</t>
  </si>
  <si>
    <t>MATA FIBLITTER 44x44 NIEBIESKI</t>
  </si>
  <si>
    <t>MATA FIBLITTER 44x44 FIOLET</t>
  </si>
  <si>
    <t>MATA FIBLITTER 44x44 CZARNY</t>
  </si>
  <si>
    <t>MATA FIBLITTER 44x44 BRIT</t>
  </si>
  <si>
    <t>254/2026</t>
  </si>
  <si>
    <t>237/2026</t>
  </si>
  <si>
    <t>FRINGOO MINI RÓŻOWY</t>
  </si>
  <si>
    <t>253/2026</t>
  </si>
  <si>
    <t>GRANSEB -80 GRANPOL</t>
  </si>
  <si>
    <t>FRINGOO MINI NIEBIESKI</t>
  </si>
  <si>
    <t>GRANSEB-80 GRANPOL</t>
  </si>
  <si>
    <t>LICK FIBOOWL FIOLETOWY</t>
  </si>
  <si>
    <t>255/2026</t>
  </si>
  <si>
    <t>FRINGOO MINI POMARAŃCZ</t>
  </si>
  <si>
    <t>LICK FIBOOWL GRANATOWY</t>
  </si>
  <si>
    <t>HRC9480/230 KRAIBURG 90% PPCOPO IM2263 BCD 10%</t>
  </si>
  <si>
    <t>HRC9480/230 KRAIBURG 90% PPCOPO IM 2263 10%</t>
  </si>
  <si>
    <t>245/2026</t>
  </si>
  <si>
    <t>FRINGOO MINI ŻÓŁTY</t>
  </si>
  <si>
    <t>FRINGOO MINI ZIELONY</t>
  </si>
  <si>
    <t>LICK FIBOOWL BORDOWY</t>
  </si>
  <si>
    <t xml:space="preserve">LICK FIBOOWL BUTELKOWA ZIELEŃ </t>
  </si>
  <si>
    <t>20/07-D</t>
  </si>
  <si>
    <t>LOLLIPOP ZIELONY</t>
  </si>
  <si>
    <t>256/2026</t>
  </si>
  <si>
    <t>258/2026</t>
  </si>
  <si>
    <t>20/07-E</t>
  </si>
  <si>
    <t>LOLLIPOP NIEBIESKI</t>
  </si>
  <si>
    <t>246/2026</t>
  </si>
  <si>
    <t>LOLLIPOP GRANATOWY</t>
  </si>
  <si>
    <t>238/2026</t>
  </si>
  <si>
    <t>GM-43676E</t>
  </si>
  <si>
    <t>W9-36U</t>
  </si>
  <si>
    <t>LOLLIPOP RÓŻOWY</t>
  </si>
  <si>
    <t>LOLLIPOP J.SZARY</t>
  </si>
  <si>
    <t>LICK FIBOOWL MINI BORDOWY</t>
  </si>
  <si>
    <t>257/2026</t>
  </si>
  <si>
    <t>26/08-A</t>
  </si>
  <si>
    <t>HRC9480/230 KRAIBURG 90% PP MOPLEN EP 548 R 10%</t>
  </si>
  <si>
    <t>243/2026</t>
  </si>
  <si>
    <t>259/2026</t>
  </si>
  <si>
    <t>LICK FIBOOWL ŻÓŁTY</t>
  </si>
  <si>
    <t>HRC9480/230 KRAIBURG 90% PP TATREN IM2263 10%</t>
  </si>
  <si>
    <t>262/2026</t>
  </si>
  <si>
    <t>HRC9480/230 KRAIBURG 95% PP MOPLEN EP 548 R 5%</t>
  </si>
  <si>
    <t>260/2026</t>
  </si>
  <si>
    <t>PAWEŁ KRYSTIAN</t>
  </si>
  <si>
    <t>LICK FIBOOWL MINI GRANATOWY</t>
  </si>
  <si>
    <t>26/08-B</t>
  </si>
  <si>
    <t>085.08.2026</t>
  </si>
  <si>
    <t>GM-43357E</t>
  </si>
  <si>
    <t>ZP190903A0-0stopni</t>
  </si>
  <si>
    <t>265/2026</t>
  </si>
  <si>
    <t>MODUŁ M50 L200 PP biały</t>
  </si>
  <si>
    <t>MODUŁ M50 L200 PP NIEBIESKI</t>
  </si>
  <si>
    <t xml:space="preserve"> GM-50977</t>
  </si>
  <si>
    <t>MODUŁ M50 L200 POM</t>
  </si>
  <si>
    <t>261/2026</t>
  </si>
  <si>
    <t>HOSTAFORM C9021</t>
  </si>
  <si>
    <t>26/08-C</t>
  </si>
  <si>
    <t>26/08-D</t>
  </si>
  <si>
    <t>267/2026</t>
  </si>
  <si>
    <t>LOLLIPOP MINI C.NIEBIESKI</t>
  </si>
  <si>
    <t>204/2026</t>
  </si>
  <si>
    <t>LOLLIPOP MINI BEŻOWY</t>
  </si>
  <si>
    <t>SLOW FIBOOWL CIEMNO ZIELONY</t>
  </si>
  <si>
    <t>26/08-E</t>
  </si>
  <si>
    <t>271/2026</t>
  </si>
  <si>
    <t xml:space="preserve">FLIP FIBOOWL BUTELKOWA ZIELEŃ </t>
  </si>
  <si>
    <t>263/2026</t>
  </si>
  <si>
    <t>FLIP FIBOOWL FIOLETOWY</t>
  </si>
  <si>
    <t>LOLLIPOP MINI J.SZARY</t>
  </si>
  <si>
    <t>FIAT 15</t>
  </si>
  <si>
    <t>LOLLIPOP MINI C.SZARY</t>
  </si>
  <si>
    <t>LOLLIPOP MINI ZIELONY</t>
  </si>
  <si>
    <t>BOK PRAWY LEWY GRAFITOWY</t>
  </si>
  <si>
    <t>272/2026</t>
  </si>
  <si>
    <t>ABS HI121H-NATURAL RESINEX</t>
  </si>
  <si>
    <t>W9-36</t>
  </si>
  <si>
    <t>FLIP FIBOOWL RÓŻOWY</t>
  </si>
  <si>
    <t>FLIP FIBOOWL BORDOWY</t>
  </si>
  <si>
    <t>266/2026</t>
  </si>
  <si>
    <t>FLIP FIBOOWL C.NIEBIESKI</t>
  </si>
  <si>
    <t>FLIP FIBOOWL GRANATOWY</t>
  </si>
  <si>
    <t>26/08-F</t>
  </si>
  <si>
    <t>GUMKI DO MISEK DUŻE</t>
  </si>
  <si>
    <t>264/2026</t>
  </si>
  <si>
    <t>GRANSEB 75G/TRANSP./1/139 GRANPOL</t>
  </si>
  <si>
    <t>288/2026</t>
  </si>
  <si>
    <t>KRYSTIAN PAWEŁ</t>
  </si>
  <si>
    <t>268/2026</t>
  </si>
  <si>
    <t>POKRYWKA FIBOO LID FIBEEK PEŁNY</t>
  </si>
  <si>
    <t>273/2026</t>
  </si>
  <si>
    <t>FLIP FIBOOWL ZIELONY</t>
  </si>
  <si>
    <t>263/2025</t>
  </si>
  <si>
    <t>26/08-G</t>
  </si>
  <si>
    <t>FLIP FIBOOWL ŻÓŁTY</t>
  </si>
  <si>
    <t>26/08-H</t>
  </si>
  <si>
    <t>GM-12485E</t>
  </si>
  <si>
    <t>HOLYPIT</t>
  </si>
  <si>
    <t>BOTTOOM CLOUD</t>
  </si>
  <si>
    <t>275/2026</t>
  </si>
  <si>
    <t>BOTTOM LIME</t>
  </si>
  <si>
    <t xml:space="preserve">ABS MAGNUM 8391 </t>
  </si>
  <si>
    <t>GM-41815V</t>
  </si>
  <si>
    <t>252/2026</t>
  </si>
  <si>
    <t>ŁAPKI PL 2 KOMPONENTOWE</t>
  </si>
  <si>
    <t>284/2026</t>
  </si>
  <si>
    <t>MODUŁ M50L200 PP NIEBIESKI</t>
  </si>
  <si>
    <t>290/2026</t>
  </si>
  <si>
    <t>GM-50977</t>
  </si>
  <si>
    <t>270/2026</t>
  </si>
  <si>
    <t xml:space="preserve">LOLLIPOP STICKY C.SZARY </t>
  </si>
  <si>
    <t>281/2026</t>
  </si>
  <si>
    <t>LOLLIPOP STICKY RÓŻOWY</t>
  </si>
  <si>
    <t>MATA 47x30 CIEMNO SZARY FUTTERHAS</t>
  </si>
  <si>
    <t>274/2026</t>
  </si>
  <si>
    <t xml:space="preserve">MATA 47x30 CIEMNO SZARY    </t>
  </si>
  <si>
    <t>282/2026</t>
  </si>
  <si>
    <t>MATA 47x30 RÓZOWY</t>
  </si>
  <si>
    <t xml:space="preserve">SZPULA BOK ŻĘSKI </t>
  </si>
  <si>
    <t>21.089.2026</t>
  </si>
  <si>
    <t>269/2026</t>
  </si>
  <si>
    <t>TOP CLOUD</t>
  </si>
  <si>
    <t>278/2026</t>
  </si>
  <si>
    <t>ABS CLOUD ARGUS</t>
  </si>
  <si>
    <t>TOP LIME</t>
  </si>
  <si>
    <t>MID CLOUD</t>
  </si>
  <si>
    <t>279/2026</t>
  </si>
  <si>
    <t>MID LIME</t>
  </si>
  <si>
    <t>280/2026</t>
  </si>
  <si>
    <t>277/2026</t>
  </si>
  <si>
    <t>ŁAPKI UK 2 KOMPONENTOWA PC</t>
  </si>
  <si>
    <t>283/2026</t>
  </si>
  <si>
    <t>rPC CZARNY ARGUS</t>
  </si>
  <si>
    <t>PRODUKCJA PRZERWANA I ZAKOŃCZONA U PAWŁA</t>
  </si>
  <si>
    <t>LISTWA GRUBA GRAFITOWY</t>
  </si>
  <si>
    <t>266/2025</t>
  </si>
  <si>
    <t>LISTWA CIENKA GRAFITOWY</t>
  </si>
  <si>
    <t>MATA 47x30 JASNO SZARY</t>
  </si>
  <si>
    <t>MATA POD MISKI SZAROFIOLETOWY</t>
  </si>
  <si>
    <t>289/2026</t>
  </si>
  <si>
    <t>SLIDEBLOC 093012 V1 DIN 18R</t>
  </si>
  <si>
    <t>291/2026</t>
  </si>
  <si>
    <t xml:space="preserve">PULLBLOC 091002 V1 DIN 18L   </t>
  </si>
  <si>
    <t>ŁAPKA UK OBTRYSK</t>
  </si>
  <si>
    <t>285/2026</t>
  </si>
  <si>
    <t>DRYFLEX-UV-403731</t>
  </si>
  <si>
    <t>W9-240</t>
  </si>
  <si>
    <t>MATA POD MISKI FIOLETOWY</t>
  </si>
  <si>
    <t>C4146</t>
  </si>
  <si>
    <t>287/2026</t>
  </si>
  <si>
    <t>MATA POD MISKI SZAROZIELONY</t>
  </si>
  <si>
    <t>ŁAPKA PL OBTRYSK</t>
  </si>
  <si>
    <t>286/2026</t>
  </si>
  <si>
    <t>293/2026</t>
  </si>
  <si>
    <t>AWARIA FORMY</t>
  </si>
  <si>
    <t xml:space="preserve">ECKVERBINDER 7205 </t>
  </si>
  <si>
    <t>292/2026</t>
  </si>
  <si>
    <t>PA6 BEZ WŁÓKNA PLASTAMID 6 B1</t>
  </si>
  <si>
    <t xml:space="preserve">LIFOCOLOR 91568F PA </t>
  </si>
  <si>
    <t>ECKVERBINDER LINKS 7206</t>
  </si>
  <si>
    <t>ECKVERBINDER RECHTS 7207</t>
  </si>
  <si>
    <t>BOK PRAWY LEWY BIAŁY</t>
  </si>
  <si>
    <t>HP1GA278UV</t>
  </si>
  <si>
    <t xml:space="preserve">KACPER  </t>
  </si>
  <si>
    <t xml:space="preserve">MATA 32x32 RÓŻOWY   </t>
  </si>
  <si>
    <t>MATA 32x32 CIEMNO SZARY</t>
  </si>
  <si>
    <t>p6</t>
  </si>
  <si>
    <t>26/08-c</t>
  </si>
  <si>
    <t>SZARPAK FIB GRANATOWY</t>
  </si>
  <si>
    <t>28/09-C</t>
  </si>
  <si>
    <t>26/09-D</t>
  </si>
  <si>
    <t>26/09-C</t>
  </si>
  <si>
    <t>26/,9-C</t>
  </si>
  <si>
    <t>SZARPAK FIB BUTELKOWA ZIELEŃ</t>
  </si>
  <si>
    <t>29/09-D</t>
  </si>
  <si>
    <t>294/2026</t>
  </si>
  <si>
    <t>26/09-A</t>
  </si>
  <si>
    <t>26/09-B</t>
  </si>
  <si>
    <t>SZARPAK FIB BORDOWY</t>
  </si>
  <si>
    <t>29/09-E</t>
  </si>
  <si>
    <t>295/2026</t>
  </si>
  <si>
    <t xml:space="preserve">KRYSTIAN  </t>
  </si>
  <si>
    <t>SZARPAK FIB CZERWONY</t>
  </si>
  <si>
    <t>26/09-F</t>
  </si>
  <si>
    <t>313/2026</t>
  </si>
  <si>
    <t>rPC CZARNE ARGUS</t>
  </si>
  <si>
    <t>26/09-G</t>
  </si>
  <si>
    <t>SNACK FIBOOL SOFT FIOLETOWY</t>
  </si>
  <si>
    <t>303/2026</t>
  </si>
  <si>
    <t>26/09-H</t>
  </si>
  <si>
    <t>311/2026</t>
  </si>
  <si>
    <t>HRC9480/230 KRAIBURG 95% PP MOPLEN EP 548R 5%</t>
  </si>
  <si>
    <t>SZARPAK FIB SOFT FIOLETOWY</t>
  </si>
  <si>
    <t>322/2026</t>
  </si>
  <si>
    <t>LISTWA GRUBA BIAŁY</t>
  </si>
  <si>
    <t>LISTWA CIENKA BIAŁY</t>
  </si>
  <si>
    <t>296/2026</t>
  </si>
  <si>
    <t xml:space="preserve">W6-69 </t>
  </si>
  <si>
    <t>SCOLEFIN 53G 10-0 NATURAL</t>
  </si>
  <si>
    <t>SCOLEFIN 53 G 10-0 NATURAL</t>
  </si>
  <si>
    <t>SNACK FIBOOL SOFT MIODOWY</t>
  </si>
  <si>
    <t>W2-68</t>
  </si>
  <si>
    <t>SZARPAK FIB SOFT MIĘTOWY</t>
  </si>
  <si>
    <t>314/2026</t>
  </si>
  <si>
    <t>304/2026</t>
  </si>
  <si>
    <t>29/09-B</t>
  </si>
  <si>
    <t>301/2026</t>
  </si>
  <si>
    <t>ZAŚLEPKA PROFILU PC NOWA TRANSPARENT</t>
  </si>
  <si>
    <t>317/2026</t>
  </si>
  <si>
    <t>SZARPAK FIB SOFT MIODOWY</t>
  </si>
  <si>
    <t>14,09.2026</t>
  </si>
  <si>
    <t>PODKŁAD 460 WKŁADKA LP</t>
  </si>
  <si>
    <t>315/2026</t>
  </si>
  <si>
    <t>300/2026</t>
  </si>
  <si>
    <t>HRC9480/230 KRAIBURG 95% PP MOPLEN EP 548 R BCD 5%</t>
  </si>
  <si>
    <t>25370 lewy 25000 prawy</t>
  </si>
  <si>
    <t>FIBOONE DENTAL MONSTER</t>
  </si>
  <si>
    <t>312/2026</t>
  </si>
  <si>
    <t>316/2026</t>
  </si>
  <si>
    <t>SZARPAK FIB SOFT KORALOWY</t>
  </si>
  <si>
    <t>GM 32218E</t>
  </si>
  <si>
    <t>GM 12485E</t>
  </si>
  <si>
    <t xml:space="preserve">MISKA S C.NIEBIESKI </t>
  </si>
  <si>
    <t>GM12485E</t>
  </si>
  <si>
    <t>305/2026</t>
  </si>
  <si>
    <t>326/2026</t>
  </si>
  <si>
    <t>307/2026</t>
  </si>
  <si>
    <t>LOLLIPOP WALLY BEŻOWY</t>
  </si>
  <si>
    <t>26/09-E</t>
  </si>
  <si>
    <t>GM 12197E</t>
  </si>
  <si>
    <t>MISKA S ŻÓŁTY</t>
  </si>
  <si>
    <t xml:space="preserve">MISKA S JASNO NIEBIESKI </t>
  </si>
  <si>
    <t>GM-53578E</t>
  </si>
  <si>
    <t>ZAŚLEPKA PROFILU PC NOWA CZARNY</t>
  </si>
  <si>
    <t>319/2026</t>
  </si>
  <si>
    <t>PODKŁAD TABLICY SAMOCHODOWEJ 460x111</t>
  </si>
  <si>
    <t>332/2026</t>
  </si>
  <si>
    <t>PAWEŁ WOJTEK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</si>
  <si>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</si>
  <si>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</si>
  <si>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</si>
  <si>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</si>
  <si>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</si>
  <si>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</si>
  <si>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</si>
  <si>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</si>
  <si>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</si>
  <si>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</si>
  <si>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</si>
  <si>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</si>
  <si>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</si>
  <si>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</si>
  <si>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</si>
  <si>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</si>
  <si>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</si>
  <si>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</si>
  <si>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</si>
  <si>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</si>
  <si>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</si>
  <si>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</si>
  <si>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</si>
  <si>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</si>
  <si>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</si>
  <si>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</si>
  <si>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</si>
  <si>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</si>
  <si>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</si>
  <si>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</si>
  <si>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</si>
  <si>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</si>
  <si>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</si>
  <si>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</si>
  <si>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</si>
  <si>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</si>
  <si>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</si>
  <si>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</si>
  <si>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</si>
  <si>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</si>
  <si>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</si>
  <si>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</si>
  <si>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</si>
  <si>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</si>
  <si>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</si>
  <si>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</si>
  <si>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</si>
  <si>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</si>
  <si>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</si>
  <si>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</si>
  <si>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</si>
  <si>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</si>
  <si>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</si>
  <si>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</si>
  <si>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</si>
  <si>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</si>
  <si>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</si>
  <si>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</si>
  <si>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</si>
  <si>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</si>
  <si>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</si>
  <si>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</si>
  <si>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</si>
  <si>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</si>
  <si>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</si>
  <si>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</si>
  <si>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</si>
  <si>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</si>
  <si>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</si>
  <si>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</si>
  <si>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</si>
  <si>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</si>
  <si>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</si>
  <si>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</si>
  <si>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</si>
  <si>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</si>
  <si>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</si>
  <si>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</si>
  <si>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</si>
  <si>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</si>
  <si>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</si>
  <si>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</si>
  <si>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</si>
  <si>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</si>
  <si>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</si>
  <si>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</si>
  <si>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</si>
  <si>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</si>
  <si>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</si>
  <si>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</si>
  <si>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</si>
  <si>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</si>
  <si>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</si>
  <si>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</si>
  <si>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</si>
  <si>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FRINGOO  RÓŻOWY</t>
  </si>
  <si>
    <t>299/2026</t>
  </si>
  <si>
    <t>GRANPOL-TPE-S GPL-GRANSEB-80G/000/139-NATURAL</t>
  </si>
  <si>
    <t>LOLLIPOP WALLY J.SZARY</t>
  </si>
  <si>
    <t>LOLLIPOP WALLY C.SZARY</t>
  </si>
  <si>
    <t>HRC9480/230 KRAIBURG95% PP MOPLEN EP 548 R 5%</t>
  </si>
  <si>
    <t>FIBOONE BIG PUPPY RÓŻOWY</t>
  </si>
  <si>
    <t>306/2026</t>
  </si>
  <si>
    <t>MISKA S BIAŁY</t>
  </si>
  <si>
    <t>GM415</t>
  </si>
  <si>
    <t>SZARPAK FIBSY RÓŻOWY</t>
  </si>
  <si>
    <t>330/2026</t>
  </si>
  <si>
    <t>GPL-GRANSEB-80G/000/139</t>
  </si>
  <si>
    <t>Etykiety wierszy</t>
  </si>
  <si>
    <t>Suma końcowa</t>
  </si>
  <si>
    <t>GM 43107E</t>
  </si>
  <si>
    <t>CGM43107E</t>
  </si>
  <si>
    <t>PODKŁAD TABLICY SAMOCHODOWEJ 420x111</t>
  </si>
  <si>
    <t>340/2026</t>
  </si>
  <si>
    <t>SZARPAK FIBSY FIOLETOWY</t>
  </si>
  <si>
    <t xml:space="preserve">SZARPAK FIBSY ŻÓŁTY </t>
  </si>
  <si>
    <t xml:space="preserve">LOLLIPOP WALLY C. NIEBIESKI </t>
  </si>
  <si>
    <t>26/09-I</t>
  </si>
  <si>
    <t>GM 53281E</t>
  </si>
  <si>
    <t>GM PA6</t>
  </si>
  <si>
    <t>323/2026</t>
  </si>
  <si>
    <t>325/2026</t>
  </si>
  <si>
    <t>ZAŚLEPKA PROFILU PC NOWA NIEBIESKA</t>
  </si>
  <si>
    <t>318/2026</t>
  </si>
  <si>
    <t>OBWÓDKA TABLICY SAMOCHODOWEJ 460x111</t>
  </si>
  <si>
    <t>327/2026</t>
  </si>
  <si>
    <t>SZARPAK FIBSY ZIELONY</t>
  </si>
  <si>
    <t>SZARPAK FIBSY NIEBIESKI</t>
  </si>
  <si>
    <t xml:space="preserve">SZARPAK FIBSY POMARAŃCZ </t>
  </si>
  <si>
    <t>260/09-H</t>
  </si>
  <si>
    <t>FRISBOO MINI ZIELONY</t>
  </si>
  <si>
    <t>SZCZOTKA MIEKKA ŻÓŁTY</t>
  </si>
  <si>
    <t>302/2026</t>
  </si>
  <si>
    <t>SZCZOTKA MIĘKKA HAPPY DOG</t>
  </si>
  <si>
    <t>336/2026</t>
  </si>
  <si>
    <t>HRC9480/230 KRAIBURG 90% PP MOPLEN EP548 R 10 %</t>
  </si>
  <si>
    <t>MOBILUS</t>
  </si>
  <si>
    <t>PŁYTKA KORPUSU</t>
  </si>
  <si>
    <t>335/2026</t>
  </si>
  <si>
    <t>ABS HI121H RESINEX</t>
  </si>
  <si>
    <t>GM-80669B</t>
  </si>
  <si>
    <t>PIERŚCIEŃ MOB-G0445-02</t>
  </si>
  <si>
    <t>334/2026</t>
  </si>
  <si>
    <t>347/2026</t>
  </si>
  <si>
    <t>26/10-A</t>
  </si>
  <si>
    <t>SZARPAK FIBSY SOFT MIĘTOWY</t>
  </si>
  <si>
    <t>331/2026</t>
  </si>
  <si>
    <t>SZARPAK FIBSY SOFT MIODOWY</t>
  </si>
  <si>
    <t>SZARPAK FIBSY SOFT KORALOWY</t>
  </si>
  <si>
    <t>SZARPAK FIBSY SOFT FIOLETOWY</t>
  </si>
  <si>
    <t>338/2026</t>
  </si>
  <si>
    <t>297/2026</t>
  </si>
  <si>
    <t xml:space="preserve">ŁUKASZ  </t>
  </si>
  <si>
    <t>OKIDAY</t>
  </si>
  <si>
    <t>OBUDOWA DUŻA</t>
  </si>
  <si>
    <t>352/2026</t>
  </si>
  <si>
    <t>ABS MAGNUM 8391 NEXEO PLASTICS</t>
  </si>
  <si>
    <t>SAN9017/16</t>
  </si>
  <si>
    <t xml:space="preserve">FIPLOO RÓŻOWY </t>
  </si>
  <si>
    <t>343/2026</t>
  </si>
  <si>
    <t>HRC9480/230 KRAIBURG 95% PP MOPLEN EP 548R 10%</t>
  </si>
  <si>
    <t xml:space="preserve">FIPLOO ŻÓŁTY </t>
  </si>
  <si>
    <t>26/10-B</t>
  </si>
  <si>
    <t>HRC9480/230 KRAIBURG 95%PP MOPLEN EP 548R 10%</t>
  </si>
  <si>
    <t>FIPLOO ZIELONY</t>
  </si>
  <si>
    <t>26/10-C</t>
  </si>
  <si>
    <t xml:space="preserve">GM-43676E </t>
  </si>
  <si>
    <t>FIPLOO FIOLETOWY</t>
  </si>
  <si>
    <t>26/10-D</t>
  </si>
  <si>
    <t>328/2026</t>
  </si>
  <si>
    <t>ZASLEPKA PROFILU ASA BIAŁA</t>
  </si>
  <si>
    <t>320/2026</t>
  </si>
  <si>
    <t>ZAŚLEPKA PROFILU ASA C.SZARY</t>
  </si>
  <si>
    <t>321/2026</t>
  </si>
  <si>
    <t>GM-80779S</t>
  </si>
  <si>
    <t>329/2026</t>
  </si>
  <si>
    <t>351/2026</t>
  </si>
  <si>
    <t xml:space="preserve">PAWEŁ  </t>
  </si>
  <si>
    <t xml:space="preserve">MODUŁ M50 L200 POM </t>
  </si>
  <si>
    <t>356/2026</t>
  </si>
  <si>
    <t>FIJOO JUSTRUSSEL</t>
  </si>
  <si>
    <t>344/2026</t>
  </si>
  <si>
    <t>GM-32807E</t>
  </si>
  <si>
    <t>OBOWÓDKA TABLICY SAMOCHODOWEJ 400 x111</t>
  </si>
  <si>
    <t>PODKŁAD TABLICY SAMOCHODOWEJ 400x111</t>
  </si>
  <si>
    <t>341/2026</t>
  </si>
  <si>
    <t>OBWÓDKA TABLICY SAMOCHODOWEJ 420x111</t>
  </si>
  <si>
    <t>337/2026</t>
  </si>
  <si>
    <t>OBWÓDKA TABLICY SAMOCHODOWEJ 380x111</t>
  </si>
  <si>
    <t>339/2026</t>
  </si>
  <si>
    <t>PODKŁAD TABLICY SAMOCHODOWEJ 380x111</t>
  </si>
  <si>
    <t>342/2026</t>
  </si>
  <si>
    <t>KORPUS</t>
  </si>
  <si>
    <t>333/2026</t>
  </si>
  <si>
    <t xml:space="preserve">PA6+30GF PLASTAMID 6B28 G6 BK </t>
  </si>
  <si>
    <t>298/2026</t>
  </si>
  <si>
    <t>GM PP</t>
  </si>
  <si>
    <t>324/2026</t>
  </si>
  <si>
    <t xml:space="preserve">PP K295 </t>
  </si>
  <si>
    <t>346/2026</t>
  </si>
  <si>
    <t>CROSSWATER-DO ODPŁYWU</t>
  </si>
  <si>
    <t>353/2026</t>
  </si>
  <si>
    <t>ABS HF380 WHITE</t>
  </si>
  <si>
    <t>ZP190903A3_50-3,5 STOPNI</t>
  </si>
  <si>
    <t>354/2026</t>
  </si>
  <si>
    <t xml:space="preserve">PP COPO BIAŁY </t>
  </si>
  <si>
    <t>SZARPAK FIB JUSTRASSEL</t>
  </si>
  <si>
    <t>345/2026</t>
  </si>
  <si>
    <t>36/37/55</t>
  </si>
  <si>
    <t xml:space="preserve">PP MOPLEN EP 548R ELASTOMER RAVAGO </t>
  </si>
  <si>
    <t>MASKOWNICA MICKEY C.SZARA</t>
  </si>
  <si>
    <t>MASKOWNICA MICKEY J.SZARA</t>
  </si>
  <si>
    <t>MATA FISHKA C.NIEBIESKI</t>
  </si>
  <si>
    <t>349/2026</t>
  </si>
  <si>
    <t>GM-535281E</t>
  </si>
  <si>
    <t>355/2026</t>
  </si>
  <si>
    <t xml:space="preserve">KACPER </t>
  </si>
  <si>
    <t>357/2026</t>
  </si>
  <si>
    <t>rHIPS  PLASTICS SOLUTION</t>
  </si>
  <si>
    <t>PEUGEOT 8</t>
  </si>
  <si>
    <t>358/2026</t>
  </si>
  <si>
    <t xml:space="preserve">JONATAN </t>
  </si>
  <si>
    <t>14400 P+L</t>
  </si>
  <si>
    <t>ZAŚLEPKA PROFILU ASA J.SZARY</t>
  </si>
  <si>
    <t>MATA FISHKA JASNO SZARY</t>
  </si>
  <si>
    <t>SZARPAK FIB HUSSE</t>
  </si>
  <si>
    <t>361/2026</t>
  </si>
  <si>
    <t xml:space="preserve">W7131 </t>
  </si>
  <si>
    <t>ECKVERBINDER 12_7205</t>
  </si>
  <si>
    <t>359/2026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</si>
</sst>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9"/>
      <color rgb="FFFF000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0" borderId="1" xfId="0" applyFont="1" applyBorder="1"/>
    <xf numFmtId="0" fontId="3" fillId="2" borderId="1" xfId="0" applyFont="1" applyFill="1" applyBorder="1"/>
    <xf numFmtId="14" fontId="3" fillId="0" borderId="1" xfId="0" applyNumberFormat="1" applyFont="1" applyBorder="1"/>
    <xf numFmtId="49" fontId="0" fillId="0" borderId="1" xfId="0" applyNumberFormat="1" applyBorder="1"/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/>
    <xf numFmtId="9" fontId="0" fillId="0" borderId="1" xfId="0" applyNumberFormat="1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10" fillId="0" borderId="1" xfId="0" applyFont="1" applyBorder="1" applyAlignment="1">
      <alignment wrapText="1"/>
    </xf>
    <xf numFmtId="14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right"/>
    </xf>
    <xf numFmtId="0" fontId="14" fillId="0" borderId="1" xfId="0" applyFont="1" applyBorder="1" applyAlignment="1">
      <alignment wrapText="1"/>
    </xf>
    <xf numFmtId="14" fontId="0" fillId="0" borderId="0" xfId="0" applyNumberFormat="1"/>
    <xf numFmtId="49" fontId="0" fillId="0" borderId="1" xfId="0" applyNumberFormat="1" applyBorder="1" applyAlignment="1">
      <alignment horizontal="right"/>
    </xf>
    <xf numFmtId="0" fontId="3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/>
    <xf numFmtId="0" fontId="14" fillId="0" borderId="1" xfId="0" applyFont="1" applyBorder="1"/>
    <xf numFmtId="49" fontId="3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 wrapText="1"/>
    </xf>
    <xf numFmtId="9" fontId="3" fillId="0" borderId="1" xfId="0" applyNumberFormat="1" applyFont="1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ny" xfId="0" builtinId="0"/>
  </cellStyles>
  <dxfs count="1"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6.520532175928" createdVersion="8" refreshedVersion="8" minRefreshableVersion="3" recordCount="441" xr:uid="{E93547BE-0D46-4996-A933-0470D1B572C6}">
  <cacheSource type="worksheet">
    <worksheetSource ref="A2:Z443" sheet="FIBOO"/>
  </cacheSource>
  <cacheFields count="26">
    <cacheField name="Lp." numFmtId="0">
      <sharedItems/>
    </cacheField>
    <cacheField name="Nazwa produktu " numFmtId="0">
      <sharedItems containsBlank="1" count="297">
        <s v="MATA LOLLIPOP MINI RÓŻ"/>
        <s v="MATA LOLLIPOP MINI ZIELONY"/>
        <s v="MATA LOLLIPOP MINI ŻÓŁTY"/>
        <s v="FIBOOWL M BETTERCAT"/>
        <s v="FIBOOWL L FUTTERHAUS RÓŻ"/>
        <s v="FIBOOWL L FUTTERHAUS C.SZARY"/>
        <s v="FIBOOWL S GREENPETFOOD "/>
        <s v="FIBOOWL L C.SZARY"/>
        <s v="FIBOOWL L C.NIEBIESKI"/>
        <s v="FIBOOWL L ZIELONY"/>
        <s v="FIBOOWL M  BEŻ"/>
        <s v="FIBOOWL M RÓŻOWY"/>
        <s v="FIBOOWL M C.NIEBIESKI"/>
        <s v="FIBOOWL M C.ZIELONY"/>
        <s v="SLOW FIBOOWL C.NIEBIESKI"/>
        <s v="SLOW FIBOOWL FIOLETOWY"/>
        <s v="SLOW FIBOOWL RÓŻOWY"/>
        <s v="SLOW FIBOOWL ŻÓŁTY"/>
        <s v="SLOW FIBOOWL C.SZARY"/>
        <s v="MATA 47x30 GREEN PETFOOD"/>
        <s v="MISKA M RÓŻOWY"/>
        <s v="MISKA M ZIELONY"/>
        <s v="MISKA M J.NIEBIESKI"/>
        <s v="MISKA M C.NIEBIESKI"/>
        <s v="MISKA M C.SZARA "/>
        <s v="SLOW FIBOOWL LOGO POKUSA"/>
        <s v="MATA 47x30 FUTTERHAUS"/>
        <s v="MISKA M GREENPETFOOD"/>
        <s v="MISKA S RÓŻOWY"/>
        <s v="MISKA S ZIELONY"/>
        <s v="MISKA S SZARY"/>
        <s v="MISKA S C.SZARY"/>
        <s v="MISKA S BEŻ"/>
        <s v="MATA LOLLIPOP STICKY RÓŻ"/>
        <s v="MATA LOLLIPOP STICKY C.SZARY"/>
        <s v="MATA 32x32 J.SZARY"/>
        <s v="MATA 32x32 C.SZARY"/>
        <s v="MATA 32x32 CZARNY"/>
        <s v="MATA 32x32 GREENPETFOOD"/>
        <s v="SLOW FIBFEEDER"/>
        <s v="FIBOOWL M GAMEDOG"/>
        <s v="MATA 32x32 FUTTERHAUS C.SZ"/>
        <s v="MATA 32x32 FUTTERHAUS BEŻ"/>
        <s v="MATA 32x32 FUTTERHAUS RÓŻ"/>
        <s v="FIBOONE BIG PUPPY POARAŃCZ"/>
        <s v="FIBOONE BIG PUPPY RÓŻ"/>
        <s v="FIBOONE BIG PUPPY ŻÓŁTY"/>
        <s v="FIBOONE BIG PUPPY ZIELONY"/>
        <s v="FIBOONE BIG PUPPY NIEBIESKI"/>
        <s v="FRISBOO POMARAŃCZOWY"/>
        <s v="FRISBOO RÓŻOWY"/>
        <s v="FRISBOO ŻÓŁTY"/>
        <s v="FRISBOO ZIELONY"/>
        <s v="FRISBOO NIEBIESKI"/>
        <s v="MATA 47x30 FUTTERHAUS BEŻ"/>
        <s v="MATA 47x30 FUTTERHAUS C.SZ"/>
        <s v="SZARPAK FIB POMARAŃCZOWY"/>
        <s v="SZARPAK FIB RÓŻOWY"/>
        <s v="SZARPAK FIB ŻÓŁTY"/>
        <s v="SZARPAK FIB ZIOELONY"/>
        <s v="SZARPAK FIB NIEBIESKI"/>
        <s v="SZARPAK FIB FIOLETOWY"/>
        <s v="FIBBOWL MAT 43x22 J.SZARY"/>
        <s v="SNACK FIBOOLL SOFT FUTTERHAUS NIEBIESKI"/>
        <s v="SNACK FIBOOLL SOFT FUTTERHAUS RÓŻOWY"/>
        <s v="SNACK FIBOOLL SOFT FUTTERHAUS ŻÓŁTY"/>
        <s v="GUMKI MAŁE"/>
        <s v="FRISBOO FUTTERHAUS RÓŻOWY"/>
        <s v="FRISBOO FUTTERHAUS NIEBIESKI"/>
        <s v="FRISBOO FUTTERHAUS ŻÓŁTY"/>
        <s v="FRINGOO FUTTERHAUS NIEBIESKI"/>
        <s v="FRINGOO FUTTERHAUS ŻÓŁTY"/>
        <s v="FRINGOO FUTTERHAUS RÓŻOWY"/>
        <s v="FRISBO POMARAŃCZOWY"/>
        <s v="FIBOONE DENTAL FUTTERHAUS ŻÓŁTY"/>
        <s v="FIBOONE DENTAL FUTTERHAUS RÓŻOWY"/>
        <s v="FIBOONE DENTAL FUTTERHAUS NIEBIESKI"/>
        <s v="FIBOONE DENTAL ŻÓŁTY"/>
        <s v="FIBOONE DENTAL RÓZOWY"/>
        <s v="FIBOONE DENTAL NIEBIESKI"/>
        <s v="FIBOONE DENTAL POMARAŃCZ "/>
        <s v="FRINGOO ŻÓŁTY"/>
        <s v="FRINGOO RÓŻOWY"/>
        <s v="FRINGOO NIEBIESKI"/>
        <s v="FRINGOO POMARAŃCZOWY"/>
        <s v="FRINGOO ZIELONY"/>
        <s v="SLOW FIBOOWL CZERWONY"/>
        <s v="SLOW FIBOOWL ZIELONY"/>
        <s v="SLOW FIBOOWL BRIT ZIELONY"/>
        <s v="SLOW FIBOOWL BRIT ŻÓŁTY"/>
        <s v="SZARPAK FIB RÓŻOWY FUTTERHAUS"/>
        <s v="SZARPAK FIB NIEBIESKI FUTTERHAUS"/>
        <s v="SZARPAK FIB ŻÓLTY FUTTERHAUS"/>
        <s v="LICK FIBOOWL C.NIEBIESKI"/>
        <s v="LICK FIBOOWL ZIELONY"/>
        <s v="LICK FIBOOWL RÓŻOWY"/>
        <s v="FIBOOWL SPIKY FUTTERHAUS RÓŻOWY"/>
        <s v="FIBOOWL SPIKY FUTTERHAUS C.SZARY"/>
        <s v="FIJOO C.NIEBIESKI"/>
        <s v="FIJOO FIOLETOWY"/>
        <s v="FIJOO RÓŻOWY"/>
        <s v="FIJOO ŻÓŁTY"/>
        <s v="FIJOO ZIELONY"/>
        <s v="SNACK FIBOOL JUMBO SOFT FUTTERHAUS NIEBIESKI"/>
        <s v="SNACK FIBOOL JUMBO SOFT FUTTERHAUS ŻÓŁTY"/>
        <s v="SNACK FIBOOL JUMBO SOFT FUTTERHAUS RÓŻOWY"/>
        <s v="FIBOOWL SPIKY C.SZARY"/>
        <s v="FIBOOWL SPIKY NIEBIESKI"/>
        <s v="FIBOOWL SPIKY RÓŻOWY"/>
        <s v="FIBOOWL SPIKY ZIELONY"/>
        <s v="FIBEEK BEZ OTWORU"/>
        <s v="FIBOOM ŻÓŁTY FUTTERHAUS"/>
        <s v="FIBOOM NIEBIESKI FUTTERHAUS"/>
        <s v="FIBOOM RÓŻOWY FUTTERHAUS"/>
        <s v="FIBOOWL S  ZIELONY"/>
        <s v="FIBOOWL S BEŻOWY"/>
        <s v="FIBOOWL ŻÓŁTY"/>
        <s v="FIBOOWL S RÓŻOWY"/>
        <s v="FIBOOWL S C.SZARY"/>
        <s v="SZARPAK FIB ZIELONY"/>
        <s v="FRISBOO MINI NIEBIESKI"/>
        <s v="FRISBOO MINI RÓŻOWY"/>
        <s v="FRISBOO MINI ŻÓŁTY "/>
        <s v="FRISBOO MINI POMARAŃCZ "/>
        <s v="FIJOO ŻÓŁTY FUTTERHAUS"/>
        <s v="FIJOO NIEBIESKI FUTTERHAUS"/>
        <s v="SLOW FIBOOWL FUTTERHAUS C.SZARY"/>
        <s v="LOLLIPOP STICKY C.SZARY FUTTERHAUS"/>
        <s v="LOLLIPOP STICKY RÓŻOWY  FUTTERHAUS"/>
        <s v="FIBOOWL M PSI BUFET"/>
        <s v="SNACK FIBOOL JUMBO RÓŻOWY"/>
        <s v="SNACK FIBOOL JUMBO POMARAŃCZOWY"/>
        <s v="FIBOOWL M ŻÓŁTY"/>
        <s v="FIBOWL M J.SZARY"/>
        <s v="FIBOONE DENTAL MONSTER FUTTERHAUS NIEBIESKI"/>
        <s v="FIBOONE DENTAL MONSTER FUTTERHAUS ŻÓŁTY"/>
        <s v="FIBOONE DENTAL MONSTER RÓŻOWY"/>
        <s v="FIJOO EUROPRIS"/>
        <s v="MATA FISHKA TURKUSOWY"/>
        <s v="MATA FISHKA FIOLETOWY"/>
        <s v="MATA FISHKA GRANATOWY"/>
        <s v="MATA FISHKA BEŻOWY"/>
        <s v="MATA FISHKA J.SZARY"/>
        <s v="SLOW FIBOOWL MINI RÓŻOWY"/>
        <s v="SLOW FIBOOWL MINI FIOLET"/>
        <s v="SLOW FIBOOWL MINI C.NIEBIESKI"/>
        <s v="SLOW FIBOOWL MINI ŻÓŁTY "/>
        <s v="SLOW FIBOOWL MINI ZIELONY"/>
        <s v="SLOW FIBOOWL MINI C.ZIELONY"/>
        <s v="SLOW FIBOOWL MINI BORDOWY"/>
        <s v="SLOW FIBOOWL MINI GRANAT"/>
        <s v="FIBSY NIEBIESKI FUTTERHAUS"/>
        <s v="FIBSY FUTTERHAUS RÓŻOWY"/>
        <s v="FIBSY FUTTERHAUS ŻÓLTY"/>
        <s v="FIBOONE BIG PUPPY EUROPRIS"/>
        <s v="FIBOONE DENTAL MONSTER POMARAŃCZOWY"/>
        <s v="FIBOONE DENTAL MONSTER ŻÓŁTY"/>
        <s v="FIBOONE DENTAL MONSTER NIEBIESKI"/>
        <s v="LICK FIBOOWL MINI ŻÓŁTY"/>
        <s v="LICK FIBOOWL MINI RÓŻOWY"/>
        <s v="LICK FIBOOWL MINI ZIELONY"/>
        <s v="LICK FIBOOWL MINI C.ZIELONY"/>
        <s v="LICK FIBOOWL MINI FIOLETOWY"/>
        <s v="FIBOONE PUPPY RÓŻ"/>
        <s v="FRINGOO EUROPRIS"/>
        <s v="FIBOONE DENTAL MONSTER EUROPRIS"/>
        <s v="FIBOONE DENTAL RÓŻOWY"/>
        <s v="FIBOONE DENTAL EUROPLIS"/>
        <s v="MATA FIZZA"/>
        <s v="MATA SPACEFIB"/>
        <s v="SLOW FIBOOWL EUROPRIS"/>
        <s v="SNACK FIBEEK FUTTERHAUS"/>
        <s v="SZCZOTKA TWARDA "/>
        <s v="SZCZOTKA MIEKKA EUROPRIS"/>
        <s v="SNACK FIBOOL SOFT EUROPRIS"/>
        <s v="SLOW FIBOOWL BORDOWY"/>
        <s v="SLOW FIBOOWL GRANATOWY"/>
        <s v="SLOW FIBOOWL C.ZIELONY"/>
        <s v="LOLLIPOP WALLY EUROPRIS"/>
        <s v="SNACK FIBOOLL SOFT FIOLETOWY"/>
        <s v="SNACK FIBOOLL SOFT MIĘTOWY"/>
        <s v="SNACK FIBOOLL SOFT KORALOWY"/>
        <s v="SNACK FIBOOLL POMARAŃCZOWY"/>
        <s v="SNACK FIBOOLL NIEBIESKI"/>
        <s v="SNACK FIBOOLL ZIELONY"/>
        <s v="SNACK FIBOOLL ŻÓLTY"/>
        <s v="SNAK FIBOOL RÓŻOWY"/>
        <s v="MATA 47x30 FUTTERHAUS SZARA"/>
        <s v="LOLLIPOP WALLY GRANATOWY"/>
        <s v="LOLLIPOP WALLY C.ZIELONY"/>
        <s v="LOLLIPOP WALLY BORDOWY"/>
        <s v="LOLLIPOP WALLY ŻÓŁTY"/>
        <s v="LOLLIPOP WALLY RÓŻOWY"/>
        <s v="LOLLIPOP WALLY ZIELONY"/>
        <s v="FIBOOFFET SZARY"/>
        <s v="FIBOOFFET RÓŻOWY"/>
        <s v="MATA 32x32 C.NIEBIESKI"/>
        <s v="MATA 32x32 JASNO SZARY"/>
        <s v="MISKA L ZIELONA"/>
        <s v="MISKA L NIEBIESKA"/>
        <s v="MISKA L CIEMNO SZARY"/>
        <s v="MATA 32x32 C.SZARY FUTTERHAUS"/>
        <s v="MATA 32x32 BEŻ FUTTERHAUS"/>
        <s v="MATA 32x32 RÓŻOWY FUTTERHAUS"/>
        <s v="FIBOOWL L RÓŻOWY"/>
        <s v="FIBOOWL L CIEMNO NIEBIESKI"/>
        <s v="FIBOOWL L ŻÓŁTY"/>
        <s v="FIBOOWL L BEŻOWY"/>
        <s v="FIBONNE DENTAL MONSTER ZIELONY"/>
        <s v="FIBONNE DENTAL MONSTER POMARAŃCZOWY"/>
        <s v="FIBOOWL S C.NIEBIESKI"/>
        <s v="FIBOOWL S ZIELONY"/>
        <s v="FIBOOWL S BORDOWY"/>
        <s v="FIBOOWL S ŻÓŁTY"/>
        <s v="FIBOOWL S BUTELKOWA ZIELEŃ"/>
        <s v="FIBOOWL M ZIELONY"/>
        <s v="LOLLIPOP BETTERCAT ŚWIĄTECZNY"/>
        <s v="FIBOONE DENTAL ZIELONY"/>
        <s v="MATA LOLIPOOP STICKY RÓŻOWY"/>
        <s v="MATA LOLIPOOP STICKY NIEBIESKA"/>
        <s v="MATA LOLLIPOP C.SZARY "/>
        <s v="MATA 47x30 FUTTERHAUS RÓŻOWY"/>
        <s v="MATA FIBLITTER 44x44 BETTERCAT"/>
        <s v="MATA FIBLITTER 44x44 BEŻ"/>
        <s v="MATA FIBLITTER 44x44 RÓŻOWA"/>
        <s v="MATA FIBLITTER 44x44 J.SZARY"/>
        <s v="MATA FIBLITTER 44x44 C.SZARY"/>
        <s v="MATA FIBLITTER 44x44 NIEBIESKI"/>
        <s v="MATA FIBLITTER 44x44 FIOLET"/>
        <s v="MATA FIBLITTER 44x44 CZARNY"/>
        <s v="MATA FIBLITTER 44x44 BRIT"/>
        <s v="FRINGOO MINI RÓŻOWY"/>
        <s v="FRINGOO MINI NIEBIESKI"/>
        <s v="FRINGOO MINI POMARAŃCZ"/>
        <s v="FRINGOO MINI ŻÓŁTY"/>
        <s v="FRINGOO MINI ZIELONY"/>
        <s v="LICK FIBOOWL FIOLETOWY"/>
        <s v="LICK FIBOOWL GRANATOWY"/>
        <s v="LICK FIBOOWL BORDOWY"/>
        <s v="LICK FIBOOWL BUTELKOWA ZIELEŃ "/>
        <s v="LICK FIBOOWL ŻÓŁTY"/>
        <s v="LOLLIPOP ZIELONY"/>
        <s v="LOLLIPOP NIEBIESKI"/>
        <s v="LOLLIPOP GRANATOWY"/>
        <s v="LOLLIPOP RÓŻOWY"/>
        <s v="LOLLIPOP J.SZARY"/>
        <s v="LICK FIBOOWL MINI BORDOWY"/>
        <s v="LICK FIBOOWL MINI GRANATOWY"/>
        <s v="SLOW FIBOOWL CIEMNO ZIELONY"/>
        <s v="LOLLIPOP MINI C.NIEBIESKI"/>
        <s v="LOLLIPOP MINI BEŻOWY"/>
        <s v="LOLLIPOP MINI J.SZARY"/>
        <s v="LOLLIPOP MINI C.SZARY"/>
        <s v="LOLLIPOP MINI ZIELONY"/>
        <s v="FLIP FIBOOWL BUTELKOWA ZIELEŃ "/>
        <s v="FLIP FIBOOWL FIOLETOWY"/>
        <s v="FLIP FIBOOWL RÓŻOWY"/>
        <s v="FLIP FIBOOWL BORDOWY"/>
        <s v="FLIP FIBOOWL C.NIEBIESKI"/>
        <s v="FLIP FIBOOWL GRANATOWY"/>
        <s v="FLIP FIBOOWL ZIELONY"/>
        <s v="FLIP FIBOOWL ŻÓŁTY"/>
        <s v="GUMKI DO MISEK DUŻE"/>
        <s v="POKRYWKA FIBOO LID FIBEEK PEŁNY"/>
        <s v="LOLLIPOP STICKY C.SZARY "/>
        <s v="LOLLIPOP STICKY RÓŻOWY"/>
        <s v="MATA 47x30 CIEMNO SZARY FUTTERHAS"/>
        <s v="MATA 47x30 CIEMNO SZARY    "/>
        <s v="MATA 47x30 RÓZOWY"/>
        <s v="MATA 47x30 JASNO SZARY"/>
        <s v="MATA POD MISKI FIOLETOWY"/>
        <s v="MATA POD MISKI SZAROFIOLETOWY"/>
        <s v="MATA POD MISKI SZAROZIELONY"/>
        <s v="MATA 32x32 RÓŻOWY   "/>
        <s v="MATA 32x32 CIEMNO SZARY"/>
        <s v="SZARPAK FIB GRANATOWY"/>
        <s v="SZARPAK FIB BUTELKOWA ZIELEŃ"/>
        <s v="SZARPAK FIB BORDOWY"/>
        <s v="SZARPAK FIB CZERWONY"/>
        <s v="SNACK FIBOOL SOFT FIOLETOWY"/>
        <s v="SNACK FIBOOL SOFT MIODOWY"/>
        <s v="SZARPAK FIB SOFT FIOLETOWY"/>
        <s v="SZARPAK FIB SOFT MIĘTOWY"/>
        <s v="SZARPAK FIB SOFT MIODOWY"/>
        <s v="SZARPAK FIB SOFT KORALOWY"/>
        <s v="LOLLIPOP WALLY BEŻOWY"/>
        <s v="LOLLIPOP WALLY J.SZARY"/>
        <s v="LOLLIPOP WALLY C.SZARY"/>
        <m/>
        <s v="FIBOONE DENTAL MONSTER"/>
        <s v="MISKA S C.NIEBIESKI "/>
        <s v="MISKA S ŻÓŁTY"/>
        <s v="MISKA S JASNO NIEBIESKI "/>
        <s v="MISKA S BIAŁY"/>
        <s v="FRINGOO  RÓŻOWY"/>
        <s v="FIBOONE BIG PUPPY RÓŻOWY"/>
        <s v="SZARPAK FIBSY RÓŻOWY"/>
      </sharedItems>
    </cacheField>
    <cacheField name="Data rozpoczęcia produkcji " numFmtId="0">
      <sharedItems containsDate="1" containsBlank="1" containsMixedTypes="1" minDate="2025-01-16T00:00:00" maxDate="2026-09-22T00:00:00"/>
    </cacheField>
    <cacheField name="Data zakończenia produkcji" numFmtId="0">
      <sharedItems containsDate="1" containsBlank="1" containsMixedTypes="1" minDate="2026-01-15T00:00:00" maxDate="2026-09-19T00:00:00"/>
    </cacheField>
    <cacheField name="Nr zamówienia _x000a_wewn." numFmtId="0">
      <sharedItems containsBlank="1"/>
    </cacheField>
    <cacheField name="Nr wtryskarki" numFmtId="0">
      <sharedItems containsString="0" containsBlank="1" containsNumber="1" containsInteger="1" minValue="1" maxValue="9"/>
    </cacheField>
    <cacheField name="Ilość łączna wyprodukowanych elementów" numFmtId="0">
      <sharedItems containsString="0" containsBlank="1" containsNumber="1" containsInteger="1" minValue="103" maxValue="60000"/>
    </cacheField>
    <cacheField name="Czas cyklu [s] - na maszynie" numFmtId="0">
      <sharedItems containsString="0" containsBlank="1" containsNumber="1" minValue="28.45" maxValue="86.5"/>
    </cacheField>
    <cacheField name="Średnia ilość produkowanych detali na 1 zmianę [8h]" numFmtId="0">
      <sharedItems containsString="0" containsBlank="1" containsNumber="1" containsInteger="1" minValue="173" maxValue="4997"/>
    </cacheField>
    <cacheField name="Krotność formy" numFmtId="0">
      <sharedItems containsString="0" containsBlank="1" containsNumber="1" containsInteger="1" minValue="1" maxValue="8"/>
    </cacheField>
    <cacheField name="Realny czas cyklu  (uwzględniający brakowe cykle)  " numFmtId="0">
      <sharedItems containsBlank="1" containsMixedTypes="1" containsNumber="1" minValue="28.458498023715414" maxValue="332.94797687861274"/>
    </cacheField>
    <cacheField name="Szacunkowy poziom braków [%]" numFmtId="0">
      <sharedItems containsString="0" containsBlank="1" containsNumber="1" containsInteger="1" minValue="8" maxValue="2400" count="96">
        <m/>
        <n v="322"/>
        <n v="70"/>
        <n v="60"/>
        <n v="242"/>
        <n v="82"/>
        <n v="130"/>
        <n v="65"/>
        <n v="23"/>
        <n v="36"/>
        <n v="58"/>
        <n v="169"/>
        <n v="14"/>
        <n v="147"/>
        <n v="106"/>
        <n v="22"/>
        <n v="640"/>
        <n v="215"/>
        <n v="72"/>
        <n v="144"/>
        <n v="1382"/>
        <n v="155"/>
        <n v="243"/>
        <n v="133"/>
        <n v="176"/>
        <n v="51"/>
        <n v="149"/>
        <n v="66"/>
        <n v="10"/>
        <n v="55"/>
        <n v="40"/>
        <n v="26"/>
        <n v="77"/>
        <n v="43"/>
        <n v="267"/>
        <n v="28"/>
        <n v="8"/>
        <n v="24"/>
        <n v="46"/>
        <n v="443"/>
        <n v="512"/>
        <n v="275"/>
        <n v="260"/>
        <n v="460"/>
        <n v="210"/>
        <n v="103"/>
        <n v="73"/>
        <n v="195"/>
        <n v="173"/>
        <n v="16"/>
        <n v="178"/>
        <n v="30"/>
        <n v="44"/>
        <n v="32"/>
        <n v="42"/>
        <n v="244"/>
        <n v="52"/>
        <n v="228"/>
        <n v="13"/>
        <n v="67"/>
        <n v="12"/>
        <n v="63"/>
        <n v="33"/>
        <n v="37"/>
        <n v="19"/>
        <n v="29"/>
        <n v="120"/>
        <n v="504"/>
        <n v="20"/>
        <n v="50"/>
        <n v="121"/>
        <n v="211"/>
        <n v="234"/>
        <n v="2400"/>
        <n v="112"/>
        <n v="54"/>
        <n v="11"/>
        <n v="47"/>
        <n v="154"/>
        <n v="62"/>
        <n v="64"/>
        <n v="79"/>
        <n v="68"/>
        <n v="93"/>
        <n v="146"/>
        <n v="84"/>
        <n v="76"/>
        <n v="31"/>
        <n v="100"/>
        <n v="360"/>
        <n v="170"/>
        <n v="87"/>
        <n v="57"/>
        <n v="53"/>
        <n v="96"/>
        <n v="101"/>
      </sharedItems>
    </cacheField>
    <cacheField name="Waga netto 1 sztuki [kg]" numFmtId="0">
      <sharedItems containsString="0" containsBlank="1" containsNumber="1" minValue="0.45" maxValue="1154.2"/>
    </cacheField>
    <cacheField name="Waga brutto - cały wtrysk z wlewkiem [kg]" numFmtId="0">
      <sharedItems containsString="0" containsBlank="1" containsNumber="1" minValue="0.45" maxValue="496.4" count="244">
        <n v="45.7"/>
        <n v="45.8"/>
        <n v="45.5"/>
        <n v="118.6"/>
        <n v="249.4"/>
        <n v="238.9"/>
        <n v="57.2"/>
        <n v="230.8"/>
        <n v="253.4"/>
        <n v="255.4"/>
        <n v="123.4"/>
        <n v="123.7"/>
        <n v="123"/>
        <n v="208.6"/>
        <n v="210.3"/>
        <n v="210"/>
        <n v="209.4"/>
        <n v="212.2"/>
        <n v="400"/>
        <n v="107"/>
        <n v="101.8"/>
        <n v="102.7"/>
        <n v="102.5"/>
        <n v="102.8"/>
        <n v="212.8"/>
        <n v="62.3"/>
        <n v="63"/>
        <n v="63.1"/>
        <n v="62.7"/>
        <n v="63.3"/>
        <n v="129.4"/>
        <n v="241.3"/>
        <n v="99.1"/>
        <n v="121.1"/>
        <n v="233"/>
        <n v="234.5"/>
        <n v="233.7"/>
        <n v="108.9"/>
        <n v="108.3"/>
        <n v="109.1"/>
        <n v="109.4"/>
        <n v="109.5"/>
        <n v="124"/>
        <n v="123.3"/>
        <n v="124.8"/>
        <n v="124.9"/>
        <n v="157.80000000000001"/>
        <n v="156.4"/>
        <n v="160"/>
        <n v="156.6"/>
        <n v="158.6"/>
        <n v="157.5"/>
        <n v="170.5"/>
        <n v="136.6"/>
        <n v="136.5"/>
        <n v="10.199999999999999"/>
        <n v="121.4"/>
        <n v="121.9"/>
        <n v="121.6"/>
        <n v="125.5"/>
        <n v="126.2"/>
        <n v="130"/>
        <n v="219"/>
        <n v="218.7"/>
        <n v="217.7"/>
        <n v="210.9"/>
        <n v="211.3"/>
        <n v="208.9"/>
        <n v="211.8"/>
        <n v="159.30000000000001"/>
        <n v="154.19999999999999"/>
        <n v="145"/>
        <n v="138.6"/>
        <n v="160.5"/>
        <n v="164.8"/>
        <n v="166.3"/>
        <n v="166.2"/>
        <n v="166.4"/>
        <n v="346.2"/>
        <n v="349.6"/>
        <n v="346.4"/>
        <n v="153.4"/>
        <n v="154.6"/>
        <n v="154.1"/>
        <n v="53.8"/>
        <n v="139.19999999999999"/>
        <n v="139.30000000000001"/>
        <n v="57.7"/>
        <n v="58.2"/>
        <n v="58.3"/>
        <n v="58.7"/>
        <n v="59.7"/>
        <n v="59.2"/>
        <n v="59.9"/>
        <n v="166.1"/>
        <n v="165.7"/>
        <n v="209.2"/>
        <n v="128.1"/>
        <n v="129"/>
        <n v="376.5"/>
        <n v="126.3"/>
        <n v="126.5"/>
        <n v="496.4"/>
        <n v="483.1"/>
        <n v="483.2"/>
        <n v="168.4"/>
        <n v="92.9"/>
        <n v="62.9"/>
        <n v="62.2"/>
        <n v="61.8"/>
        <n v="62.6"/>
        <n v="107.9"/>
        <n v="108.6"/>
        <n v="108.1"/>
        <n v="108.4"/>
        <n v="232.1"/>
        <n v="230.5"/>
        <n v="233.9"/>
        <n v="108.5"/>
        <n v="487.5"/>
        <n v="487.3"/>
        <n v="490.7"/>
        <n v="493.4"/>
        <n v="72.400000000000006"/>
        <n v="72.3"/>
        <n v="28.8"/>
        <n v="124.7"/>
        <n v="491.3"/>
        <n v="218"/>
        <n v="124.4"/>
        <n v="131.6"/>
        <n v="122.5"/>
        <n v="212"/>
        <n v="220.3"/>
        <n v="111.2"/>
        <n v="111.4"/>
        <n v="138"/>
        <n v="112"/>
        <n v="213.6"/>
        <n v="212.3"/>
        <n v="212.9"/>
        <n v="214.9"/>
        <n v="129.80000000000001"/>
        <n v="137.80000000000001"/>
        <n v="138.5"/>
        <n v="152.5"/>
        <n v="151.19999999999999"/>
        <n v="150.9"/>
        <n v="129.30000000000001"/>
        <n v="219.3"/>
        <n v="131.19999999999999"/>
        <n v="131.30000000000001"/>
        <n v="427.5"/>
        <n v="214.6"/>
        <n v="241.2"/>
        <n v="154.80000000000001"/>
        <n v="241.6"/>
        <n v="241.7"/>
        <n v="205.8"/>
        <n v="249.8"/>
        <n v="250.8"/>
        <n v="139.6"/>
        <n v="496.2"/>
        <n v="493.3"/>
        <n v="57.1"/>
        <n v="57.3"/>
        <n v="56.9"/>
        <n v="57.4"/>
        <n v="57.9"/>
        <n v="58.5"/>
        <n v="58.4"/>
        <n v="126"/>
        <n v="117.9"/>
        <n v="109.7"/>
        <n v="224.6"/>
        <n v="224.8"/>
        <n v="128.9"/>
        <n v="128.6"/>
        <n v="400.5"/>
        <n v="400.4"/>
        <n v="450.3"/>
        <n v="208.3"/>
        <n v="0.45"/>
        <n v="62.5"/>
        <n v="62.8"/>
        <n v="142"/>
        <n v="142.5"/>
        <n v="141.9"/>
        <n v="143.5"/>
        <n v="141.6"/>
        <n v="142.30000000000001"/>
        <n v="142.6"/>
        <n v="120"/>
        <n v="119.6"/>
        <n v="119.8"/>
        <n v="119.9"/>
        <n v="72.5"/>
        <n v="71.900000000000006"/>
        <n v="207"/>
        <n v="209"/>
        <n v="208.4"/>
        <n v="44.6"/>
        <n v="44.5"/>
        <n v="44.8"/>
        <n v="130.5"/>
        <n v="133.5"/>
        <n v="134.19999999999999"/>
        <n v="133.80000000000001"/>
        <n v="133.19999999999999"/>
        <n v="131.5"/>
        <n v="132.19999999999999"/>
        <n v="24"/>
        <n v="127.9"/>
        <n v="127"/>
        <n v="400.3"/>
        <n v="250"/>
        <n v="157"/>
        <n v="156.9"/>
        <n v="158.5"/>
        <n v="158.80000000000001"/>
        <n v="240.5"/>
        <n v="240"/>
        <n v="221"/>
        <n v="134.4"/>
        <n v="137.6"/>
        <n v="207.5"/>
        <n v="142.9"/>
        <n v="144"/>
        <n v="143.69999999999999"/>
        <n v="131"/>
        <n v="127.7"/>
        <n v="129.69999999999999"/>
        <m/>
        <n v="167.8"/>
        <n v="245.2"/>
        <n v="62"/>
        <n v="63.2"/>
        <n v="63.5"/>
        <n v="65"/>
        <n v="216.6"/>
        <n v="107.7"/>
        <n v="106.8"/>
        <n v="126.6"/>
        <n v="223.6"/>
      </sharedItems>
    </cacheField>
    <cacheField name="Waga 1 sztuki brutto" numFmtId="0">
      <sharedItems containsBlank="1" containsMixedTypes="1" containsNumber="1" minValue="0.45" maxValue="450.3"/>
    </cacheField>
    <cacheField name="Ilość sztuk w kartonie " numFmtId="0">
      <sharedItems containsBlank="1" containsMixedTypes="1" containsNumber="1" containsInteger="1" minValue="10" maxValue="18000"/>
    </cacheField>
    <cacheField name="Waga kartonu " numFmtId="0">
      <sharedItems containsString="0" containsBlank="1" containsNumber="1" minValue="1.4" maxValue="250"/>
    </cacheField>
    <cacheField name="Rodzaj kartonu" numFmtId="0">
      <sharedItems containsBlank="1" containsMixedTypes="1" containsNumber="1" minValue="4.6500000000000004" maxValue="14" count="15">
        <s v="P5"/>
        <s v="P2"/>
        <s v="P6"/>
        <s v="KM"/>
        <s v="94/35/6"/>
        <s v="60/40/30"/>
        <s v="32/32/9"/>
        <s v="P7"/>
        <s v="P1"/>
        <s v="22;22;6"/>
        <s v="FIBOO"/>
        <m/>
        <n v="4.6500000000000004"/>
        <n v="14"/>
        <n v="5"/>
      </sharedItems>
    </cacheField>
    <cacheField name="Wzór produkcyjny nr. " numFmtId="0">
      <sharedItems containsBlank="1"/>
    </cacheField>
    <cacheField name="Symbol tworzywa" numFmtId="0">
      <sharedItems containsBlank="1" count="43">
        <s v="HRC9480/230 KRAIBURG"/>
        <s v="HRC9480/230 KRAIBURG 95% PP TATREN IM 2263 5%"/>
        <s v="HRC9480/230 KRAIBURG 95% PP TATREN IM2263 5%"/>
        <s v="HRC9480/230 KRAIBURG "/>
        <s v="R+PET CL-80M PRT RADOMSKO"/>
        <s v="RAVATHANE 130 A93 RESINEX"/>
        <s v="GPL-GRANSEB 80G/000/139 GRANPOL"/>
        <s v="GRANSEB-75G/TRANSPARENTNY 1/139 GRANPOL"/>
        <s v="HRC9480/230 KRAIBURG 95% PP TATREN IM2263 BCD 5%"/>
        <s v="HRC9480/230 KRAIBURG 50% HRC9480/451 KRAIBURG 50%"/>
        <s v="HRC9480/230 KRAIBURG 90% PP TATREN IM2263 BCD 10%"/>
        <s v="HRC9480/230 KRAIBURG 85% PP TATREN IM2263 BCD 15%"/>
        <s v="HRC9480/230  KRAIBURG"/>
        <s v="HRC9480/230 KRAIBURG          PP TATREN IM2263 BCD"/>
        <s v="HRC9480/230 KRAIBURG           PP TATREN IM 2263 BCD"/>
        <s v="HRC9480/230 KRAIBURG        PP TATREN IM2263 BCD"/>
        <s v="HRC9480/230 KRAIBURG           PP TATREN IM2263 BCD"/>
        <s v="HRC9480/230 KRAIBURG                     PP TATREN IM 2263 BCD"/>
        <s v="HRC9480/230 KRAIBURG 95% PP TATREN IM 2263 BCD 5%"/>
        <s v="HRC94180/230 KRAIBURG 95% TATREN IM2263 5%"/>
        <s v="HRC9480/230 KRAIBURG 95% TATREN IM2263 5%"/>
        <s v="HRC9480/230 KRAIBURG 95%%  TATREN IM2263 5%"/>
        <s v="TPE-S-GPL-GRANSEB 80G/000/139 GRANPOL"/>
        <s v="GRANPOL TPE-S-GRANSEB 80G/000/139"/>
        <s v="HRC9480/230 KRAIBURG 90% PP TATREN IM2263  10%"/>
        <s v="HRC9480/230 KRAIBURG 95% PP TATRENIM2263 BCD 5%"/>
        <s v="GRANSEB 80 GRANPOL"/>
        <s v="HRC9480/230 KRAIBURG 80% PP TATREN IM2263 BCD 20%"/>
        <s v="GRANSEB -80 GRANPOL"/>
        <s v="GRANSEB-80 GRANPOL"/>
        <s v="HRC9480/230 KRAIBURG 90% PPCOPO IM 2263 10%"/>
        <s v="HRC9480/230 KRAIBURG 90% PPCOPO IM2263 BCD 10%"/>
        <s v="HRC9480/230 KRAIBURG 90% PP TATREN IM2263 10%"/>
        <s v="HRC9480/230 KRAIBURG 90% PP MOPLEN EP 548 R 10%"/>
        <s v="HRC9480/230 KRAIBURG 95% PP MOPLEN EP 548 R 5%"/>
        <s v="GRANSEB 75G/TRANSP./1/139 GRANPOL"/>
        <s v="DRYFLEX-UV-403731"/>
        <s v="HRC9480/230 KRAIBURG 95% PP MOPLEN EP 548R 5%"/>
        <m/>
        <s v="HRC9480/230 KRAIBURG 95% PP MOPLEN EP 548 R BCD 5%"/>
        <s v="HRC9480/230 KRAIBURG95% PP MOPLEN EP 548 R 5%"/>
        <s v="GRANPOL-TPE-S GPL-GRANSEB-80G/000/139-NATURAL"/>
        <s v="GPL-GRANSEB-80G/000/139"/>
      </sharedItems>
    </cacheField>
    <cacheField name="Symbol barwnika" numFmtId="0">
      <sharedItems containsBlank="1"/>
    </cacheField>
    <cacheField name="Dozowanie _x000a_barwnika_x000a_[%} " numFmtId="0">
      <sharedItems containsBlank="1" containsMixedTypes="1" containsNumber="1" minValue="0.02" maxValue="0.05"/>
    </cacheField>
    <cacheField name="Kto zakładał formę " numFmtId="0">
      <sharedItems containsBlank="1" count="17">
        <s v="ŁUKASZ"/>
        <s v="KRYSTIAN"/>
        <m/>
        <s v="ANDRZEJ"/>
        <s v="ŁUKASZ WOJTEK"/>
        <s v="ŁUKASZ ANDRZEJ"/>
        <s v="WOJTEK"/>
        <s v="KACPER"/>
        <s v="KACPER ŁUKASZ"/>
        <s v="ŁUKASZ KRYSTIAN"/>
        <s v="WOJTEK ŁUKASZ"/>
        <s v="KACPER WOJTEK"/>
        <s v="KRYSTIAN ŁUKASZ"/>
        <s v="ŁUKASZ "/>
        <s v="ŁUKASZ KACPER"/>
        <s v="KRYSTIAN  "/>
        <s v="WOJTEK KRYSTIAN"/>
      </sharedItems>
    </cacheField>
    <cacheField name="Kto demontował formę " numFmtId="0">
      <sharedItems containsBlank="1"/>
    </cacheField>
    <cacheField name="Wzór z zakończoenia produkcji" numFmtId="0">
      <sharedItems containsBlank="1"/>
    </cacheField>
    <cacheField name="Uwagi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1">
  <r>
    <s v="1."/>
    <x v="0"/>
    <d v="2026-01-14T00:00:00"/>
    <d v="2026-01-15T00:00:00"/>
    <s v="08/2026"/>
    <n v="4"/>
    <n v="1005"/>
    <n v="36"/>
    <n v="800"/>
    <n v="1"/>
    <n v="36"/>
    <x v="0"/>
    <n v="45.2"/>
    <x v="0"/>
    <n v="45.7"/>
    <n v="175"/>
    <n v="8.0500000000000007"/>
    <x v="0"/>
    <s v="26/01-A"/>
    <x v="0"/>
    <s v="GM-32218E "/>
    <n v="0.02"/>
    <x v="0"/>
    <m/>
    <m/>
    <m/>
  </r>
  <r>
    <s v="2."/>
    <x v="1"/>
    <d v="2026-01-15T00:00:00"/>
    <d v="2026-01-16T00:00:00"/>
    <s v="08/2026"/>
    <n v="4"/>
    <n v="1020"/>
    <n v="36.1"/>
    <n v="797"/>
    <n v="1"/>
    <n v="36.135508155583437"/>
    <x v="1"/>
    <n v="45.3"/>
    <x v="1"/>
    <n v="45.8"/>
    <n v="175"/>
    <n v="8.0500000000000007"/>
    <x v="0"/>
    <s v="26/01-B"/>
    <x v="0"/>
    <s v="GM41373P"/>
    <n v="0.03"/>
    <x v="0"/>
    <m/>
    <m/>
    <m/>
  </r>
  <r>
    <s v="3."/>
    <x v="2"/>
    <d v="2025-01-16T00:00:00"/>
    <d v="2026-01-19T00:00:00"/>
    <s v="08/2026"/>
    <n v="4"/>
    <n v="600"/>
    <n v="36.1"/>
    <n v="797"/>
    <n v="1"/>
    <n v="36.135508155583437"/>
    <x v="0"/>
    <n v="45"/>
    <x v="2"/>
    <n v="45.5"/>
    <n v="175"/>
    <n v="8.0500000000000007"/>
    <x v="0"/>
    <s v="25/01-C"/>
    <x v="0"/>
    <s v="GM10684P"/>
    <n v="0.02"/>
    <x v="0"/>
    <s v="KACER"/>
    <s v="TAK"/>
    <m/>
  </r>
  <r>
    <s v="4."/>
    <x v="3"/>
    <d v="2026-01-14T00:00:00"/>
    <d v="2026-01-21T00:00:00"/>
    <s v="07/2026"/>
    <n v="3"/>
    <n v="6000"/>
    <n v="45.7"/>
    <n v="630"/>
    <n v="1"/>
    <n v="45.714285714285715"/>
    <x v="0"/>
    <n v="118"/>
    <x v="3"/>
    <n v="118.6"/>
    <n v="40"/>
    <n v="4.95"/>
    <x v="0"/>
    <s v="26/01-A"/>
    <x v="0"/>
    <s v="GM12197E"/>
    <n v="0.02"/>
    <x v="0"/>
    <s v="ŁUKASZ"/>
    <s v="NIE"/>
    <m/>
  </r>
  <r>
    <s v="5."/>
    <x v="4"/>
    <d v="2026-01-20T00:00:00"/>
    <d v="2026-01-21T00:00:00"/>
    <s v="14/2026"/>
    <n v="2"/>
    <n v="850"/>
    <n v="45.4"/>
    <n v="634"/>
    <n v="1"/>
    <n v="45.425867507886437"/>
    <x v="2"/>
    <n v="248.7"/>
    <x v="4"/>
    <n v="249.4"/>
    <n v="25"/>
    <n v="6.75"/>
    <x v="1"/>
    <s v="26/01-A"/>
    <x v="1"/>
    <s v="GM-32218E "/>
    <n v="0.02"/>
    <x v="1"/>
    <m/>
    <m/>
    <m/>
  </r>
  <r>
    <s v="6."/>
    <x v="5"/>
    <d v="2026-01-21T00:00:00"/>
    <d v="2026-01-22T00:00:00"/>
    <s v="14/2026"/>
    <n v="2"/>
    <n v="1300"/>
    <n v="45.4"/>
    <n v="364"/>
    <n v="1"/>
    <n v="79.120879120879124"/>
    <x v="3"/>
    <n v="237.5"/>
    <x v="5"/>
    <n v="238.9"/>
    <n v="25"/>
    <n v="6.75"/>
    <x v="1"/>
    <s v="26/01-B"/>
    <x v="1"/>
    <s v="GM-80690E "/>
    <n v="0.02"/>
    <x v="1"/>
    <m/>
    <m/>
    <m/>
  </r>
  <r>
    <s v="7."/>
    <x v="6"/>
    <d v="2026-01-21T00:00:00"/>
    <d v="2026-01-26T00:00:00"/>
    <s v="15/2026"/>
    <n v="4"/>
    <n v="5218"/>
    <n v="33.1"/>
    <n v="870"/>
    <n v="1"/>
    <n v="33.103448275862071"/>
    <x v="4"/>
    <n v="56.7"/>
    <x v="6"/>
    <n v="57.2"/>
    <n v="175"/>
    <n v="10.7"/>
    <x v="2"/>
    <s v="26/01-A"/>
    <x v="1"/>
    <s v="GM-12197E"/>
    <n v="0.02"/>
    <x v="0"/>
    <m/>
    <m/>
    <m/>
  </r>
  <r>
    <s v="8."/>
    <x v="7"/>
    <d v="2026-01-22T00:00:00"/>
    <d v="2026-01-23T00:00:00"/>
    <s v="16/2026"/>
    <n v="2"/>
    <n v="323"/>
    <n v="45.5"/>
    <n v="633"/>
    <n v="1"/>
    <n v="45.497630331753555"/>
    <x v="0"/>
    <n v="229.1"/>
    <x v="7"/>
    <n v="230.8"/>
    <n v="25"/>
    <n v="6.75"/>
    <x v="1"/>
    <s v="26/01-A"/>
    <x v="1"/>
    <s v="GM80690E"/>
    <n v="0.02"/>
    <x v="1"/>
    <m/>
    <m/>
    <m/>
  </r>
  <r>
    <s v="9."/>
    <x v="8"/>
    <d v="2026-01-23T00:00:00"/>
    <d v="2026-01-23T00:00:00"/>
    <s v="16/2026"/>
    <n v="2"/>
    <n v="555"/>
    <n v="45.5"/>
    <n v="633"/>
    <n v="1"/>
    <n v="45.497630331753555"/>
    <x v="5"/>
    <n v="244.4"/>
    <x v="8"/>
    <n v="253.4"/>
    <n v="25"/>
    <n v="6.75"/>
    <x v="1"/>
    <s v="26/01-B"/>
    <x v="1"/>
    <s v="GM-53281E"/>
    <n v="0.02"/>
    <x v="2"/>
    <m/>
    <m/>
    <m/>
  </r>
  <r>
    <s v="10."/>
    <x v="9"/>
    <d v="2026-01-26T00:00:00"/>
    <d v="2026-01-26T00:00:00"/>
    <s v="16/2026"/>
    <n v="2"/>
    <n v="504"/>
    <n v="66.7"/>
    <n v="432"/>
    <n v="1"/>
    <n v="66.666666666666671"/>
    <x v="6"/>
    <n v="254.4"/>
    <x v="9"/>
    <n v="255.4"/>
    <n v="25"/>
    <n v="6.75"/>
    <x v="1"/>
    <s v="26/01-C"/>
    <x v="1"/>
    <s v="GM41373P"/>
    <n v="0.02"/>
    <x v="2"/>
    <m/>
    <m/>
    <m/>
  </r>
  <r>
    <s v="11."/>
    <x v="10"/>
    <d v="2026-01-23T00:00:00"/>
    <d v="2026-01-26T00:00:00"/>
    <s v="18/2026"/>
    <n v="3"/>
    <n v="500"/>
    <n v="48"/>
    <n v="600"/>
    <n v="1"/>
    <n v="48"/>
    <x v="0"/>
    <n v="122.1"/>
    <x v="10"/>
    <n v="123.4"/>
    <n v="40"/>
    <n v="5.0999999999999996"/>
    <x v="0"/>
    <s v="26/01-A"/>
    <x v="1"/>
    <s v="GM-12197E"/>
    <n v="0.02"/>
    <x v="1"/>
    <m/>
    <m/>
    <m/>
  </r>
  <r>
    <s v="12."/>
    <x v="11"/>
    <d v="2026-01-26T00:00:00"/>
    <s v="27.01.20256"/>
    <s v="18/2026"/>
    <n v="3"/>
    <n v="920"/>
    <n v="47.9"/>
    <n v="601"/>
    <n v="1"/>
    <n v="47.920133111480865"/>
    <x v="0"/>
    <n v="123"/>
    <x v="11"/>
    <n v="123.7"/>
    <n v="40"/>
    <n v="5.0999999999999996"/>
    <x v="0"/>
    <s v="26/01-B"/>
    <x v="1"/>
    <s v="GM-53281E  "/>
    <n v="0.02"/>
    <x v="2"/>
    <m/>
    <m/>
    <m/>
  </r>
  <r>
    <s v="13."/>
    <x v="12"/>
    <d v="2026-01-27T00:00:00"/>
    <d v="2026-01-28T00:00:00"/>
    <s v="18/2026"/>
    <n v="3"/>
    <n v="1000"/>
    <n v="48.1"/>
    <n v="598"/>
    <n v="1"/>
    <n v="48.16053511705686"/>
    <x v="0"/>
    <n v="122.4"/>
    <x v="12"/>
    <n v="123"/>
    <n v="40"/>
    <n v="5.0999999999999996"/>
    <x v="0"/>
    <s v="26/01-C"/>
    <x v="1"/>
    <s v="GM-53281E  "/>
    <n v="0.02"/>
    <x v="2"/>
    <m/>
    <m/>
    <m/>
  </r>
  <r>
    <s v="14."/>
    <x v="13"/>
    <d v="2026-01-28T00:00:00"/>
    <d v="2026-01-29T00:00:00"/>
    <s v="18/2026"/>
    <n v="3"/>
    <n v="1000"/>
    <n v="48.2"/>
    <n v="597"/>
    <n v="1"/>
    <n v="48.241206030150757"/>
    <x v="0"/>
    <n v="122.3"/>
    <x v="12"/>
    <n v="123"/>
    <n v="40"/>
    <n v="5.0999999999999996"/>
    <x v="0"/>
    <s v="26/01-D"/>
    <x v="1"/>
    <s v="GM43107E"/>
    <n v="0.02"/>
    <x v="2"/>
    <m/>
    <m/>
    <m/>
  </r>
  <r>
    <s v="15."/>
    <x v="14"/>
    <d v="2026-01-27T00:00:00"/>
    <s v="27.01,2026"/>
    <s v="17/2026"/>
    <n v="2"/>
    <n v="501"/>
    <n v="67.400000000000006"/>
    <n v="427"/>
    <n v="1"/>
    <n v="67.44730679156909"/>
    <x v="7"/>
    <n v="208"/>
    <x v="13"/>
    <n v="208.6"/>
    <n v="52"/>
    <n v="11.9"/>
    <x v="3"/>
    <s v="26/01-A"/>
    <x v="2"/>
    <s v="GM-53281E"/>
    <n v="0.02"/>
    <x v="0"/>
    <m/>
    <m/>
    <m/>
  </r>
  <r>
    <s v="16."/>
    <x v="15"/>
    <d v="2026-01-27T00:00:00"/>
    <d v="2026-01-28T00:00:00"/>
    <s v="17/2026"/>
    <n v="2"/>
    <n v="520"/>
    <n v="72.2"/>
    <n v="399"/>
    <n v="1"/>
    <n v="72.180451127819552"/>
    <x v="8"/>
    <n v="209.7"/>
    <x v="14"/>
    <n v="210.3"/>
    <n v="52"/>
    <n v="11.9"/>
    <x v="3"/>
    <s v="26/01-B"/>
    <x v="1"/>
    <s v="W5-25"/>
    <n v="0.02"/>
    <x v="2"/>
    <m/>
    <m/>
    <m/>
  </r>
  <r>
    <s v="17."/>
    <x v="16"/>
    <d v="2026-01-28T00:00:00"/>
    <d v="2026-01-30T00:00:00"/>
    <s v="17/2026"/>
    <n v="2"/>
    <n v="1200"/>
    <n v="77.400000000000006"/>
    <n v="372"/>
    <n v="1"/>
    <n v="77.41935483870968"/>
    <x v="9"/>
    <n v="209.4"/>
    <x v="15"/>
    <n v="210"/>
    <n v="52"/>
    <n v="11.9"/>
    <x v="3"/>
    <s v="26/01-C"/>
    <x v="1"/>
    <s v="GM-32218E "/>
    <n v="0.02"/>
    <x v="2"/>
    <m/>
    <m/>
    <m/>
  </r>
  <r>
    <s v="18."/>
    <x v="17"/>
    <d v="2026-01-30T00:00:00"/>
    <d v="2026-02-02T00:00:00"/>
    <s v="17/2026"/>
    <n v="2"/>
    <n v="500"/>
    <n v="77.2"/>
    <n v="373"/>
    <n v="1"/>
    <n v="77.211796246648788"/>
    <x v="0"/>
    <n v="208.8"/>
    <x v="16"/>
    <n v="209.4"/>
    <n v="52"/>
    <n v="11.9"/>
    <x v="3"/>
    <s v="26/01-D"/>
    <x v="2"/>
    <s v="GM10684P"/>
    <n v="0.02"/>
    <x v="2"/>
    <m/>
    <m/>
    <m/>
  </r>
  <r>
    <s v="19."/>
    <x v="18"/>
    <d v="2026-02-02T00:00:00"/>
    <d v="2026-02-03T00:00:00"/>
    <s v="17/2026"/>
    <n v="2"/>
    <n v="1248"/>
    <n v="75.599999999999994"/>
    <n v="380"/>
    <n v="1"/>
    <n v="75.78947368421052"/>
    <x v="10"/>
    <n v="211.9"/>
    <x v="17"/>
    <n v="212.2"/>
    <n v="52"/>
    <n v="11.9"/>
    <x v="3"/>
    <s v="26/02-E"/>
    <x v="2"/>
    <s v="GM80690E"/>
    <n v="0.02"/>
    <x v="2"/>
    <s v="KRYSTIAN"/>
    <s v="NIE"/>
    <m/>
  </r>
  <r>
    <s v="20."/>
    <x v="19"/>
    <d v="2026-01-23T00:00:00"/>
    <d v="2026-02-04T00:00:00"/>
    <s v="21/2026"/>
    <n v="8"/>
    <n v="5100"/>
    <n v="71.3"/>
    <n v="404"/>
    <n v="1"/>
    <n v="71.287128712871294"/>
    <x v="0"/>
    <n v="398.7"/>
    <x v="18"/>
    <n v="400"/>
    <n v="20"/>
    <n v="8.1999999999999993"/>
    <x v="4"/>
    <s v="26/01-A"/>
    <x v="3"/>
    <s v="GM 80295"/>
    <n v="0.02"/>
    <x v="0"/>
    <s v="ŁUKASZ"/>
    <s v="NIE"/>
    <m/>
  </r>
  <r>
    <s v="21."/>
    <x v="20"/>
    <d v="2026-01-29T00:00:00"/>
    <d v="2026-01-30T00:00:00"/>
    <s v="26/2026"/>
    <n v="1"/>
    <n v="1285"/>
    <n v="44.7"/>
    <n v="644"/>
    <n v="1"/>
    <n v="44.720496894409941"/>
    <x v="11"/>
    <n v="104.4"/>
    <x v="19"/>
    <n v="107"/>
    <n v="100"/>
    <n v="10.85"/>
    <x v="2"/>
    <s v="26/01/-A"/>
    <x v="4"/>
    <s v="20-33521F PET"/>
    <n v="0.02"/>
    <x v="0"/>
    <m/>
    <m/>
    <m/>
  </r>
  <r>
    <s v="22."/>
    <x v="21"/>
    <d v="2026-02-02T00:00:00"/>
    <d v="2026-02-03T00:00:00"/>
    <s v="26/2026"/>
    <n v="1"/>
    <n v="1225"/>
    <n v="44.7"/>
    <n v="644"/>
    <n v="1"/>
    <n v="44.720496894409941"/>
    <x v="0"/>
    <n v="100.9"/>
    <x v="20"/>
    <n v="101.8"/>
    <n v="100"/>
    <n v="10.85"/>
    <x v="2"/>
    <s v="26/02-B"/>
    <x v="4"/>
    <s v="GM41373P"/>
    <n v="0.02"/>
    <x v="2"/>
    <m/>
    <m/>
    <m/>
  </r>
  <r>
    <s v="23."/>
    <x v="22"/>
    <d v="2026-02-03T00:00:00"/>
    <d v="2026-02-03T00:00:00"/>
    <s v="26/2026"/>
    <n v="1"/>
    <n v="800"/>
    <n v="44.7"/>
    <n v="644"/>
    <n v="1"/>
    <n v="44.720496894409941"/>
    <x v="0"/>
    <n v="101.8"/>
    <x v="21"/>
    <n v="102.7"/>
    <n v="100"/>
    <n v="10.85"/>
    <x v="2"/>
    <s v="26/02-C"/>
    <x v="4"/>
    <s v="GM51745P"/>
    <n v="0.02"/>
    <x v="2"/>
    <m/>
    <m/>
    <m/>
  </r>
  <r>
    <s v="24."/>
    <x v="23"/>
    <d v="2026-02-04T00:00:00"/>
    <d v="2026-02-04T00:00:00"/>
    <s v="26/2026"/>
    <n v="1"/>
    <n v="600"/>
    <n v="44.7"/>
    <n v="644"/>
    <n v="1"/>
    <n v="44.720496894409941"/>
    <x v="12"/>
    <n v="101.6"/>
    <x v="22"/>
    <n v="102.5"/>
    <n v="100"/>
    <n v="10.85"/>
    <x v="2"/>
    <s v="26/02-D"/>
    <x v="4"/>
    <s v="GM51519P"/>
    <n v="0.02"/>
    <x v="2"/>
    <m/>
    <m/>
    <m/>
  </r>
  <r>
    <s v="25."/>
    <x v="24"/>
    <d v="2026-02-04T00:00:00"/>
    <d v="2026-02-05T00:00:00"/>
    <s v="26/2026"/>
    <n v="1"/>
    <n v="500"/>
    <n v="44.7"/>
    <n v="644"/>
    <n v="1"/>
    <n v="44.720496894409941"/>
    <x v="13"/>
    <n v="101.9"/>
    <x v="23"/>
    <n v="102.8"/>
    <n v="100"/>
    <n v="10.85"/>
    <x v="2"/>
    <s v="26/02-E"/>
    <x v="4"/>
    <s v="GM 81071P "/>
    <n v="0.02"/>
    <x v="2"/>
    <s v="KACPER"/>
    <m/>
    <m/>
  </r>
  <r>
    <s v="26."/>
    <x v="25"/>
    <d v="2026-02-04T00:00:00"/>
    <d v="2026-02-10T00:00:00"/>
    <s v="04/2026"/>
    <n v="2"/>
    <n v="3000"/>
    <n v="75.900000000000006"/>
    <n v="380"/>
    <n v="1"/>
    <n v="75.78947368421052"/>
    <x v="14"/>
    <n v="212.1"/>
    <x v="24"/>
    <n v="212.8"/>
    <n v="48"/>
    <n v="11.15"/>
    <x v="5"/>
    <s v="26/02-A"/>
    <x v="2"/>
    <s v="W7131"/>
    <n v="0.03"/>
    <x v="1"/>
    <m/>
    <m/>
    <m/>
  </r>
  <r>
    <s v="27."/>
    <x v="26"/>
    <d v="2026-02-04T00:00:00"/>
    <d v="2026-02-05T00:00:00"/>
    <s v="29/2026"/>
    <n v="8"/>
    <n v="800"/>
    <n v="76.3"/>
    <n v="377"/>
    <n v="1"/>
    <n v="76.392572944297086"/>
    <x v="0"/>
    <n v="398.7"/>
    <x v="18"/>
    <n v="400"/>
    <n v="20"/>
    <n v="8.1999999999999993"/>
    <x v="4"/>
    <s v="26/02-A"/>
    <x v="0"/>
    <s v="GM80690E"/>
    <n v="0.02"/>
    <x v="0"/>
    <m/>
    <m/>
    <m/>
  </r>
  <r>
    <s v="28."/>
    <x v="26"/>
    <d v="2026-02-05T00:00:00"/>
    <d v="2026-02-09T00:00:00"/>
    <s v="29/2026"/>
    <n v="8"/>
    <n v="800"/>
    <n v="76.3"/>
    <n v="377"/>
    <n v="1"/>
    <n v="76.392572944297086"/>
    <x v="9"/>
    <n v="398.7"/>
    <x v="18"/>
    <n v="400"/>
    <n v="20"/>
    <n v="8.1999999999999993"/>
    <x v="4"/>
    <s v="26/02-B"/>
    <x v="0"/>
    <s v="GM-12197E"/>
    <n v="0.02"/>
    <x v="2"/>
    <m/>
    <m/>
    <m/>
  </r>
  <r>
    <s v="29."/>
    <x v="26"/>
    <d v="2026-02-09T00:00:00"/>
    <d v="2026-02-10T00:00:00"/>
    <s v="29/2026"/>
    <n v="8"/>
    <n v="800"/>
    <n v="76.3"/>
    <n v="377"/>
    <n v="1"/>
    <n v="76.392572944297086"/>
    <x v="15"/>
    <n v="398.7"/>
    <x v="18"/>
    <n v="400"/>
    <n v="20"/>
    <n v="8.1999999999999993"/>
    <x v="4"/>
    <s v="26/02-C"/>
    <x v="0"/>
    <s v="GM-32218E "/>
    <n v="0.02"/>
    <x v="2"/>
    <s v="KRYSTIAN"/>
    <s v="NIE"/>
    <m/>
  </r>
  <r>
    <s v="30."/>
    <x v="27"/>
    <d v="2026-02-05T00:00:00"/>
    <d v="2026-02-16T00:00:00"/>
    <s v="28/2026"/>
    <n v="1"/>
    <n v="7800"/>
    <n v="45.1"/>
    <n v="638"/>
    <n v="1"/>
    <n v="45.141065830721004"/>
    <x v="16"/>
    <n v="101.5"/>
    <x v="21"/>
    <n v="102.7"/>
    <n v="100"/>
    <n v="10.85"/>
    <x v="2"/>
    <s v="25/02-A"/>
    <x v="4"/>
    <s v="GM10683P"/>
    <n v="0.02"/>
    <x v="0"/>
    <m/>
    <m/>
    <m/>
  </r>
  <r>
    <s v="31."/>
    <x v="28"/>
    <d v="2026-02-09T00:00:00"/>
    <d v="2026-02-11T00:00:00"/>
    <s v="39/2026"/>
    <n v="5"/>
    <n v="1235"/>
    <n v="31.6"/>
    <n v="911"/>
    <n v="1"/>
    <n v="31.613611416026345"/>
    <x v="0"/>
    <n v="61.7"/>
    <x v="25"/>
    <n v="62.3"/>
    <n v="160"/>
    <n v="10.3"/>
    <x v="1"/>
    <s v="25/02-A"/>
    <x v="4"/>
    <s v="20-33521F PET"/>
    <n v="0.02"/>
    <x v="1"/>
    <m/>
    <m/>
    <m/>
  </r>
  <r>
    <s v="32."/>
    <x v="29"/>
    <d v="2026-02-11T00:00:00"/>
    <d v="2026-02-13T00:00:00"/>
    <s v="39/2026"/>
    <n v="5"/>
    <n v="1038"/>
    <n v="34.520000000000003"/>
    <n v="834"/>
    <n v="1"/>
    <n v="34.532374100719423"/>
    <x v="0"/>
    <n v="61.5"/>
    <x v="26"/>
    <n v="63"/>
    <n v="160"/>
    <n v="10.3"/>
    <x v="1"/>
    <s v="25/02-B"/>
    <x v="4"/>
    <s v="GM41373P"/>
    <n v="0.02"/>
    <x v="2"/>
    <m/>
    <m/>
    <m/>
  </r>
  <r>
    <s v="33."/>
    <x v="30"/>
    <d v="2026-02-16T00:00:00"/>
    <d v="2026-02-17T00:00:00"/>
    <s v="39/2026"/>
    <n v="5"/>
    <n v="2005"/>
    <n v="34.549999999999997"/>
    <n v="833"/>
    <n v="1"/>
    <n v="34.573829531812727"/>
    <x v="17"/>
    <n v="61.5"/>
    <x v="27"/>
    <n v="63.1"/>
    <n v="160"/>
    <n v="10.3"/>
    <x v="1"/>
    <s v="25/02-C"/>
    <x v="4"/>
    <s v="GM41373P"/>
    <n v="0.02"/>
    <x v="2"/>
    <m/>
    <m/>
    <m/>
  </r>
  <r>
    <s v="34."/>
    <x v="31"/>
    <d v="2026-02-17T00:00:00"/>
    <d v="2026-02-17T00:00:00"/>
    <s v="39/2026"/>
    <n v="5"/>
    <n v="700"/>
    <n v="34.549999999999997"/>
    <n v="833"/>
    <n v="1"/>
    <n v="34.573829531812727"/>
    <x v="18"/>
    <n v="61.2"/>
    <x v="28"/>
    <n v="62.7"/>
    <n v="160"/>
    <n v="10.3"/>
    <x v="1"/>
    <s v="25/02-D"/>
    <x v="4"/>
    <s v="GM 801071P"/>
    <n v="0.02"/>
    <x v="2"/>
    <m/>
    <m/>
    <m/>
  </r>
  <r>
    <s v="35."/>
    <x v="32"/>
    <d v="2026-02-18T00:00:00"/>
    <d v="2026-02-18T00:00:00"/>
    <s v="39/2026"/>
    <n v="5"/>
    <n v="546"/>
    <n v="34.549999999999997"/>
    <n v="833"/>
    <n v="1"/>
    <n v="34.573829531812727"/>
    <x v="19"/>
    <n v="61.8"/>
    <x v="29"/>
    <n v="63.3"/>
    <n v="160"/>
    <n v="10.3"/>
    <x v="1"/>
    <s v="25/02-E"/>
    <x v="4"/>
    <s v="GM10683P"/>
    <n v="0.02"/>
    <x v="2"/>
    <m/>
    <m/>
    <m/>
  </r>
  <r>
    <s v="36."/>
    <x v="33"/>
    <d v="2026-02-11T00:00:00"/>
    <d v="2026-02-12T00:00:00"/>
    <s v="36/2026"/>
    <n v="4"/>
    <n v="1035"/>
    <n v="49.1"/>
    <n v="586"/>
    <n v="1"/>
    <n v="49.146757679180887"/>
    <x v="0"/>
    <n v="128.80000000000001"/>
    <x v="30"/>
    <n v="129.4"/>
    <n v="32"/>
    <n v="4.3499999999999996"/>
    <x v="0"/>
    <s v="26/02-A"/>
    <x v="3"/>
    <s v="GM-32218E "/>
    <n v="0.02"/>
    <x v="0"/>
    <m/>
    <m/>
    <m/>
  </r>
  <r>
    <s v="37."/>
    <x v="34"/>
    <d v="2026-02-12T00:00:00"/>
    <d v="2026-02-13T00:00:00"/>
    <s v="36/2026"/>
    <n v="4"/>
    <n v="1024"/>
    <n v="49.1"/>
    <n v="589"/>
    <n v="1"/>
    <n v="48.896434634974533"/>
    <x v="0"/>
    <n v="128.80000000000001"/>
    <x v="30"/>
    <n v="129.4"/>
    <n v="32"/>
    <n v="4.3499999999999996"/>
    <x v="0"/>
    <s v="26/02-B"/>
    <x v="0"/>
    <s v="GM80690E"/>
    <n v="0.02"/>
    <x v="2"/>
    <s v="ŁUKASZ"/>
    <s v="NIE"/>
    <m/>
  </r>
  <r>
    <s v="38."/>
    <x v="35"/>
    <d v="2026-02-10T00:00:00"/>
    <d v="2026-02-11T00:00:00"/>
    <s v="40/2026"/>
    <n v="8"/>
    <n v="1005"/>
    <n v="42.2"/>
    <n v="682"/>
    <n v="1"/>
    <n v="42.228739002932549"/>
    <x v="0"/>
    <n v="240.3"/>
    <x v="31"/>
    <n v="241.3"/>
    <n v="80"/>
    <n v="19.05"/>
    <x v="2"/>
    <s v="26/02-A"/>
    <x v="0"/>
    <s v="GM 80295"/>
    <n v="0.02"/>
    <x v="1"/>
    <m/>
    <m/>
    <m/>
  </r>
  <r>
    <s v="39."/>
    <x v="36"/>
    <d v="2026-02-11T00:00:00"/>
    <d v="2026-02-12T00:00:00"/>
    <s v="40/2026"/>
    <n v="8"/>
    <n v="800"/>
    <n v="41.5"/>
    <n v="693"/>
    <n v="1"/>
    <n v="41.558441558441558"/>
    <x v="0"/>
    <n v="240.3"/>
    <x v="31"/>
    <n v="241.3"/>
    <n v="80"/>
    <n v="19.05"/>
    <x v="2"/>
    <s v="26/02-B"/>
    <x v="0"/>
    <s v="GM80690E"/>
    <n v="0.02"/>
    <x v="2"/>
    <m/>
    <m/>
    <m/>
  </r>
  <r>
    <s v="40."/>
    <x v="37"/>
    <d v="2026-02-12T00:00:00"/>
    <d v="2026-02-12T00:00:00"/>
    <s v="40/2026"/>
    <n v="8"/>
    <n v="560"/>
    <n v="42.8"/>
    <n v="672"/>
    <n v="1"/>
    <n v="42.857142857142854"/>
    <x v="0"/>
    <n v="240.3"/>
    <x v="31"/>
    <n v="241.3"/>
    <n v="80"/>
    <n v="19.05"/>
    <x v="2"/>
    <s v="26/02-C"/>
    <x v="0"/>
    <s v="GM 378E"/>
    <n v="0.02"/>
    <x v="2"/>
    <m/>
    <m/>
    <m/>
  </r>
  <r>
    <s v="41."/>
    <x v="38"/>
    <d v="2026-02-16T00:00:00"/>
    <d v="2026-02-23T00:00:00"/>
    <s v="38/2026"/>
    <n v="8"/>
    <n v="5120"/>
    <n v="54"/>
    <n v="533"/>
    <n v="1"/>
    <n v="54.033771106941842"/>
    <x v="20"/>
    <n v="235.5"/>
    <x v="5"/>
    <n v="238.9"/>
    <n v="80"/>
    <n v="19.05"/>
    <x v="2"/>
    <s v="26/02-A"/>
    <x v="3"/>
    <s v="GM-326"/>
    <n v="0.02"/>
    <x v="0"/>
    <m/>
    <m/>
    <m/>
  </r>
  <r>
    <s v="42."/>
    <x v="39"/>
    <d v="2026-02-17T00:00:00"/>
    <d v="2026-02-18T00:00:00"/>
    <s v="42/2026"/>
    <n v="1"/>
    <n v="2284"/>
    <n v="50.4"/>
    <n v="571"/>
    <n v="1"/>
    <n v="50.437828371278457"/>
    <x v="21"/>
    <n v="97.4"/>
    <x v="32"/>
    <n v="99.1"/>
    <n v="50"/>
    <n v="5.5"/>
    <x v="2"/>
    <s v="26/02-A"/>
    <x v="5"/>
    <m/>
    <m/>
    <x v="2"/>
    <m/>
    <m/>
    <m/>
  </r>
  <r>
    <s v="43."/>
    <x v="40"/>
    <d v="2026-02-17T00:00:00"/>
    <d v="2026-02-19T00:00:00"/>
    <s v="41/2026"/>
    <n v="2"/>
    <n v="3100"/>
    <n v="50.5"/>
    <n v="570"/>
    <n v="1"/>
    <n v="50.526315789473685"/>
    <x v="22"/>
    <n v="119.2"/>
    <x v="33"/>
    <n v="121.1"/>
    <n v="46"/>
    <n v="6.45"/>
    <x v="1"/>
    <s v="26/02-A"/>
    <x v="1"/>
    <s v="GM-53281E  "/>
    <n v="0.02"/>
    <x v="1"/>
    <m/>
    <m/>
    <m/>
  </r>
  <r>
    <s v="44."/>
    <x v="41"/>
    <d v="2026-02-24T00:00:00"/>
    <d v="2026-02-25T00:00:00"/>
    <s v="51/2026"/>
    <n v="8"/>
    <n v="800"/>
    <n v="42.2"/>
    <n v="682"/>
    <n v="1"/>
    <n v="42.228739002932549"/>
    <x v="23"/>
    <n v="232.6"/>
    <x v="34"/>
    <n v="233"/>
    <n v="20"/>
    <n v="4.9000000000000004"/>
    <x v="6"/>
    <s v="26/02-A"/>
    <x v="0"/>
    <s v="GM-80690E "/>
    <n v="0.02"/>
    <x v="1"/>
    <m/>
    <m/>
    <s v="C.SZARY"/>
  </r>
  <r>
    <s v="45."/>
    <x v="42"/>
    <d v="2026-02-25T00:00:00"/>
    <d v="2026-02-26T00:00:00"/>
    <s v="51/2026"/>
    <n v="8"/>
    <n v="800"/>
    <n v="42.3"/>
    <n v="680"/>
    <n v="1"/>
    <n v="42.352941176470587"/>
    <x v="24"/>
    <n v="231.8"/>
    <x v="35"/>
    <n v="234.5"/>
    <n v="20"/>
    <n v="4.9000000000000004"/>
    <x v="6"/>
    <s v="26/02-B"/>
    <x v="0"/>
    <s v="GM-12197E"/>
    <n v="0.02"/>
    <x v="2"/>
    <m/>
    <m/>
    <m/>
  </r>
  <r>
    <s v="46."/>
    <x v="43"/>
    <d v="2026-02-26T00:00:00"/>
    <d v="2026-02-27T00:00:00"/>
    <s v="51/2026"/>
    <n v="8"/>
    <n v="800"/>
    <n v="42.3"/>
    <n v="680"/>
    <n v="1"/>
    <n v="42.352941176470587"/>
    <x v="25"/>
    <n v="233.1"/>
    <x v="36"/>
    <n v="233.7"/>
    <n v="20"/>
    <n v="4.9000000000000004"/>
    <x v="6"/>
    <s v="26/02-C"/>
    <x v="0"/>
    <s v="GM-32218E "/>
    <n v="0.02"/>
    <x v="2"/>
    <m/>
    <m/>
    <m/>
  </r>
  <r>
    <s v="47."/>
    <x v="44"/>
    <d v="2026-02-26T00:00:00"/>
    <d v="2026-02-26T00:00:00"/>
    <s v="54/2026"/>
    <n v="5"/>
    <n v="1009"/>
    <n v="44.89"/>
    <n v="1283"/>
    <n v="2"/>
    <n v="44.894777864380359"/>
    <x v="26"/>
    <n v="53.7"/>
    <x v="37"/>
    <n v="54.45"/>
    <n v="250"/>
    <n v="14"/>
    <x v="1"/>
    <s v="26/02-A"/>
    <x v="0"/>
    <s v="GM-20225E"/>
    <n v="0.04"/>
    <x v="1"/>
    <m/>
    <m/>
    <m/>
  </r>
  <r>
    <s v="48."/>
    <x v="45"/>
    <d v="2026-02-26T00:00:00"/>
    <d v="2026-02-27T00:00:00"/>
    <s v="54/2026"/>
    <n v="5"/>
    <n v="424"/>
    <n v="44.89"/>
    <n v="1283"/>
    <n v="2"/>
    <n v="44.894777864380359"/>
    <x v="27"/>
    <n v="53.6"/>
    <x v="38"/>
    <n v="54.15"/>
    <n v="250"/>
    <n v="14"/>
    <x v="1"/>
    <s v="26/02-B"/>
    <x v="3"/>
    <s v="GM-32747E"/>
    <n v="0.04"/>
    <x v="2"/>
    <m/>
    <m/>
    <m/>
  </r>
  <r>
    <s v="49."/>
    <x v="46"/>
    <d v="2026-02-27T00:00:00"/>
    <d v="2026-02-27T00:00:00"/>
    <s v="54/2026"/>
    <n v="5"/>
    <n v="200"/>
    <n v="44.89"/>
    <n v="1283"/>
    <n v="2"/>
    <n v="44.894777864380359"/>
    <x v="0"/>
    <n v="53.9"/>
    <x v="39"/>
    <n v="54.55"/>
    <n v="250"/>
    <n v="14"/>
    <x v="1"/>
    <s v="26/02-C"/>
    <x v="0"/>
    <s v="W2-73/1"/>
    <n v="0.03"/>
    <x v="2"/>
    <m/>
    <m/>
    <m/>
  </r>
  <r>
    <s v="50."/>
    <x v="47"/>
    <d v="2026-02-27T00:00:00"/>
    <d v="2026-02-27T00:00:00"/>
    <s v="54/2026"/>
    <n v="5"/>
    <n v="210"/>
    <n v="44.89"/>
    <n v="1283"/>
    <n v="2"/>
    <n v="44.894777864380359"/>
    <x v="28"/>
    <n v="54.2"/>
    <x v="40"/>
    <n v="54.7"/>
    <n v="250"/>
    <n v="14"/>
    <x v="1"/>
    <s v="26/02-D"/>
    <x v="0"/>
    <s v="W7-76"/>
    <n v="0.03"/>
    <x v="2"/>
    <m/>
    <m/>
    <m/>
  </r>
  <r>
    <s v="51."/>
    <x v="48"/>
    <d v="2026-02-27T00:00:00"/>
    <d v="2026-02-27T00:00:00"/>
    <s v="54/2026"/>
    <n v="5"/>
    <n v="215"/>
    <n v="44.89"/>
    <n v="1283"/>
    <n v="2"/>
    <n v="44.894777864380359"/>
    <x v="29"/>
    <n v="54.1"/>
    <x v="41"/>
    <n v="54.75"/>
    <n v="250"/>
    <n v="14"/>
    <x v="1"/>
    <s v="26/02-E"/>
    <x v="0"/>
    <s v="W6-125"/>
    <n v="0.03"/>
    <x v="2"/>
    <m/>
    <m/>
    <m/>
  </r>
  <r>
    <s v="52."/>
    <x v="49"/>
    <d v="2026-06-27T00:00:00"/>
    <d v="2026-02-27T00:00:00"/>
    <s v="52/2026"/>
    <n v="2"/>
    <n v="1000"/>
    <n v="32.9"/>
    <n v="875"/>
    <n v="1"/>
    <n v="32.914285714285711"/>
    <x v="0"/>
    <n v="119.3"/>
    <x v="42"/>
    <n v="124"/>
    <n v="40"/>
    <n v="5.5"/>
    <x v="2"/>
    <s v="26/02-A"/>
    <x v="6"/>
    <s v="GM-20225E"/>
    <n v="0.04"/>
    <x v="0"/>
    <m/>
    <m/>
    <m/>
  </r>
  <r>
    <s v="53."/>
    <x v="50"/>
    <d v="2026-02-27T00:00:00"/>
    <d v="2026-03-02T00:00:00"/>
    <s v="52/2026"/>
    <n v="2"/>
    <n v="1200"/>
    <n v="32.9"/>
    <n v="875"/>
    <n v="1"/>
    <n v="32.914285714285711"/>
    <x v="0"/>
    <n v="118.7"/>
    <x v="43"/>
    <n v="123.3"/>
    <n v="40"/>
    <n v="5.5"/>
    <x v="2"/>
    <s v="26/02-B"/>
    <x v="6"/>
    <s v="GM-32747E"/>
    <n v="0.04"/>
    <x v="2"/>
    <m/>
    <m/>
    <m/>
  </r>
  <r>
    <s v="54."/>
    <x v="51"/>
    <d v="2026-03-02T00:00:00"/>
    <d v="2026-03-02T00:00:00"/>
    <s v="52/2026"/>
    <n v="2"/>
    <n v="1120"/>
    <n v="32.9"/>
    <n v="875"/>
    <n v="1"/>
    <n v="32.914285714285711"/>
    <x v="0"/>
    <n v="124.2"/>
    <x v="44"/>
    <n v="124.8"/>
    <n v="40"/>
    <n v="5.5"/>
    <x v="2"/>
    <s v="26/03-C"/>
    <x v="6"/>
    <s v="W2-73/1"/>
    <n v="0.03"/>
    <x v="2"/>
    <m/>
    <m/>
    <m/>
  </r>
  <r>
    <s v="55."/>
    <x v="52"/>
    <d v="2026-03-03T00:00:00"/>
    <d v="2026-03-03T00:00:00"/>
    <s v="52/2026"/>
    <n v="2"/>
    <n v="1000"/>
    <n v="32.9"/>
    <n v="875"/>
    <n v="1"/>
    <n v="32.914285714285711"/>
    <x v="30"/>
    <n v="124.3"/>
    <x v="45"/>
    <n v="124.9"/>
    <n v="40"/>
    <n v="5.5"/>
    <x v="2"/>
    <s v="26/03-D"/>
    <x v="6"/>
    <s v="W7-76"/>
    <n v="0.03"/>
    <x v="2"/>
    <m/>
    <m/>
    <m/>
  </r>
  <r>
    <s v="56."/>
    <x v="53"/>
    <d v="2026-03-03T00:00:00"/>
    <d v="2026-03-04T00:00:00"/>
    <s v="52/2026"/>
    <n v="2"/>
    <n v="1200"/>
    <n v="32.9"/>
    <n v="875"/>
    <n v="1"/>
    <n v="32.914285714285711"/>
    <x v="31"/>
    <n v="124.2"/>
    <x v="44"/>
    <n v="124.8"/>
    <n v="40"/>
    <n v="5.5"/>
    <x v="2"/>
    <s v="26/03-E"/>
    <x v="6"/>
    <s v="W6-125"/>
    <n v="0.03"/>
    <x v="2"/>
    <m/>
    <m/>
    <m/>
  </r>
  <r>
    <s v="57."/>
    <x v="54"/>
    <d v="2026-02-27T00:00:00"/>
    <d v="2026-03-02T00:00:00"/>
    <s v="49/2026"/>
    <n v="8"/>
    <n v="1000"/>
    <n v="65.900000000000006"/>
    <n v="437"/>
    <n v="1"/>
    <n v="65.903890160183067"/>
    <x v="32"/>
    <n v="398.7"/>
    <x v="18"/>
    <n v="400"/>
    <n v="110"/>
    <m/>
    <x v="3"/>
    <s v="26/03-A"/>
    <x v="0"/>
    <s v="GM80690E"/>
    <n v="0.02"/>
    <x v="3"/>
    <m/>
    <m/>
    <m/>
  </r>
  <r>
    <s v="58."/>
    <x v="55"/>
    <d v="2026-03-02T00:00:00"/>
    <d v="2026-03-05T00:00:00"/>
    <s v="49/2026"/>
    <n v="8"/>
    <n v="470"/>
    <n v="65.900000000000006"/>
    <n v="437"/>
    <n v="1"/>
    <n v="65.903890160183067"/>
    <x v="0"/>
    <n v="398.7"/>
    <x v="18"/>
    <n v="400"/>
    <n v="110"/>
    <m/>
    <x v="3"/>
    <s v="26/03-B"/>
    <x v="0"/>
    <s v="GM80690E"/>
    <n v="0.02"/>
    <x v="2"/>
    <m/>
    <m/>
    <m/>
  </r>
  <r>
    <s v="59."/>
    <x v="56"/>
    <d v="2026-03-02T00:00:00"/>
    <d v="2026-03-03T00:00:00"/>
    <s v="53/2026"/>
    <n v="4"/>
    <n v="916"/>
    <n v="45.2"/>
    <n v="637"/>
    <n v="1"/>
    <n v="45.211930926216638"/>
    <x v="33"/>
    <n v="157.4"/>
    <x v="46"/>
    <n v="157.80000000000001"/>
    <n v="40"/>
    <n v="6.65"/>
    <x v="1"/>
    <s v="26/03-A"/>
    <x v="6"/>
    <s v="GM-20225E"/>
    <n v="0.05"/>
    <x v="0"/>
    <m/>
    <m/>
    <m/>
  </r>
  <r>
    <s v="60."/>
    <x v="57"/>
    <d v="2026-03-03T00:00:00"/>
    <d v="2026-03-04T00:00:00"/>
    <s v="53/2026"/>
    <n v="4"/>
    <n v="1006"/>
    <n v="43.8"/>
    <n v="657"/>
    <n v="1"/>
    <n v="43.835616438356162"/>
    <x v="34"/>
    <n v="156"/>
    <x v="47"/>
    <n v="156.4"/>
    <n v="40"/>
    <n v="6.65"/>
    <x v="1"/>
    <s v="26/03-B"/>
    <x v="6"/>
    <s v="GM-32747E"/>
    <n v="0.05"/>
    <x v="2"/>
    <m/>
    <m/>
    <s v="160 szt. Zły kolor różowego"/>
  </r>
  <r>
    <s v="61."/>
    <x v="58"/>
    <d v="2026-03-04T00:00:00"/>
    <d v="2026-03-04T00:00:00"/>
    <s v="53/2026"/>
    <n v="4"/>
    <n v="518"/>
    <n v="43.8"/>
    <n v="657"/>
    <n v="1"/>
    <n v="43.835616438356162"/>
    <x v="35"/>
    <n v="156.80000000000001"/>
    <x v="48"/>
    <n v="160"/>
    <n v="40"/>
    <n v="6.65"/>
    <x v="1"/>
    <s v="26/03-C"/>
    <x v="6"/>
    <s v="W2-73/1"/>
    <n v="0.03"/>
    <x v="2"/>
    <m/>
    <m/>
    <m/>
  </r>
  <r>
    <s v="62."/>
    <x v="59"/>
    <d v="2026-03-04T00:00:00"/>
    <d v="2026-03-05T00:00:00"/>
    <s v="53/2026"/>
    <n v="4"/>
    <n v="808"/>
    <n v="43.8"/>
    <n v="657"/>
    <n v="1"/>
    <n v="43.835616438356162"/>
    <x v="0"/>
    <n v="156.19999999999999"/>
    <x v="49"/>
    <n v="156.6"/>
    <n v="40"/>
    <n v="6.65"/>
    <x v="1"/>
    <s v="26/03-D"/>
    <x v="6"/>
    <s v="W7-76"/>
    <n v="0.03"/>
    <x v="2"/>
    <m/>
    <m/>
    <m/>
  </r>
  <r>
    <s v="63."/>
    <x v="60"/>
    <d v="2026-03-05T00:00:00"/>
    <d v="2026-03-06T00:00:00"/>
    <s v="53/2026"/>
    <n v="4"/>
    <n v="1103"/>
    <n v="43.8"/>
    <n v="657"/>
    <n v="1"/>
    <n v="43.835616438356162"/>
    <x v="36"/>
    <n v="158.19999999999999"/>
    <x v="50"/>
    <n v="158.6"/>
    <n v="40"/>
    <n v="6.65"/>
    <x v="1"/>
    <s v="26/03-E"/>
    <x v="6"/>
    <s v="W6-125"/>
    <n v="0.03"/>
    <x v="2"/>
    <m/>
    <m/>
    <m/>
  </r>
  <r>
    <s v="64."/>
    <x v="61"/>
    <d v="2026-03-06T00:00:00"/>
    <d v="2026-03-09T00:00:00"/>
    <s v="53/2026"/>
    <n v="4"/>
    <n v="914"/>
    <n v="43.8"/>
    <n v="657"/>
    <n v="1"/>
    <n v="43.835616438356162"/>
    <x v="37"/>
    <n v="156.9"/>
    <x v="51"/>
    <n v="157.5"/>
    <n v="40"/>
    <n v="6.65"/>
    <x v="1"/>
    <s v="26/03-F"/>
    <x v="6"/>
    <s v="W5-25 "/>
    <n v="0.02"/>
    <x v="2"/>
    <m/>
    <m/>
    <m/>
  </r>
  <r>
    <s v="65."/>
    <x v="62"/>
    <d v="2026-03-03T00:00:00"/>
    <d v="2026-03-04T00:00:00"/>
    <s v="58/2026"/>
    <n v="8"/>
    <n v="800"/>
    <n v="44.4"/>
    <n v="648"/>
    <n v="1"/>
    <n v="44.444444444444443"/>
    <x v="38"/>
    <n v="170"/>
    <x v="52"/>
    <n v="170.5"/>
    <n v="70"/>
    <n v="12"/>
    <x v="7"/>
    <s v="26/03-A"/>
    <x v="0"/>
    <s v="GM 80295"/>
    <n v="0.03"/>
    <x v="4"/>
    <m/>
    <m/>
    <m/>
  </r>
  <r>
    <s v="66."/>
    <x v="63"/>
    <d v="2026-03-04T00:00:00"/>
    <d v="2026-03-06T00:00:00"/>
    <s v="61/2026"/>
    <n v="2"/>
    <n v="3685"/>
    <n v="56.2"/>
    <n v="512"/>
    <n v="2"/>
    <n v="112.5"/>
    <x v="39"/>
    <n v="66.5"/>
    <x v="53"/>
    <n v="68.3"/>
    <n v="140"/>
    <n v="10"/>
    <x v="1"/>
    <s v="26/03-A"/>
    <x v="0"/>
    <s v="W6-253"/>
    <n v="0.03"/>
    <x v="1"/>
    <m/>
    <m/>
    <m/>
  </r>
  <r>
    <s v="67."/>
    <x v="64"/>
    <d v="2026-03-06T00:00:00"/>
    <d v="2026-03-10T00:00:00"/>
    <s v="61/2026"/>
    <n v="2"/>
    <n v="3600"/>
    <n v="56.2"/>
    <n v="512"/>
    <n v="2"/>
    <n v="112.5"/>
    <x v="40"/>
    <n v="66.7"/>
    <x v="54"/>
    <n v="68.25"/>
    <n v="140"/>
    <n v="10"/>
    <x v="1"/>
    <s v="26/03-B"/>
    <x v="0"/>
    <s v="GM-32747E"/>
    <n v="0.03"/>
    <x v="2"/>
    <m/>
    <m/>
    <m/>
  </r>
  <r>
    <s v="68."/>
    <x v="65"/>
    <d v="2026-03-11T00:00:00"/>
    <d v="2026-03-13T00:00:00"/>
    <s v="61/2026"/>
    <n v="2"/>
    <n v="3635"/>
    <n v="56.2"/>
    <n v="512"/>
    <n v="2"/>
    <n v="112.5"/>
    <x v="41"/>
    <n v="66.400000000000006"/>
    <x v="53"/>
    <n v="68.3"/>
    <n v="140"/>
    <n v="10"/>
    <x v="1"/>
    <s v="26/03-C"/>
    <x v="0"/>
    <s v="W2-73/1"/>
    <n v="0.03"/>
    <x v="2"/>
    <m/>
    <m/>
    <m/>
  </r>
  <r>
    <s v="69."/>
    <x v="66"/>
    <d v="2026-03-05T00:00:00"/>
    <d v="2026-03-11T00:00:00"/>
    <s v="57/2026"/>
    <n v="5"/>
    <n v="34500"/>
    <n v="34.06"/>
    <n v="845"/>
    <n v="7"/>
    <n v="238.57988165680476"/>
    <x v="0"/>
    <n v="0.6"/>
    <x v="55"/>
    <n v="1.4571428571428571"/>
    <s v="OK40 tys"/>
    <m/>
    <x v="8"/>
    <s v="26/03/A"/>
    <x v="7"/>
    <m/>
    <m/>
    <x v="1"/>
    <s v="ŁUKASZ"/>
    <s v="TAK"/>
    <m/>
  </r>
  <r>
    <s v="70."/>
    <x v="67"/>
    <d v="2026-03-09T00:00:00"/>
    <d v="2026-03-10T00:00:00"/>
    <s v="66/2026"/>
    <n v="4"/>
    <n v="2000"/>
    <n v="35.1"/>
    <n v="820"/>
    <n v="1"/>
    <n v="35.121951219512198"/>
    <x v="0"/>
    <n v="117.3"/>
    <x v="56"/>
    <n v="121.4"/>
    <n v="40"/>
    <n v="5.5"/>
    <x v="2"/>
    <s v="26/03-A"/>
    <x v="6"/>
    <s v="GM-32747E"/>
    <n v="0.04"/>
    <x v="0"/>
    <m/>
    <m/>
    <m/>
  </r>
  <r>
    <s v="71."/>
    <x v="68"/>
    <d v="2026-03-10T00:00:00"/>
    <d v="2026-03-12T00:00:00"/>
    <s v="66/2026"/>
    <n v="4"/>
    <n v="2003"/>
    <n v="40.299999999999997"/>
    <n v="714"/>
    <n v="1"/>
    <n v="40.336134453781511"/>
    <x v="0"/>
    <n v="117.5"/>
    <x v="57"/>
    <n v="121.9"/>
    <n v="40"/>
    <n v="5.5"/>
    <x v="1"/>
    <s v="26/03-B"/>
    <x v="6"/>
    <s v="W2-73/1"/>
    <n v="0.03"/>
    <x v="2"/>
    <m/>
    <m/>
    <m/>
  </r>
  <r>
    <s v="72."/>
    <x v="69"/>
    <d v="2026-03-12T00:00:00"/>
    <d v="2026-03-13T00:00:00"/>
    <s v="66/2026"/>
    <n v="4"/>
    <n v="2000"/>
    <n v="36.200000000000003"/>
    <n v="795"/>
    <n v="1"/>
    <n v="36.226415094339622"/>
    <x v="0"/>
    <n v="117.2"/>
    <x v="58"/>
    <n v="121.6"/>
    <n v="40"/>
    <n v="5.5"/>
    <x v="1"/>
    <s v="26/03-C"/>
    <x v="6"/>
    <s v="W2-73/1"/>
    <n v="0.03"/>
    <x v="2"/>
    <m/>
    <m/>
    <m/>
  </r>
  <r>
    <s v="73."/>
    <x v="70"/>
    <d v="2026-03-11T00:00:00"/>
    <d v="2026-03-12T00:00:00"/>
    <s v="67/2026"/>
    <n v="5"/>
    <n v="2240"/>
    <n v="35.75"/>
    <n v="805"/>
    <n v="1"/>
    <n v="35.776397515527947"/>
    <x v="32"/>
    <n v="119.7"/>
    <x v="59"/>
    <n v="125.5"/>
    <n v="32"/>
    <n v="4.6500000000000004"/>
    <x v="1"/>
    <s v="26/03-A"/>
    <x v="6"/>
    <s v="W6-253"/>
    <n v="0.03"/>
    <x v="0"/>
    <m/>
    <m/>
    <m/>
  </r>
  <r>
    <s v="74."/>
    <x v="71"/>
    <d v="2026-03-12T00:00:00"/>
    <d v="2026-03-16T00:00:00"/>
    <s v="67/2026"/>
    <n v="5"/>
    <n v="2208"/>
    <n v="35.72"/>
    <n v="805"/>
    <n v="1"/>
    <n v="35.776397515527947"/>
    <x v="0"/>
    <n v="125.4"/>
    <x v="60"/>
    <n v="126.2"/>
    <n v="32"/>
    <n v="4.6500000000000004"/>
    <x v="1"/>
    <s v="26/03-B"/>
    <x v="6"/>
    <s v="W2-73/1"/>
    <n v="0.03"/>
    <x v="2"/>
    <m/>
    <m/>
    <m/>
  </r>
  <r>
    <s v="75."/>
    <x v="72"/>
    <d v="2026-03-16T00:00:00"/>
    <d v="2026-03-18T00:00:00"/>
    <s v="67/2026"/>
    <n v="5"/>
    <n v="2208"/>
    <n v="35.72"/>
    <n v="805"/>
    <n v="1"/>
    <n v="35.776397515527947"/>
    <x v="0"/>
    <n v="119.1"/>
    <x v="61"/>
    <n v="130"/>
    <n v="32"/>
    <n v="4.6500000000000004"/>
    <x v="2"/>
    <s v="26/03-C"/>
    <x v="6"/>
    <s v="GM-32747E"/>
    <n v="0.05"/>
    <x v="2"/>
    <m/>
    <m/>
    <m/>
  </r>
  <r>
    <s v="76."/>
    <x v="51"/>
    <d v="2026-03-13T00:00:00"/>
    <d v="2026-03-13T00:00:00"/>
    <s v="70/2026"/>
    <n v="4"/>
    <n v="600"/>
    <n v="36.200000000000003"/>
    <n v="795"/>
    <n v="1"/>
    <n v="36.226415094339622"/>
    <x v="0"/>
    <n v="117.2"/>
    <x v="58"/>
    <n v="121.6"/>
    <n v="40"/>
    <n v="5.5"/>
    <x v="1"/>
    <s v="26/03-C"/>
    <x v="6"/>
    <s v="W2-73/1"/>
    <n v="0.03"/>
    <x v="0"/>
    <m/>
    <m/>
    <m/>
  </r>
  <r>
    <s v="77."/>
    <x v="52"/>
    <d v="2026-03-13T00:00:00"/>
    <d v="2026-03-16T00:00:00"/>
    <s v="70/2026"/>
    <n v="4"/>
    <n v="615"/>
    <n v="36.299999999999997"/>
    <n v="795"/>
    <n v="1"/>
    <n v="36.226415094339622"/>
    <x v="0"/>
    <n v="124.3"/>
    <x v="45"/>
    <n v="124.9"/>
    <n v="40"/>
    <n v="5.5"/>
    <x v="1"/>
    <s v="26/03-D"/>
    <x v="6"/>
    <s v="W7-76"/>
    <n v="0.03"/>
    <x v="2"/>
    <m/>
    <m/>
    <m/>
  </r>
  <r>
    <s v="78."/>
    <x v="53"/>
    <d v="2026-03-16T00:00:00"/>
    <d v="2026-03-16T00:00:00"/>
    <s v="70/2026"/>
    <n v="4"/>
    <n v="800"/>
    <n v="37.700000000000003"/>
    <n v="763"/>
    <n v="1"/>
    <n v="37.745740498034074"/>
    <x v="38"/>
    <n v="124.2"/>
    <x v="44"/>
    <n v="124.8"/>
    <n v="40"/>
    <n v="5.5"/>
    <x v="1"/>
    <s v="26/03-E"/>
    <x v="6"/>
    <s v="W6-125"/>
    <n v="0.03"/>
    <x v="2"/>
    <m/>
    <m/>
    <m/>
  </r>
  <r>
    <s v="79."/>
    <x v="50"/>
    <d v="2026-03-17T00:00:00"/>
    <d v="2026-03-18T00:00:00"/>
    <s v="70/2026"/>
    <n v="4"/>
    <n v="800"/>
    <n v="37.700000000000003"/>
    <n v="763"/>
    <n v="1"/>
    <n v="37.745740498034074"/>
    <x v="0"/>
    <n v="118.5"/>
    <x v="12"/>
    <n v="123"/>
    <n v="40"/>
    <n v="5.5"/>
    <x v="2"/>
    <s v="26/03-B"/>
    <x v="6"/>
    <s v="GM-32747E"/>
    <n v="0.05"/>
    <x v="2"/>
    <m/>
    <m/>
    <m/>
  </r>
  <r>
    <s v="80."/>
    <x v="73"/>
    <d v="2026-03-18T00:00:00"/>
    <d v="2026-03-18T00:00:00"/>
    <s v="70/2026"/>
    <n v="4"/>
    <n v="800"/>
    <n v="37.700000000000003"/>
    <n v="763"/>
    <n v="1"/>
    <n v="37.745740498034074"/>
    <x v="0"/>
    <n v="119.7"/>
    <x v="42"/>
    <n v="124"/>
    <n v="40"/>
    <n v="5.5"/>
    <x v="2"/>
    <s v="26/02-A"/>
    <x v="6"/>
    <s v="GM-20225E "/>
    <n v="0.04"/>
    <x v="2"/>
    <m/>
    <m/>
    <m/>
  </r>
  <r>
    <s v="81."/>
    <x v="74"/>
    <d v="2026-03-13T00:00:00"/>
    <d v="2026-03-17T00:00:00"/>
    <s v="62/2026"/>
    <n v="2"/>
    <n v="4200"/>
    <n v="53.2"/>
    <n v="541"/>
    <n v="2"/>
    <m/>
    <x v="42"/>
    <n v="108.7"/>
    <x v="62"/>
    <n v="109.5"/>
    <n v="100"/>
    <n v="11.5"/>
    <x v="2"/>
    <s v="26/03-A"/>
    <x v="6"/>
    <s v="W2-73/1"/>
    <n v="0.03"/>
    <x v="5"/>
    <m/>
    <m/>
    <m/>
  </r>
  <r>
    <s v="82."/>
    <x v="75"/>
    <d v="2026-03-18T00:00:00"/>
    <d v="2026-03-20T00:00:00"/>
    <s v="62/2026"/>
    <n v="2"/>
    <n v="4200"/>
    <n v="53.2"/>
    <n v="541"/>
    <n v="2"/>
    <n v="106.46950092421442"/>
    <x v="43"/>
    <n v="108.5"/>
    <x v="63"/>
    <n v="109.35"/>
    <n v="100"/>
    <n v="11.5"/>
    <x v="2"/>
    <s v="26/03-B"/>
    <x v="6"/>
    <s v="GM-32747E"/>
    <n v="0.04"/>
    <x v="2"/>
    <m/>
    <m/>
    <m/>
  </r>
  <r>
    <s v="83."/>
    <x v="76"/>
    <d v="2026-03-23T00:00:00"/>
    <s v="25.0.2026"/>
    <s v="62/2026"/>
    <n v="2"/>
    <n v="4200"/>
    <n v="53.2"/>
    <n v="541"/>
    <n v="2"/>
    <n v="106.46950092421442"/>
    <x v="44"/>
    <n v="108.4"/>
    <x v="63"/>
    <n v="109.35"/>
    <n v="100"/>
    <n v="11.5"/>
    <x v="2"/>
    <s v="26/03-C"/>
    <x v="6"/>
    <s v="W6-253"/>
    <n v="0.03"/>
    <x v="2"/>
    <m/>
    <m/>
    <m/>
  </r>
  <r>
    <s v="84."/>
    <x v="77"/>
    <d v="2026-03-17T00:00:00"/>
    <d v="2026-03-18T00:00:00"/>
    <s v="73/2026"/>
    <n v="2"/>
    <n v="2531"/>
    <n v="53.2"/>
    <n v="541"/>
    <n v="2"/>
    <n v="106.46950092421442"/>
    <x v="0"/>
    <n v="108.78"/>
    <x v="62"/>
    <n v="109.5"/>
    <n v="100"/>
    <n v="11.5"/>
    <x v="2"/>
    <s v="26/03-A"/>
    <x v="6"/>
    <s v="W2-73/1"/>
    <n v="0.03"/>
    <x v="2"/>
    <m/>
    <m/>
    <m/>
  </r>
  <r>
    <s v="85."/>
    <x v="78"/>
    <d v="2026-03-20T00:00:00"/>
    <d v="2026-03-23T00:00:00"/>
    <s v="73/2026"/>
    <n v="2"/>
    <n v="1613"/>
    <n v="53.2"/>
    <n v="541"/>
    <n v="2"/>
    <n v="106.46950092421442"/>
    <x v="45"/>
    <n v="108.5"/>
    <x v="63"/>
    <n v="109.35"/>
    <n v="100"/>
    <n v="11.5"/>
    <x v="2"/>
    <s v="26/03-B"/>
    <x v="6"/>
    <s v="GM-32747E"/>
    <n v="0.04"/>
    <x v="2"/>
    <m/>
    <m/>
    <m/>
  </r>
  <r>
    <s v="86."/>
    <x v="79"/>
    <d v="2026-03-25T00:00:00"/>
    <d v="2026-03-26T00:00:00"/>
    <s v="73/2026"/>
    <n v="2"/>
    <n v="1995"/>
    <n v="53.2"/>
    <n v="541"/>
    <n v="2"/>
    <n v="106.46950092421442"/>
    <x v="0"/>
    <n v="108.5"/>
    <x v="62"/>
    <n v="109.5"/>
    <n v="100"/>
    <n v="11.5"/>
    <x v="2"/>
    <s v="26/03-C"/>
    <x v="6"/>
    <s v="W6-125 "/>
    <n v="0.03"/>
    <x v="2"/>
    <m/>
    <m/>
    <m/>
  </r>
  <r>
    <s v="87."/>
    <x v="80"/>
    <d v="2026-03-26T00:00:00"/>
    <d v="2026-03-27T00:00:00"/>
    <s v="73/2026"/>
    <n v="2"/>
    <n v="1500"/>
    <n v="53.2"/>
    <n v="541"/>
    <n v="2"/>
    <n v="106.46950092421442"/>
    <x v="0"/>
    <n v="107.9"/>
    <x v="64"/>
    <n v="108.85"/>
    <n v="100"/>
    <n v="11.5"/>
    <x v="2"/>
    <s v="26/03-D"/>
    <x v="6"/>
    <s v="GM-20225E"/>
    <n v="0.05"/>
    <x v="2"/>
    <m/>
    <m/>
    <m/>
  </r>
  <r>
    <s v="88."/>
    <x v="81"/>
    <d v="2026-03-16T00:00:00"/>
    <d v="2026-03-16T00:00:00"/>
    <s v="71/2026"/>
    <n v="5"/>
    <n v="512"/>
    <n v="35.72"/>
    <n v="806"/>
    <n v="1"/>
    <n v="35.732009925558316"/>
    <x v="0"/>
    <n v="125.4"/>
    <x v="60"/>
    <n v="126.2"/>
    <n v="32"/>
    <n v="4.6500000000000004"/>
    <x v="2"/>
    <s v="26/03-A"/>
    <x v="6"/>
    <s v="W2-73/1"/>
    <n v="0.03"/>
    <x v="0"/>
    <m/>
    <m/>
    <m/>
  </r>
  <r>
    <s v="89."/>
    <x v="82"/>
    <d v="2026-03-18T00:00:00"/>
    <d v="2026-03-18T00:00:00"/>
    <s v="71/2026"/>
    <n v="5"/>
    <n v="1216"/>
    <n v="35.72"/>
    <n v="806"/>
    <n v="1"/>
    <n v="35.732009925558316"/>
    <x v="0"/>
    <n v="125.4"/>
    <x v="60"/>
    <n v="126.2"/>
    <n v="32"/>
    <n v="4.6500000000000004"/>
    <x v="2"/>
    <s v="26/03-B"/>
    <x v="6"/>
    <s v="GM-32747E"/>
    <n v="0.04"/>
    <x v="2"/>
    <m/>
    <m/>
    <m/>
  </r>
  <r>
    <s v="90."/>
    <x v="83"/>
    <d v="2026-03-19T00:00:00"/>
    <s v="129.03.2026"/>
    <s v="71/2026"/>
    <n v="5"/>
    <n v="800"/>
    <n v="35.72"/>
    <n v="806"/>
    <n v="1"/>
    <n v="35.732009925558316"/>
    <x v="0"/>
    <n v="125.4"/>
    <x v="60"/>
    <n v="126.2"/>
    <n v="32"/>
    <n v="4.6500000000000004"/>
    <x v="2"/>
    <s v="26/03-C"/>
    <x v="6"/>
    <s v="W6-125"/>
    <n v="0.03"/>
    <x v="2"/>
    <m/>
    <m/>
    <m/>
  </r>
  <r>
    <s v="91."/>
    <x v="84"/>
    <d v="2026-03-19T00:00:00"/>
    <d v="2026-03-20T00:00:00"/>
    <s v="71/2026"/>
    <n v="5"/>
    <n v="1024"/>
    <n v="35.72"/>
    <n v="806"/>
    <n v="1"/>
    <n v="35.732009925558316"/>
    <x v="0"/>
    <n v="125.4"/>
    <x v="60"/>
    <n v="126.2"/>
    <n v="32"/>
    <n v="4.6500000000000004"/>
    <x v="2"/>
    <s v="26/03-D"/>
    <x v="6"/>
    <s v="GM-20225E"/>
    <n v="0.03"/>
    <x v="2"/>
    <m/>
    <m/>
    <m/>
  </r>
  <r>
    <s v="92."/>
    <x v="85"/>
    <d v="2026-03-20T00:00:00"/>
    <d v="2026-06-23T00:00:00"/>
    <s v="71/2026"/>
    <n v="5"/>
    <n v="1563"/>
    <n v="35.72"/>
    <n v="806"/>
    <n v="1"/>
    <n v="35.732009925558316"/>
    <x v="0"/>
    <n v="125.4"/>
    <x v="60"/>
    <n v="126.2"/>
    <n v="32"/>
    <n v="4.6500000000000004"/>
    <x v="2"/>
    <s v="26/03-E"/>
    <x v="6"/>
    <s v="W7-76"/>
    <n v="0.03"/>
    <x v="2"/>
    <m/>
    <m/>
    <m/>
  </r>
  <r>
    <s v="93."/>
    <x v="86"/>
    <d v="2026-03-17T00:00:00"/>
    <d v="2026-03-17T00:00:00"/>
    <s v="72/2026"/>
    <n v="1"/>
    <n v="468"/>
    <n v="64.599999999999994"/>
    <n v="445"/>
    <n v="1"/>
    <n v="64.719101123595507"/>
    <x v="25"/>
    <n v="210.9"/>
    <x v="65"/>
    <n v="210.9"/>
    <n v="52"/>
    <n v="12"/>
    <x v="3"/>
    <s v="26/03-A"/>
    <x v="8"/>
    <s v="HP400331/40"/>
    <n v="0.04"/>
    <x v="2"/>
    <m/>
    <m/>
    <m/>
  </r>
  <r>
    <s v="94."/>
    <x v="87"/>
    <d v="2026-03-18T00:00:00"/>
    <d v="2026-03-18T00:00:00"/>
    <s v="72/2026"/>
    <n v="1"/>
    <n v="1144"/>
    <n v="64.599999999999994"/>
    <n v="445"/>
    <n v="1"/>
    <n v="64.719101123595507"/>
    <x v="3"/>
    <n v="211.1"/>
    <x v="66"/>
    <n v="211.3"/>
    <n v="52"/>
    <n v="12"/>
    <x v="3"/>
    <s v="26/03-B"/>
    <x v="8"/>
    <s v="GM41373P"/>
    <n v="0.02"/>
    <x v="2"/>
    <m/>
    <m/>
    <m/>
  </r>
  <r>
    <s v="95."/>
    <x v="88"/>
    <d v="2026-03-19T00:00:00"/>
    <d v="2026-03-23T00:00:00"/>
    <s v="74/2026"/>
    <n v="1"/>
    <n v="1600"/>
    <n v="78.7"/>
    <n v="366"/>
    <n v="1"/>
    <n v="78.688524590163937"/>
    <x v="0"/>
    <n v="208.6"/>
    <x v="67"/>
    <n v="208.9"/>
    <n v="52"/>
    <n v="12"/>
    <x v="3"/>
    <s v="26/03-C"/>
    <x v="8"/>
    <s v="GM41373P"/>
    <n v="0.02"/>
    <x v="2"/>
    <m/>
    <m/>
    <m/>
  </r>
  <r>
    <s v="96."/>
    <x v="89"/>
    <d v="2026-03-23T00:00:00"/>
    <d v="2026-03-26T00:00:00"/>
    <s v="74/2026"/>
    <n v="1"/>
    <n v="1612"/>
    <n v="74.7"/>
    <n v="385"/>
    <n v="1"/>
    <n v="74.805194805194802"/>
    <x v="46"/>
    <n v="211.8"/>
    <x v="68"/>
    <n v="211.8"/>
    <n v="52"/>
    <n v="12"/>
    <x v="3"/>
    <s v="26/03-D"/>
    <x v="8"/>
    <s v="GM10684P"/>
    <n v="0.02"/>
    <x v="2"/>
    <m/>
    <m/>
    <m/>
  </r>
  <r>
    <s v="97."/>
    <x v="90"/>
    <d v="2026-03-19T00:00:00"/>
    <d v="2026-03-24T00:00:00"/>
    <s v="76/2026"/>
    <n v="4"/>
    <n v="2434"/>
    <n v="43.8"/>
    <n v="657"/>
    <n v="1"/>
    <n v="43.835616438356162"/>
    <x v="34"/>
    <n v="156"/>
    <x v="47"/>
    <n v="156.4"/>
    <n v="40"/>
    <n v="6.65"/>
    <x v="1"/>
    <s v="26/03-B"/>
    <x v="6"/>
    <s v="GM-32747E"/>
    <n v="0.05"/>
    <x v="2"/>
    <m/>
    <m/>
    <m/>
  </r>
  <r>
    <s v="98."/>
    <x v="91"/>
    <d v="2026-03-24T00:00:00"/>
    <d v="2026-03-27T00:00:00"/>
    <s v="76/2026"/>
    <n v="4"/>
    <n v="2200"/>
    <n v="58.6"/>
    <n v="491"/>
    <n v="1"/>
    <n v="58.655804480651732"/>
    <x v="47"/>
    <n v="156"/>
    <x v="47"/>
    <n v="156.4"/>
    <n v="40"/>
    <n v="6.65"/>
    <x v="1"/>
    <s v="26/03-C"/>
    <x v="6"/>
    <s v="W6-253"/>
    <n v="0.03"/>
    <x v="2"/>
    <m/>
    <m/>
    <m/>
  </r>
  <r>
    <s v="99."/>
    <x v="92"/>
    <d v="2026-03-27T00:00:00"/>
    <d v="2026-04-01T00:00:00"/>
    <s v="76/2026"/>
    <n v="4"/>
    <n v="2200"/>
    <n v="58.5"/>
    <n v="490"/>
    <n v="1"/>
    <n v="58.775510204081634"/>
    <x v="0"/>
    <n v="159"/>
    <x v="69"/>
    <n v="159.30000000000001"/>
    <n v="40"/>
    <n v="6.65"/>
    <x v="1"/>
    <s v="26/03-D"/>
    <x v="6"/>
    <s v="W2-73/1"/>
    <n v="0.03"/>
    <x v="2"/>
    <m/>
    <m/>
    <m/>
  </r>
  <r>
    <s v="100."/>
    <x v="93"/>
    <d v="2026-03-30T00:00:00"/>
    <d v="2026-03-30T00:00:00"/>
    <s v="75/2026"/>
    <n v="1"/>
    <n v="520"/>
    <n v="55.5"/>
    <n v="545"/>
    <n v="1"/>
    <n v="52.844036697247709"/>
    <x v="0"/>
    <n v="1154.2"/>
    <x v="70"/>
    <n v="154.19999999999999"/>
    <n v="40"/>
    <n v="7.4"/>
    <x v="3"/>
    <s v="26/03-C"/>
    <x v="9"/>
    <s v="GM-53281E"/>
    <n v="0.02"/>
    <x v="1"/>
    <m/>
    <m/>
    <m/>
  </r>
  <r>
    <s v="101."/>
    <x v="94"/>
    <d v="2026-03-26T00:00:00"/>
    <d v="2026-03-27T00:00:00"/>
    <s v="75/2026"/>
    <n v="1"/>
    <n v="510"/>
    <n v="52.8"/>
    <n v="518"/>
    <n v="1"/>
    <n v="55.598455598455601"/>
    <x v="48"/>
    <n v="144.9"/>
    <x v="71"/>
    <n v="145"/>
    <n v="40"/>
    <n v="7.4"/>
    <x v="3"/>
    <s v="26/03-A"/>
    <x v="10"/>
    <s v="GM41373P"/>
    <n v="0.02"/>
    <x v="2"/>
    <m/>
    <m/>
    <m/>
  </r>
  <r>
    <s v="102."/>
    <x v="95"/>
    <d v="2026-03-27T00:00:00"/>
    <d v="2026-03-30T00:00:00"/>
    <s v="75/2026"/>
    <n v="1"/>
    <n v="1000"/>
    <n v="52.8"/>
    <n v="518"/>
    <n v="1"/>
    <n v="55.598455598455601"/>
    <x v="0"/>
    <n v="138.6"/>
    <x v="72"/>
    <n v="138.6"/>
    <n v="40"/>
    <n v="7.4"/>
    <x v="3"/>
    <s v="26/03-B"/>
    <x v="11"/>
    <s v="GM-32218E "/>
    <n v="0.02"/>
    <x v="2"/>
    <s v="KRYSTIAN"/>
    <s v="NIE"/>
    <m/>
  </r>
  <r>
    <s v="103."/>
    <x v="96"/>
    <d v="2026-03-26T00:00:00"/>
    <d v="2026-03-27T00:00:00"/>
    <s v="85/2026"/>
    <n v="3"/>
    <n v="800"/>
    <n v="49.8"/>
    <n v="578"/>
    <n v="1"/>
    <n v="49.826989619377166"/>
    <x v="15"/>
    <n v="156.80000000000001"/>
    <x v="73"/>
    <n v="160.5"/>
    <n v="28"/>
    <n v="4.55"/>
    <x v="0"/>
    <s v="26/03-A"/>
    <x v="12"/>
    <s v="GM-32218E "/>
    <n v="0.03"/>
    <x v="1"/>
    <m/>
    <m/>
    <m/>
  </r>
  <r>
    <s v="104."/>
    <x v="97"/>
    <d v="2026-03-27T00:00:00"/>
    <d v="2026-03-30T00:00:00"/>
    <s v="85/2026"/>
    <n v="3"/>
    <n v="809"/>
    <n v="49.7"/>
    <n v="578"/>
    <n v="1"/>
    <n v="49.826989619377166"/>
    <x v="49"/>
    <n v="156.80000000000001"/>
    <x v="73"/>
    <n v="160.5"/>
    <n v="28"/>
    <n v="4.55"/>
    <x v="0"/>
    <s v="26/03-B"/>
    <x v="0"/>
    <s v="GM80690E"/>
    <n v="0.03"/>
    <x v="2"/>
    <s v="WOJTEK"/>
    <m/>
    <m/>
  </r>
  <r>
    <s v="105."/>
    <x v="98"/>
    <d v="2026-03-27T00:00:00"/>
    <d v="2026-03-27T00:00:00"/>
    <s v="90/2026"/>
    <n v="7"/>
    <n v="800"/>
    <n v="78.5"/>
    <n v="366"/>
    <n v="2"/>
    <n v="157.37704918032787"/>
    <x v="50"/>
    <n v="81.099999999999994"/>
    <x v="74"/>
    <n v="82.4"/>
    <n v="80"/>
    <n v="7.2"/>
    <x v="2"/>
    <s v="26/03-A"/>
    <x v="9"/>
    <s v="GM-53281E"/>
    <n v="0.03"/>
    <x v="1"/>
    <m/>
    <m/>
    <m/>
  </r>
  <r>
    <s v="106."/>
    <x v="99"/>
    <d v="2026-03-27T00:00:00"/>
    <d v="2026-03-30T00:00:00"/>
    <s v="90/2026"/>
    <n v="7"/>
    <n v="800"/>
    <n v="78.099999999999994"/>
    <n v="369"/>
    <n v="2"/>
    <n v="156.09756097560975"/>
    <x v="51"/>
    <n v="81.8"/>
    <x v="75"/>
    <n v="83.15"/>
    <n v="80"/>
    <n v="7.2"/>
    <x v="2"/>
    <s v="26/03-B"/>
    <x v="9"/>
    <s v="W5-25 "/>
    <n v="0.03"/>
    <x v="2"/>
    <m/>
    <m/>
    <m/>
  </r>
  <r>
    <s v="107."/>
    <x v="100"/>
    <d v="2026-03-30T00:00:00"/>
    <d v="2026-03-31T00:00:00"/>
    <s v="90/2026"/>
    <n v="7"/>
    <n v="1004"/>
    <n v="78.099999999999994"/>
    <n v="368"/>
    <n v="2"/>
    <n v="156.52173913043478"/>
    <x v="52"/>
    <n v="81.7"/>
    <x v="76"/>
    <n v="83.1"/>
    <n v="80"/>
    <n v="7.2"/>
    <x v="2"/>
    <s v="26/03-C"/>
    <x v="9"/>
    <s v="GM-32218E "/>
    <n v="0.03"/>
    <x v="2"/>
    <m/>
    <m/>
    <m/>
  </r>
  <r>
    <s v="108."/>
    <x v="101"/>
    <d v="2026-03-31T00:00:00"/>
    <d v="2026-03-31T00:00:00"/>
    <s v="90/2026"/>
    <n v="7"/>
    <n v="800"/>
    <n v="78.099999999999994"/>
    <n v="368"/>
    <n v="2"/>
    <n v="156.52173913043478"/>
    <x v="53"/>
    <n v="81.900000000000006"/>
    <x v="77"/>
    <n v="83.2"/>
    <n v="80"/>
    <n v="7.2"/>
    <x v="2"/>
    <s v="26/03-D"/>
    <x v="9"/>
    <s v="GM10684P"/>
    <n v="0.03"/>
    <x v="2"/>
    <m/>
    <m/>
    <m/>
  </r>
  <r>
    <s v="109."/>
    <x v="102"/>
    <d v="2026-03-31T00:00:00"/>
    <d v="2026-04-01T00:00:00"/>
    <s v="90/2026"/>
    <n v="7"/>
    <n v="1008"/>
    <n v="79"/>
    <n v="364"/>
    <n v="2"/>
    <n v="158.24175824175825"/>
    <x v="54"/>
    <n v="81.900000000000006"/>
    <x v="77"/>
    <n v="83.2"/>
    <n v="80"/>
    <n v="7.2"/>
    <x v="2"/>
    <s v="26/03-E"/>
    <x v="9"/>
    <s v="GM41373P"/>
    <n v="0.03"/>
    <x v="2"/>
    <s v="KRYSTIAN"/>
    <m/>
    <s v="DALSZA PRODUKCJA KOLORY FUTTERHAUS"/>
  </r>
  <r>
    <s v="110."/>
    <x v="103"/>
    <d v="2026-03-27T00:00:00"/>
    <d v="2026-03-31T00:00:00"/>
    <s v="91/2026"/>
    <n v="8"/>
    <n v="2040"/>
    <n v="86.5"/>
    <n v="332"/>
    <n v="2"/>
    <n v="173.49397590361446"/>
    <x v="55"/>
    <n v="172.2"/>
    <x v="78"/>
    <n v="173.1"/>
    <n v="60"/>
    <n v="11.15"/>
    <x v="2"/>
    <s v="26/03-A"/>
    <x v="0"/>
    <s v="W6-253"/>
    <n v="0.03"/>
    <x v="2"/>
    <m/>
    <m/>
    <m/>
  </r>
  <r>
    <s v="111."/>
    <x v="104"/>
    <d v="2026-03-31T00:00:00"/>
    <d v="2026-04-02T00:00:00"/>
    <s v="91/2026"/>
    <n v="8"/>
    <n v="2005"/>
    <n v="84.8"/>
    <n v="339"/>
    <n v="2"/>
    <n v="169.91150442477877"/>
    <x v="11"/>
    <n v="173.8"/>
    <x v="79"/>
    <n v="174.8"/>
    <n v="60"/>
    <n v="11.15"/>
    <x v="2"/>
    <s v="26/03-B"/>
    <x v="0"/>
    <s v="W2-73/1"/>
    <n v="0.03"/>
    <x v="2"/>
    <m/>
    <m/>
    <m/>
  </r>
  <r>
    <s v="112."/>
    <x v="105"/>
    <d v="2026-04-02T00:00:00"/>
    <d v="2026-04-03T00:00:00"/>
    <s v="91/2026"/>
    <n v="8"/>
    <n v="2006"/>
    <n v="82"/>
    <n v="351"/>
    <n v="2"/>
    <n v="164.10256410256412"/>
    <x v="0"/>
    <n v="171.8"/>
    <x v="80"/>
    <n v="173.2"/>
    <n v="60"/>
    <n v="11.15"/>
    <x v="2"/>
    <s v="26/04-C"/>
    <x v="3"/>
    <s v="GM-32747E"/>
    <n v="0.04"/>
    <x v="2"/>
    <s v="KRYSTIAN"/>
    <s v="NIE"/>
    <m/>
  </r>
  <r>
    <s v="113."/>
    <x v="106"/>
    <d v="2026-03-30T00:00:00"/>
    <d v="2026-03-30T00:00:00"/>
    <s v="86/2026"/>
    <n v="3"/>
    <n v="812"/>
    <n v="50.4"/>
    <n v="571"/>
    <n v="1"/>
    <n v="50.437828371278457"/>
    <x v="0"/>
    <n v="153"/>
    <x v="81"/>
    <n v="153.4"/>
    <n v="28"/>
    <n v="4.55"/>
    <x v="0"/>
    <s v="26/03-A"/>
    <x v="0"/>
    <s v="GM80690E"/>
    <n v="0.03"/>
    <x v="6"/>
    <m/>
    <m/>
    <m/>
  </r>
  <r>
    <s v="114."/>
    <x v="107"/>
    <d v="2026-03-30T00:00:00"/>
    <d v="2026-03-31T00:00:00"/>
    <s v="86/2026"/>
    <n v="3"/>
    <n v="812"/>
    <n v="50.4"/>
    <n v="571"/>
    <n v="1"/>
    <n v="50.437828371278457"/>
    <x v="31"/>
    <n v="153.9"/>
    <x v="70"/>
    <n v="154.19999999999999"/>
    <n v="28"/>
    <n v="4.55"/>
    <x v="0"/>
    <s v="26/03-B"/>
    <x v="0"/>
    <s v="GM-53281E"/>
    <n v="0.03"/>
    <x v="2"/>
    <m/>
    <m/>
    <m/>
  </r>
  <r>
    <s v="115."/>
    <x v="108"/>
    <d v="2026-03-31T00:00:00"/>
    <s v="104.2026"/>
    <s v="86/2026"/>
    <n v="3"/>
    <n v="812"/>
    <n v="50.4"/>
    <n v="571"/>
    <n v="1"/>
    <n v="50.437828371278457"/>
    <x v="0"/>
    <n v="154.1"/>
    <x v="82"/>
    <n v="154.6"/>
    <n v="28"/>
    <n v="4.55"/>
    <x v="0"/>
    <s v="26/03-C"/>
    <x v="0"/>
    <s v="GM-32218E "/>
    <n v="0.03"/>
    <x v="2"/>
    <m/>
    <m/>
    <m/>
  </r>
  <r>
    <s v="116."/>
    <x v="109"/>
    <d v="2026-04-01T00:00:00"/>
    <d v="2026-04-02T00:00:00"/>
    <s v="86/2026"/>
    <n v="3"/>
    <n v="1008"/>
    <n v="50.8"/>
    <n v="567"/>
    <n v="1"/>
    <n v="50.793650793650791"/>
    <x v="0"/>
    <n v="153.9"/>
    <x v="83"/>
    <n v="154.1"/>
    <n v="28"/>
    <n v="4.55"/>
    <x v="0"/>
    <s v="26/03-D"/>
    <x v="0"/>
    <s v="GM41373P"/>
    <n v="0.03"/>
    <x v="2"/>
    <s v="KACPER"/>
    <s v="NIE"/>
    <m/>
  </r>
  <r>
    <s v="117."/>
    <x v="110"/>
    <d v="2026-03-18T00:00:00"/>
    <d v="2026-03-18T00:00:00"/>
    <s v="84/2026"/>
    <n v="4"/>
    <n v="2081"/>
    <n v="28.9"/>
    <n v="996"/>
    <n v="2"/>
    <n v="57.831325301204821"/>
    <x v="0"/>
    <n v="26"/>
    <x v="84"/>
    <n v="26.9"/>
    <n v="176"/>
    <n v="4.5999999999999996"/>
    <x v="0"/>
    <s v="26/03-A"/>
    <x v="6"/>
    <s v="GM-32218E "/>
    <n v="0.02"/>
    <x v="1"/>
    <s v="ŁUKASZ"/>
    <m/>
    <m/>
  </r>
  <r>
    <s v="118."/>
    <x v="111"/>
    <d v="2026-03-30T00:00:00"/>
    <d v="2026-04-01T00:00:00"/>
    <s v="63/2026"/>
    <n v="2"/>
    <n v="2213"/>
    <n v="47.8"/>
    <n v="602"/>
    <n v="1"/>
    <n v="47.840531561461795"/>
    <x v="56"/>
    <n v="134.6"/>
    <x v="85"/>
    <n v="139.19999999999999"/>
    <n v="60"/>
    <n v="9.1999999999999993"/>
    <x v="2"/>
    <s v="26/03-A"/>
    <x v="6"/>
    <s v="W2-73/1"/>
    <n v="0.03"/>
    <x v="6"/>
    <m/>
    <m/>
    <m/>
  </r>
  <r>
    <s v="119."/>
    <x v="112"/>
    <d v="2026-04-01T00:00:00"/>
    <d v="2026-04-03T00:00:00"/>
    <s v="63/2026"/>
    <n v="2"/>
    <n v="2204"/>
    <n v="47.7"/>
    <n v="602"/>
    <n v="1"/>
    <n v="47.840531561461795"/>
    <x v="37"/>
    <n v="134.6"/>
    <x v="85"/>
    <n v="139.19999999999999"/>
    <n v="60"/>
    <n v="9.1999999999999993"/>
    <x v="2"/>
    <s v="26/04-B"/>
    <x v="6"/>
    <s v="W6-253"/>
    <n v="0.03"/>
    <x v="2"/>
    <m/>
    <m/>
    <m/>
  </r>
  <r>
    <s v="120."/>
    <x v="113"/>
    <d v="2026-04-03T00:00:00"/>
    <d v="2026-04-08T00:00:00"/>
    <s v="63/2026"/>
    <n v="2"/>
    <n v="2201"/>
    <n v="46.3"/>
    <n v="622"/>
    <n v="1"/>
    <n v="46.30225080385852"/>
    <x v="57"/>
    <n v="134.6"/>
    <x v="86"/>
    <n v="139.30000000000001"/>
    <n v="60"/>
    <n v="9.1999999999999993"/>
    <x v="2"/>
    <s v="26/04-C"/>
    <x v="6"/>
    <s v="GM-32747E"/>
    <n v="0.04"/>
    <x v="2"/>
    <m/>
    <m/>
    <m/>
  </r>
  <r>
    <s v="121."/>
    <x v="114"/>
    <d v="2026-03-30T00:00:00"/>
    <d v="2026-03-31T00:00:00"/>
    <s v="94/2026"/>
    <n v="6"/>
    <n v="775"/>
    <n v="35.79"/>
    <n v="804"/>
    <n v="1"/>
    <n v="35.820895522388057"/>
    <x v="58"/>
    <n v="57.2"/>
    <x v="87"/>
    <n v="57.7"/>
    <n v="175"/>
    <n v="10.7"/>
    <x v="2"/>
    <s v="26/03-A"/>
    <x v="13"/>
    <s v="GM41373P"/>
    <n v="0.02"/>
    <x v="1"/>
    <m/>
    <m/>
    <m/>
  </r>
  <r>
    <s v="122."/>
    <x v="115"/>
    <d v="2026-03-31T00:00:00"/>
    <d v="2026-03-31T00:00:00"/>
    <s v="94/2026"/>
    <n v="6"/>
    <n v="525"/>
    <n v="36.75"/>
    <n v="783"/>
    <n v="1"/>
    <n v="36.781609195402297"/>
    <x v="3"/>
    <n v="57.8"/>
    <x v="88"/>
    <n v="58.2"/>
    <n v="175"/>
    <n v="10.7"/>
    <x v="2"/>
    <s v="26/03-B"/>
    <x v="14"/>
    <s v="GM-12197E"/>
    <n v="0.02"/>
    <x v="2"/>
    <m/>
    <m/>
    <m/>
  </r>
  <r>
    <s v="123."/>
    <x v="116"/>
    <d v="2026-03-31T00:00:00"/>
    <d v="2026-04-01T00:00:00"/>
    <s v="94/2026"/>
    <n v="6"/>
    <n v="800"/>
    <n v="36.75"/>
    <n v="783"/>
    <n v="1"/>
    <n v="36.781609195402297"/>
    <x v="59"/>
    <n v="57.8"/>
    <x v="89"/>
    <n v="58.3"/>
    <n v="175"/>
    <n v="10.7"/>
    <x v="2"/>
    <s v="26/03-C"/>
    <x v="15"/>
    <s v="GM10684P"/>
    <n v="0.02"/>
    <x v="2"/>
    <m/>
    <m/>
    <m/>
  </r>
  <r>
    <s v="124."/>
    <x v="117"/>
    <d v="2026-04-01T00:00:00"/>
    <d v="2026-04-01T00:00:00"/>
    <s v="94/2026"/>
    <n v="6"/>
    <n v="600"/>
    <n v="34.51"/>
    <n v="834"/>
    <n v="1"/>
    <n v="34.532374100719423"/>
    <x v="60"/>
    <n v="57.2"/>
    <x v="90"/>
    <n v="58.7"/>
    <n v="175"/>
    <n v="10.7"/>
    <x v="2"/>
    <s v="26/04-D"/>
    <x v="16"/>
    <s v="GM-32218E "/>
    <n v="0.02"/>
    <x v="2"/>
    <m/>
    <m/>
    <m/>
  </r>
  <r>
    <s v="125."/>
    <x v="118"/>
    <d v="2026-04-01T00:00:00"/>
    <d v="2026-04-02T00:00:00"/>
    <s v="94/2026"/>
    <n v="6"/>
    <n v="800"/>
    <n v="36.46"/>
    <n v="790"/>
    <n v="1"/>
    <n v="36.455696202531648"/>
    <x v="0"/>
    <n v="57.2"/>
    <x v="90"/>
    <n v="58.7"/>
    <n v="175"/>
    <n v="10.7"/>
    <x v="2"/>
    <s v="26/04-E"/>
    <x v="17"/>
    <s v="GM80690E"/>
    <n v="0.02"/>
    <x v="2"/>
    <s v="KACPER"/>
    <s v="TAK"/>
    <m/>
  </r>
  <r>
    <s v="126."/>
    <x v="119"/>
    <d v="2026-04-01T00:00:00"/>
    <d v="2026-04-02T00:00:00"/>
    <s v="77/2026"/>
    <n v="4"/>
    <n v="810"/>
    <n v="58"/>
    <n v="496"/>
    <n v="1"/>
    <n v="58.064516129032256"/>
    <x v="58"/>
    <n v="158.19999999999999"/>
    <x v="50"/>
    <n v="158.6"/>
    <n v="40"/>
    <n v="9.1"/>
    <x v="2"/>
    <s v="26/04-A"/>
    <x v="6"/>
    <s v="W7-76"/>
    <n v="0.03"/>
    <x v="7"/>
    <m/>
    <m/>
    <m/>
  </r>
  <r>
    <s v="127."/>
    <x v="56"/>
    <d v="2026-04-02T00:00:00"/>
    <d v="2026-04-03T00:00:00"/>
    <s v="77/2026"/>
    <n v="4"/>
    <n v="1000"/>
    <n v="55.4"/>
    <n v="520"/>
    <n v="1"/>
    <n v="55.384615384615387"/>
    <x v="61"/>
    <n v="157.19999999999999"/>
    <x v="51"/>
    <n v="157.5"/>
    <n v="54"/>
    <n v="9.1"/>
    <x v="2"/>
    <s v="26/04-B"/>
    <x v="6"/>
    <s v="GM-20225E"/>
    <n v="0.05"/>
    <x v="2"/>
    <s v="ŁUKASZ"/>
    <s v="NIE"/>
    <m/>
  </r>
  <r>
    <s v="128."/>
    <x v="120"/>
    <d v="2026-04-02T00:00:00"/>
    <d v="2026-04-02T00:00:00"/>
    <s v="95/2026"/>
    <n v="6"/>
    <n v="801"/>
    <n v="28.45"/>
    <n v="1012"/>
    <n v="1"/>
    <n v="28.458498023715414"/>
    <x v="62"/>
    <n v="55.9"/>
    <x v="91"/>
    <n v="59.7"/>
    <n v="40"/>
    <n v="3.5"/>
    <x v="0"/>
    <s v="26/04-A"/>
    <x v="6"/>
    <s v="W6-125"/>
    <n v="0.03"/>
    <x v="8"/>
    <m/>
    <m/>
    <m/>
  </r>
  <r>
    <s v="129."/>
    <x v="121"/>
    <d v="2026-04-02T00:00:00"/>
    <d v="2026-04-03T00:00:00"/>
    <s v="95/2026"/>
    <n v="6"/>
    <n v="1008"/>
    <n v="28.45"/>
    <n v="1012"/>
    <n v="1"/>
    <n v="28.458498023715414"/>
    <x v="63"/>
    <n v="55.4"/>
    <x v="92"/>
    <n v="59.2"/>
    <n v="40"/>
    <n v="3.5"/>
    <x v="0"/>
    <s v="26/04-B"/>
    <x v="6"/>
    <s v="GM-32747E"/>
    <n v="0.04"/>
    <x v="2"/>
    <m/>
    <m/>
    <m/>
  </r>
  <r>
    <s v="130."/>
    <x v="122"/>
    <d v="2026-04-03T00:00:00"/>
    <d v="2026-04-03T00:00:00"/>
    <s v="95/2026"/>
    <n v="6"/>
    <n v="500"/>
    <n v="28.45"/>
    <n v="1012"/>
    <n v="1"/>
    <n v="28.458498023715414"/>
    <x v="64"/>
    <n v="55.4"/>
    <x v="93"/>
    <n v="59.9"/>
    <n v="40"/>
    <n v="3.5"/>
    <x v="0"/>
    <s v="26/04-C"/>
    <x v="6"/>
    <s v="W2-73/1"/>
    <n v="0.03"/>
    <x v="2"/>
    <s v="KRYSTIAN"/>
    <s v="NIE"/>
    <m/>
  </r>
  <r>
    <s v="131."/>
    <x v="123"/>
    <d v="2026-04-03T00:00:00"/>
    <d v="2026-04-03T00:00:00"/>
    <s v="95/2026"/>
    <n v="6"/>
    <n v="800"/>
    <n v="28.45"/>
    <n v="1012"/>
    <n v="1"/>
    <n v="28.458498023715414"/>
    <x v="65"/>
    <n v="54.7"/>
    <x v="92"/>
    <n v="59.2"/>
    <n v="40"/>
    <n v="3.5"/>
    <x v="0"/>
    <s v="26/04-D"/>
    <x v="6"/>
    <s v="GM-20225E"/>
    <n v="0.04"/>
    <x v="1"/>
    <m/>
    <m/>
    <m/>
  </r>
  <r>
    <s v="132."/>
    <x v="124"/>
    <d v="2026-04-01T00:00:00"/>
    <d v="2026-04-03T00:00:00"/>
    <s v="96/2026"/>
    <n v="7"/>
    <n v="2700"/>
    <n v="78.900000000000006"/>
    <n v="730"/>
    <n v="2"/>
    <n v="78.904109589041099"/>
    <x v="0"/>
    <n v="81.7"/>
    <x v="94"/>
    <n v="83.05"/>
    <n v="80"/>
    <n v="7.2"/>
    <x v="2"/>
    <s v="26/04-A"/>
    <x v="9"/>
    <s v="W2-73/1"/>
    <n v="0.03"/>
    <x v="2"/>
    <m/>
    <m/>
    <m/>
  </r>
  <r>
    <s v="133."/>
    <x v="125"/>
    <d v="2026-04-03T00:00:00"/>
    <d v="2026-04-08T00:00:00"/>
    <s v="96/2026"/>
    <n v="7"/>
    <n v="2700"/>
    <n v="78.900000000000006"/>
    <n v="730"/>
    <n v="2"/>
    <n v="78.904109589041099"/>
    <x v="66"/>
    <n v="81.5"/>
    <x v="95"/>
    <n v="82.85"/>
    <n v="80"/>
    <n v="7.2"/>
    <x v="2"/>
    <s v="26/04-B"/>
    <x v="9"/>
    <s v="W6-253"/>
    <n v="0.03"/>
    <x v="2"/>
    <m/>
    <m/>
    <m/>
  </r>
  <r>
    <s v="134."/>
    <x v="126"/>
    <d v="2026-04-02T00:00:00"/>
    <d v="2026-04-03T00:00:00"/>
    <s v="104/2026"/>
    <n v="3"/>
    <n v="1000"/>
    <n v="64.900000000000006"/>
    <n v="443"/>
    <n v="1"/>
    <n v="65.011286681715575"/>
    <x v="31"/>
    <n v="209"/>
    <x v="96"/>
    <n v="209.2"/>
    <n v="52"/>
    <n v="12"/>
    <x v="3"/>
    <s v="26/04-A"/>
    <x v="1"/>
    <s v="GM80690E"/>
    <n v="0.02"/>
    <x v="1"/>
    <s v="KRYSTIAN"/>
    <s v="NIE"/>
    <m/>
  </r>
  <r>
    <s v="135."/>
    <x v="127"/>
    <d v="2026-04-03T00:00:00"/>
    <d v="2026-04-07T00:00:00"/>
    <s v="105/2026"/>
    <n v="3"/>
    <n v="1504"/>
    <n v="38.5"/>
    <n v="748"/>
    <n v="1"/>
    <n v="38.502673796791441"/>
    <x v="51"/>
    <n v="127.8"/>
    <x v="97"/>
    <n v="128.1"/>
    <n v="32"/>
    <n v="4.3"/>
    <x v="0"/>
    <s v="26/04-A"/>
    <x v="0"/>
    <s v="GM80690E"/>
    <n v="0.02"/>
    <x v="2"/>
    <m/>
    <m/>
    <m/>
  </r>
  <r>
    <s v="136."/>
    <x v="128"/>
    <d v="2026-04-07T00:00:00"/>
    <d v="2026-04-08T00:00:00"/>
    <s v="105/2026"/>
    <n v="3"/>
    <n v="1504"/>
    <n v="38.5"/>
    <n v="748"/>
    <n v="1"/>
    <n v="38.502673796791441"/>
    <x v="0"/>
    <n v="128.6"/>
    <x v="98"/>
    <n v="129"/>
    <n v="32"/>
    <n v="4.3"/>
    <x v="0"/>
    <s v="26/04-B"/>
    <x v="0"/>
    <s v="GM-32218E "/>
    <n v="0.02"/>
    <x v="2"/>
    <m/>
    <m/>
    <m/>
  </r>
  <r>
    <s v="137."/>
    <x v="129"/>
    <d v="2026-04-03T00:00:00"/>
    <d v="2026-04-07T00:00:00"/>
    <s v="89/2026"/>
    <n v="4"/>
    <n v="552"/>
    <n v="44.2"/>
    <n v="650"/>
    <n v="1"/>
    <n v="44.307692307692307"/>
    <x v="0"/>
    <n v="124.5"/>
    <x v="45"/>
    <n v="124.9"/>
    <n v="46"/>
    <n v="6.5"/>
    <x v="1"/>
    <s v="26/04-A"/>
    <x v="18"/>
    <s v="GM 10684P"/>
    <n v="0.02"/>
    <x v="0"/>
    <m/>
    <m/>
    <m/>
  </r>
  <r>
    <s v="138."/>
    <x v="130"/>
    <d v="2026-04-03T00:00:00"/>
    <d v="2026-04-07T00:00:00"/>
    <s v="103/2026"/>
    <n v="8"/>
    <n v="809"/>
    <n v="68.8"/>
    <n v="837"/>
    <n v="2"/>
    <n v="68.817204301075265"/>
    <x v="0"/>
    <n v="187.3"/>
    <x v="99"/>
    <n v="188.25"/>
    <n v="60"/>
    <n v="12.6"/>
    <x v="2"/>
    <s v="26/04-A"/>
    <x v="6"/>
    <s v="GM-32747E"/>
    <n v="0.04"/>
    <x v="1"/>
    <m/>
    <m/>
    <m/>
  </r>
  <r>
    <s v="139."/>
    <x v="131"/>
    <d v="2026-04-07T00:00:00"/>
    <d v="2026-04-07T00:00:00"/>
    <s v="103/2026"/>
    <n v="8"/>
    <n v="500"/>
    <n v="66.8"/>
    <n v="837"/>
    <n v="2"/>
    <n v="68.817204301075265"/>
    <x v="0"/>
    <n v="187.3"/>
    <x v="99"/>
    <n v="188.25"/>
    <n v="60"/>
    <n v="12.6"/>
    <x v="2"/>
    <s v="26/04-A"/>
    <x v="6"/>
    <s v="GM-20225E"/>
    <n v="0.04"/>
    <x v="2"/>
    <s v="KRYSTIAN"/>
    <s v="NIE"/>
    <m/>
  </r>
  <r>
    <s v="140."/>
    <x v="132"/>
    <d v="2026-04-07T00:00:00"/>
    <d v="2026-04-07T00:00:00"/>
    <s v="98/2026"/>
    <n v="4"/>
    <n v="400"/>
    <n v="45.6"/>
    <n v="631"/>
    <n v="1"/>
    <n v="45.641838351822507"/>
    <x v="0"/>
    <n v="125.8"/>
    <x v="100"/>
    <n v="126.3"/>
    <n v="40"/>
    <n v="5"/>
    <x v="0"/>
    <s v="26/04-A"/>
    <x v="18"/>
    <s v="GM10684P"/>
    <n v="0.02"/>
    <x v="2"/>
    <m/>
    <m/>
    <m/>
  </r>
  <r>
    <s v="141."/>
    <x v="12"/>
    <d v="2026-04-07T00:00:00"/>
    <d v="2026-04-08T00:00:00"/>
    <s v="98/2026"/>
    <n v="4"/>
    <n v="1000"/>
    <n v="45.6"/>
    <n v="631"/>
    <n v="1"/>
    <n v="45.641838351822507"/>
    <x v="0"/>
    <n v="126.1"/>
    <x v="101"/>
    <n v="126.5"/>
    <n v="40"/>
    <n v="5"/>
    <x v="0"/>
    <s v="26/04-B"/>
    <x v="18"/>
    <s v="GM-53281E  "/>
    <n v="0.02"/>
    <x v="2"/>
    <m/>
    <m/>
    <m/>
  </r>
  <r>
    <s v="142."/>
    <x v="133"/>
    <d v="2026-04-08T00:00:00"/>
    <d v="2026-04-08T00:00:00"/>
    <s v="98/2026"/>
    <n v="4"/>
    <n v="800"/>
    <n v="45.6"/>
    <n v="631"/>
    <n v="1"/>
    <n v="45.641838351822507"/>
    <x v="0"/>
    <n v="126.1"/>
    <x v="101"/>
    <n v="126.5"/>
    <n v="40"/>
    <n v="5"/>
    <x v="0"/>
    <s v="26/04-C"/>
    <x v="18"/>
    <s v="GM 80690E"/>
    <n v="0.02"/>
    <x v="2"/>
    <s v="KRYSTIAN"/>
    <m/>
    <m/>
  </r>
  <r>
    <s v="143."/>
    <x v="134"/>
    <s v="25.03.23026"/>
    <d v="2026-04-07T00:00:00"/>
    <s v="82/2026"/>
    <n v="8"/>
    <n v="2805"/>
    <n v="68.8"/>
    <n v="837"/>
    <n v="2"/>
    <n v="68.817204301075265"/>
    <x v="0"/>
    <n v="247.2"/>
    <x v="102"/>
    <n v="248.2"/>
    <n v="50"/>
    <n v="12.5"/>
    <x v="2"/>
    <s v="26/03-A"/>
    <x v="6"/>
    <s v="W6-253"/>
    <n v="0.03"/>
    <x v="1"/>
    <m/>
    <m/>
    <s v="PRODUKCJA PRZERWANA AWARIA FORMY"/>
  </r>
  <r>
    <s v="144."/>
    <x v="135"/>
    <d v="2026-04-08T00:00:00"/>
    <d v="2026-04-08T00:00:00"/>
    <s v="82/2026"/>
    <n v="8"/>
    <n v="2800"/>
    <n v="61.6"/>
    <n v="935"/>
    <n v="2"/>
    <n v="61.604278074866308"/>
    <x v="0"/>
    <n v="246.6"/>
    <x v="103"/>
    <n v="241.55"/>
    <n v="50"/>
    <n v="12.5"/>
    <x v="2"/>
    <s v="26/03-B"/>
    <x v="6"/>
    <s v="W2-73/1"/>
    <n v="0.03"/>
    <x v="2"/>
    <m/>
    <m/>
    <m/>
  </r>
  <r>
    <s v="145."/>
    <x v="136"/>
    <d v="2026-04-08T00:00:00"/>
    <d v="2026-04-10T00:00:00"/>
    <s v="82/2026"/>
    <n v="8"/>
    <n v="2814"/>
    <n v="58.3"/>
    <n v="987"/>
    <n v="2"/>
    <n v="58.358662613981764"/>
    <x v="67"/>
    <n v="246.7"/>
    <x v="104"/>
    <n v="241.6"/>
    <n v="50"/>
    <n v="12.5"/>
    <x v="2"/>
    <s v="26/03-C"/>
    <x v="6"/>
    <s v="GM-32747E"/>
    <n v="0.05"/>
    <x v="2"/>
    <m/>
    <m/>
    <m/>
  </r>
  <r>
    <s v="146."/>
    <x v="137"/>
    <d v="2026-04-08T00:00:00"/>
    <d v="2026-04-13T00:00:00"/>
    <s v="97/2025"/>
    <n v="7"/>
    <n v="3972"/>
    <n v="78.7"/>
    <n v="731"/>
    <n v="2"/>
    <n v="78.79616963064295"/>
    <x v="0"/>
    <n v="82.9"/>
    <x v="105"/>
    <n v="84.2"/>
    <n v="80"/>
    <n v="7.2"/>
    <x v="1"/>
    <s v="26/04-C"/>
    <x v="9"/>
    <s v="W5-25"/>
    <n v="0.03"/>
    <x v="2"/>
    <s v="WOJTEK"/>
    <s v="TAK"/>
    <m/>
  </r>
  <r>
    <s v="147."/>
    <x v="138"/>
    <d v="2026-04-08T00:00:00"/>
    <d v="2026-04-08T00:00:00"/>
    <s v="99/2026"/>
    <n v="4"/>
    <n v="1009"/>
    <n v="34.200000000000003"/>
    <n v="842"/>
    <n v="1"/>
    <n v="34.204275534441805"/>
    <x v="0"/>
    <n v="62.6"/>
    <x v="106"/>
    <n v="92.9"/>
    <n v="75"/>
    <n v="4.75"/>
    <x v="0"/>
    <s v="26/04-A"/>
    <x v="10"/>
    <s v="W6-146"/>
    <n v="0.02"/>
    <x v="0"/>
    <m/>
    <m/>
    <m/>
  </r>
  <r>
    <s v="148."/>
    <x v="139"/>
    <d v="2026-04-09T00:00:00"/>
    <d v="2026-04-10T00:00:00"/>
    <s v="99/2026"/>
    <n v="4"/>
    <n v="1010"/>
    <n v="34.200000000000003"/>
    <n v="842"/>
    <n v="1"/>
    <n v="34.204275534441805"/>
    <x v="0"/>
    <n v="62.6"/>
    <x v="107"/>
    <n v="62.9"/>
    <n v="75"/>
    <n v="4.75"/>
    <x v="0"/>
    <s v="26/04-B"/>
    <x v="10"/>
    <s v="W5-17"/>
    <n v="0.02"/>
    <x v="2"/>
    <m/>
    <m/>
    <m/>
  </r>
  <r>
    <s v="149."/>
    <x v="140"/>
    <d v="2026-04-10T00:00:00"/>
    <d v="2026-04-10T00:00:00"/>
    <s v="99/2026"/>
    <n v="4"/>
    <n v="2207"/>
    <n v="34.299999999999997"/>
    <n v="842"/>
    <n v="1"/>
    <n v="34.204275534441805"/>
    <x v="0"/>
    <n v="61.8"/>
    <x v="108"/>
    <n v="62.2"/>
    <n v="75"/>
    <n v="4.75"/>
    <x v="0"/>
    <s v="26/04-C"/>
    <x v="10"/>
    <s v="W6-69"/>
    <n v="0.02"/>
    <x v="2"/>
    <m/>
    <m/>
    <m/>
  </r>
  <r>
    <s v="150."/>
    <x v="141"/>
    <d v="2026-04-12T00:00:00"/>
    <d v="2026-04-13T00:00:00"/>
    <s v="99/2026"/>
    <n v="4"/>
    <n v="874"/>
    <n v="37.299999999999997"/>
    <n v="842"/>
    <n v="1"/>
    <n v="34.204275534441805"/>
    <x v="0"/>
    <n v="61.3"/>
    <x v="109"/>
    <n v="61.8"/>
    <n v="75"/>
    <n v="4.75"/>
    <x v="0"/>
    <s v="26/04-D"/>
    <x v="10"/>
    <s v="GM 10683P"/>
    <n v="0.02"/>
    <x v="2"/>
    <m/>
    <m/>
    <m/>
  </r>
  <r>
    <s v="151."/>
    <x v="142"/>
    <d v="2026-04-13T00:00:00"/>
    <d v="2026-04-13T00:00:00"/>
    <s v="99/2026"/>
    <n v="4"/>
    <n v="600"/>
    <n v="37.299999999999997"/>
    <n v="842"/>
    <n v="1"/>
    <n v="34.204275534441805"/>
    <x v="0"/>
    <n v="62.1"/>
    <x v="110"/>
    <n v="62.6"/>
    <n v="75"/>
    <n v="4.75"/>
    <x v="0"/>
    <s v="26/04-E"/>
    <x v="10"/>
    <s v="GM 80295"/>
    <n v="0.02"/>
    <x v="2"/>
    <s v="ANDRZEJ"/>
    <s v="TAK "/>
    <m/>
  </r>
  <r>
    <s v="152."/>
    <x v="143"/>
    <d v="2026-04-13T00:00:00"/>
    <d v="2026-04-14T00:00:00"/>
    <s v="106/2026"/>
    <n v="4"/>
    <n v="958"/>
    <n v="50.3"/>
    <n v="572"/>
    <n v="1"/>
    <n v="50.349650349650346"/>
    <x v="0"/>
    <n v="108.5"/>
    <x v="37"/>
    <n v="108.9"/>
    <n v="44"/>
    <n v="5.3"/>
    <x v="2"/>
    <s v="26/04-A"/>
    <x v="19"/>
    <s v="GM-32218E "/>
    <n v="0.02"/>
    <x v="0"/>
    <m/>
    <m/>
    <m/>
  </r>
  <r>
    <s v="153."/>
    <x v="144"/>
    <d v="2026-04-14T00:00:00"/>
    <d v="2026-04-14T00:00:00"/>
    <s v="106/2026"/>
    <n v="4"/>
    <n v="904"/>
    <n v="50.3"/>
    <n v="572"/>
    <n v="1"/>
    <n v="50.349650349650346"/>
    <x v="28"/>
    <n v="107.8"/>
    <x v="38"/>
    <n v="108.3"/>
    <n v="44"/>
    <n v="5.3"/>
    <x v="2"/>
    <s v="26/04-B"/>
    <x v="20"/>
    <s v="W5-25"/>
    <n v="0.02"/>
    <x v="2"/>
    <m/>
    <m/>
    <m/>
  </r>
  <r>
    <s v="154."/>
    <x v="145"/>
    <d v="2026-04-14T00:00:00"/>
    <d v="2026-04-15T00:00:00"/>
    <s v="106/2026"/>
    <n v="4"/>
    <n v="836"/>
    <n v="50.3"/>
    <n v="572"/>
    <n v="1"/>
    <n v="50.349650349650346"/>
    <x v="0"/>
    <n v="107.5"/>
    <x v="111"/>
    <n v="107.9"/>
    <n v="44"/>
    <n v="5.3"/>
    <x v="2"/>
    <s v="26/04-C"/>
    <x v="21"/>
    <s v="GM-53281E"/>
    <n v="0.02"/>
    <x v="2"/>
    <m/>
    <m/>
    <m/>
  </r>
  <r>
    <s v="155."/>
    <x v="146"/>
    <d v="2026-04-15T00:00:00"/>
    <d v="2026-04-15T00:00:00"/>
    <s v="106/2026"/>
    <n v="4"/>
    <n v="810"/>
    <n v="50.3"/>
    <n v="572"/>
    <n v="1"/>
    <n v="50.349650349650346"/>
    <x v="68"/>
    <n v="108.1"/>
    <x v="112"/>
    <n v="108.6"/>
    <n v="44"/>
    <n v="5.3"/>
    <x v="2"/>
    <s v="26/04-D"/>
    <x v="20"/>
    <s v="GM10684P"/>
    <n v="0.02"/>
    <x v="2"/>
    <m/>
    <m/>
    <m/>
  </r>
  <r>
    <s v="156."/>
    <x v="147"/>
    <d v="2026-04-15T00:00:00"/>
    <d v="2026-04-16T00:00:00"/>
    <s v="106/2026"/>
    <n v="4"/>
    <n v="748"/>
    <n v="50.3"/>
    <n v="572"/>
    <n v="1"/>
    <n v="50.349650349650346"/>
    <x v="69"/>
    <n v="107.4"/>
    <x v="111"/>
    <n v="107.9"/>
    <n v="44"/>
    <n v="5.3"/>
    <x v="2"/>
    <s v="26/04-E"/>
    <x v="20"/>
    <s v="GM41373P"/>
    <n v="0.02"/>
    <x v="2"/>
    <m/>
    <m/>
    <m/>
  </r>
  <r>
    <s v="157."/>
    <x v="148"/>
    <d v="2026-04-16T00:00:00"/>
    <d v="2026-04-16T00:00:00"/>
    <s v="106/2026"/>
    <n v="4"/>
    <n v="805"/>
    <n v="50.2"/>
    <n v="572"/>
    <n v="1"/>
    <n v="50.349650349650346"/>
    <x v="0"/>
    <n v="107.4"/>
    <x v="111"/>
    <n v="107.9"/>
    <n v="44"/>
    <n v="5.3"/>
    <x v="2"/>
    <s v="26/04-F"/>
    <x v="20"/>
    <s v="GM43107E"/>
    <n v="0.02"/>
    <x v="2"/>
    <m/>
    <m/>
    <m/>
  </r>
  <r>
    <s v="158."/>
    <x v="149"/>
    <d v="2026-04-16T00:00:00"/>
    <d v="2026-04-17T00:00:00"/>
    <s v="106/2026"/>
    <n v="4"/>
    <n v="809"/>
    <n v="50.2"/>
    <n v="572"/>
    <n v="1"/>
    <n v="50.349650349650346"/>
    <x v="0"/>
    <n v="107.7"/>
    <x v="113"/>
    <n v="108.1"/>
    <n v="44"/>
    <n v="5.3"/>
    <x v="2"/>
    <s v="26/04-G"/>
    <x v="20"/>
    <s v="W4-62"/>
    <n v="0.02"/>
    <x v="2"/>
    <m/>
    <m/>
    <m/>
  </r>
  <r>
    <s v="159."/>
    <x v="150"/>
    <d v="2026-04-17T00:00:00"/>
    <d v="2026-04-17T00:00:00"/>
    <s v="106/2026"/>
    <n v="4"/>
    <n v="612"/>
    <n v="49.7"/>
    <n v="579"/>
    <n v="1"/>
    <n v="49.740932642487046"/>
    <x v="0"/>
    <n v="107.8"/>
    <x v="114"/>
    <n v="108.4"/>
    <n v="44"/>
    <n v="5.3"/>
    <x v="2"/>
    <s v="26/04-H"/>
    <x v="20"/>
    <s v="W6-69"/>
    <n v="0.02"/>
    <x v="2"/>
    <s v="ŁUKASZ"/>
    <s v="NIE"/>
    <m/>
  </r>
  <r>
    <s v="160."/>
    <x v="151"/>
    <d v="2026-04-13T00:00:00"/>
    <d v="2026-04-14T00:00:00"/>
    <s v="83/2026"/>
    <n v="7"/>
    <n v="1900"/>
    <n v="41.2"/>
    <n v="700"/>
    <n v="1"/>
    <n v="41.142857142857146"/>
    <x v="70"/>
    <n v="232.1"/>
    <x v="115"/>
    <n v="232.1"/>
    <n v="20"/>
    <n v="5"/>
    <x v="2"/>
    <s v="26/04-A"/>
    <x v="22"/>
    <s v="W6-253"/>
    <n v="0.03"/>
    <x v="6"/>
    <m/>
    <m/>
    <m/>
  </r>
  <r>
    <s v="161."/>
    <x v="152"/>
    <d v="2026-04-14T00:00:00"/>
    <d v="2026-04-15T00:00:00"/>
    <s v="83/2026"/>
    <n v="7"/>
    <n v="1920"/>
    <n v="41.2"/>
    <n v="700"/>
    <n v="1"/>
    <n v="41.142857142857146"/>
    <x v="71"/>
    <n v="228"/>
    <x v="116"/>
    <n v="230.5"/>
    <n v="20"/>
    <n v="5"/>
    <x v="2"/>
    <s v="26/04-B"/>
    <x v="22"/>
    <s v="GM-32747E"/>
    <n v="0.04"/>
    <x v="2"/>
    <m/>
    <m/>
    <m/>
  </r>
  <r>
    <s v="162."/>
    <x v="153"/>
    <d v="2026-04-15T00:00:00"/>
    <d v="2026-04-16T00:00:00"/>
    <s v="83/2026"/>
    <n v="7"/>
    <n v="1900"/>
    <n v="41.2"/>
    <n v="700"/>
    <n v="1"/>
    <n v="41.142857142857146"/>
    <x v="72"/>
    <n v="230.9"/>
    <x v="117"/>
    <n v="233.9"/>
    <n v="20"/>
    <n v="5"/>
    <x v="2"/>
    <s v="26/04-C"/>
    <x v="22"/>
    <s v="W2-73/1"/>
    <n v="0.03"/>
    <x v="2"/>
    <m/>
    <m/>
    <m/>
  </r>
  <r>
    <s v="163."/>
    <x v="154"/>
    <d v="2026-04-14T00:00:00"/>
    <d v="2026-04-17T00:00:00"/>
    <s v="112/2026"/>
    <n v="6"/>
    <n v="11000"/>
    <n v="34.25"/>
    <n v="1680"/>
    <n v="2"/>
    <n v="34.285714285714285"/>
    <x v="73"/>
    <n v="53.4"/>
    <x v="118"/>
    <n v="54.25"/>
    <n v="250"/>
    <n v="14"/>
    <x v="1"/>
    <s v="26/04-A"/>
    <x v="0"/>
    <s v="GM-32747E"/>
    <n v="0.04"/>
    <x v="2"/>
    <m/>
    <m/>
    <m/>
  </r>
  <r>
    <s v="164."/>
    <x v="136"/>
    <d v="2026-04-17T00:00:00"/>
    <d v="2026-04-17T00:00:00"/>
    <s v="128/2026"/>
    <n v="8"/>
    <n v="1000"/>
    <n v="64.2"/>
    <n v="897"/>
    <n v="2"/>
    <n v="64.214046822742475"/>
    <x v="0"/>
    <n v="242.8"/>
    <x v="119"/>
    <n v="243.75"/>
    <n v="50"/>
    <n v="12.5"/>
    <x v="1"/>
    <s v="26/04-A"/>
    <x v="6"/>
    <s v="GM-32747E"/>
    <n v="0.05"/>
    <x v="0"/>
    <m/>
    <m/>
    <m/>
  </r>
  <r>
    <s v="165."/>
    <x v="155"/>
    <d v="2026-04-17T00:00:00"/>
    <d v="2026-04-19T00:00:00"/>
    <s v="128/2026"/>
    <n v="8"/>
    <n v="1000"/>
    <n v="64.2"/>
    <n v="897"/>
    <n v="2"/>
    <n v="64.214046822742475"/>
    <x v="0"/>
    <n v="241"/>
    <x v="120"/>
    <n v="243.65"/>
    <n v="50"/>
    <n v="12.5"/>
    <x v="1"/>
    <s v="26/04-B"/>
    <x v="6"/>
    <s v="GM-20225E"/>
    <n v="0.04"/>
    <x v="2"/>
    <m/>
    <m/>
    <m/>
  </r>
  <r>
    <s v="166."/>
    <x v="156"/>
    <d v="2026-04-20T00:00:00"/>
    <d v="2026-04-20T00:00:00"/>
    <s v="128/2026"/>
    <n v="8"/>
    <n v="700"/>
    <n v="65.599999999999994"/>
    <n v="878"/>
    <n v="2"/>
    <n v="65.603644646924835"/>
    <x v="74"/>
    <n v="224.5"/>
    <x v="121"/>
    <n v="245.35"/>
    <n v="50"/>
    <n v="12.5"/>
    <x v="1"/>
    <s v="26/04-C"/>
    <x v="6"/>
    <s v="W2-73/1"/>
    <n v="0.03"/>
    <x v="2"/>
    <m/>
    <m/>
    <m/>
  </r>
  <r>
    <s v="167."/>
    <x v="157"/>
    <d v="2026-04-20T00:00:00"/>
    <d v="2026-04-20T00:00:00"/>
    <s v="128/2026"/>
    <n v="8"/>
    <n v="835"/>
    <n v="66.3"/>
    <n v="868"/>
    <n v="2"/>
    <n v="66.359447004608299"/>
    <x v="25"/>
    <n v="245.7"/>
    <x v="122"/>
    <n v="246.7"/>
    <n v="50"/>
    <n v="12.5"/>
    <x v="1"/>
    <s v="26/04-D"/>
    <x v="6"/>
    <m/>
    <m/>
    <x v="2"/>
    <m/>
    <m/>
    <m/>
  </r>
  <r>
    <s v="168."/>
    <x v="158"/>
    <d v="2026-04-17T00:00:00"/>
    <d v="2026-04-20T00:00:00"/>
    <s v="114/82026"/>
    <n v="4"/>
    <n v="658"/>
    <n v="35.4"/>
    <n v="508"/>
    <n v="1"/>
    <n v="56.69291338582677"/>
    <x v="0"/>
    <n v="72"/>
    <x v="123"/>
    <n v="72.400000000000006"/>
    <n v="32"/>
    <n v="3.25"/>
    <x v="2"/>
    <s v="26/04-A"/>
    <x v="10"/>
    <s v="GM10684P"/>
    <n v="0.02"/>
    <x v="0"/>
    <m/>
    <m/>
    <m/>
  </r>
  <r>
    <s v="169."/>
    <x v="159"/>
    <d v="2026-04-20T00:00:00"/>
    <d v="2026-04-20T00:00:00"/>
    <s v="114/2026"/>
    <n v="4"/>
    <n v="1000"/>
    <n v="35.4"/>
    <n v="508"/>
    <n v="1"/>
    <n v="56.69291338582677"/>
    <x v="75"/>
    <n v="72"/>
    <x v="123"/>
    <n v="72.400000000000006"/>
    <n v="32"/>
    <n v="3.25"/>
    <x v="2"/>
    <s v="26/04-B"/>
    <x v="10"/>
    <s v="GM-32218E "/>
    <n v="0.02"/>
    <x v="2"/>
    <m/>
    <m/>
    <m/>
  </r>
  <r>
    <s v="170."/>
    <x v="160"/>
    <d v="2026-04-20T00:00:00"/>
    <d v="2026-04-20T00:00:00"/>
    <s v="114/2026"/>
    <n v="4"/>
    <n v="704"/>
    <n v="35.4"/>
    <n v="508"/>
    <n v="1"/>
    <n v="56.69291338582677"/>
    <x v="76"/>
    <n v="72"/>
    <x v="123"/>
    <n v="72.400000000000006"/>
    <n v="32"/>
    <n v="3.25"/>
    <x v="2"/>
    <s v="26/04-C"/>
    <x v="10"/>
    <s v="GM41373P"/>
    <n v="0.02"/>
    <x v="2"/>
    <m/>
    <m/>
    <m/>
  </r>
  <r>
    <s v="171."/>
    <x v="161"/>
    <d v="2026-04-20T00:00:00"/>
    <d v="2026-04-20T00:00:00"/>
    <s v="114/2026"/>
    <n v="4"/>
    <n v="525"/>
    <n v="35.4"/>
    <n v="508"/>
    <n v="1"/>
    <n v="56.69291338582677"/>
    <x v="68"/>
    <n v="72"/>
    <x v="123"/>
    <n v="72.400000000000006"/>
    <n v="32"/>
    <n v="3.25"/>
    <x v="2"/>
    <s v="26/04-D"/>
    <x v="10"/>
    <s v="GM43107E"/>
    <n v="0.02"/>
    <x v="2"/>
    <m/>
    <m/>
    <m/>
  </r>
  <r>
    <s v="172."/>
    <x v="162"/>
    <d v="2026-04-21T00:00:00"/>
    <d v="2026-04-21T00:00:00"/>
    <s v="114/2026"/>
    <n v="4"/>
    <n v="1100"/>
    <n v="35.200000000000003"/>
    <n v="818"/>
    <n v="1"/>
    <n v="35.207823960880198"/>
    <x v="54"/>
    <n v="72"/>
    <x v="124"/>
    <n v="72.3"/>
    <n v="32"/>
    <n v="3.25"/>
    <x v="2"/>
    <s v="26/04-E"/>
    <x v="10"/>
    <s v="W5-25"/>
    <n v="0.02"/>
    <x v="2"/>
    <m/>
    <m/>
    <m/>
  </r>
  <r>
    <s v="173."/>
    <x v="93"/>
    <d v="2026-04-21T00:00:00"/>
    <d v="2026-04-21T00:00:00"/>
    <s v="114/2026"/>
    <n v="4"/>
    <n v="800"/>
    <n v="35.200000000000003"/>
    <n v="818"/>
    <n v="1"/>
    <n v="35.207823960880198"/>
    <x v="77"/>
    <n v="72"/>
    <x v="124"/>
    <n v="72.3"/>
    <n v="32"/>
    <n v="3.25"/>
    <x v="2"/>
    <s v="26/04-F"/>
    <x v="10"/>
    <s v="GM-53281E"/>
    <n v="0.02"/>
    <x v="2"/>
    <m/>
    <m/>
    <m/>
  </r>
  <r>
    <s v="174."/>
    <x v="45"/>
    <d v="2026-04-17T00:00:00"/>
    <d v="2026-04-17T00:00:00"/>
    <s v="130/2026"/>
    <n v="6"/>
    <n v="500"/>
    <n v="33.25"/>
    <n v="1732"/>
    <n v="2"/>
    <n v="33.25635103926097"/>
    <x v="0"/>
    <n v="53.4"/>
    <x v="118"/>
    <n v="54.25"/>
    <n v="250"/>
    <n v="14"/>
    <x v="1"/>
    <s v="26/04-A"/>
    <x v="0"/>
    <s v="GM-32747E"/>
    <n v="0.05"/>
    <x v="2"/>
    <s v="ŁUKASZ"/>
    <s v="NIE"/>
    <m/>
  </r>
  <r>
    <s v="175."/>
    <x v="163"/>
    <d v="2026-04-19T00:00:00"/>
    <d v="2026-04-19T00:00:00"/>
    <s v="138/2026"/>
    <n v="6"/>
    <n v="1558"/>
    <n v="37.64"/>
    <n v="1530"/>
    <n v="2"/>
    <n v="37.647058823529413"/>
    <x v="0"/>
    <n v="14"/>
    <x v="125"/>
    <n v="14.4"/>
    <n v="500"/>
    <n v="7.15"/>
    <x v="0"/>
    <s v="26/04-A"/>
    <x v="0"/>
    <s v="GM-32747E"/>
    <n v="0.05"/>
    <x v="0"/>
    <s v="WOJTEK"/>
    <s v="NIE"/>
    <m/>
  </r>
  <r>
    <s v="176."/>
    <x v="164"/>
    <d v="2026-04-20T00:00:00"/>
    <d v="2026-04-27T00:00:00"/>
    <s v="113/2026"/>
    <n v="6"/>
    <n v="10300"/>
    <n v="37.92"/>
    <n v="759"/>
    <n v="1"/>
    <n v="37.944664031620555"/>
    <x v="0"/>
    <n v="122.5"/>
    <x v="126"/>
    <n v="124.7"/>
    <n v="32"/>
    <n v="4.6500000000000004"/>
    <x v="1"/>
    <s v="26/04-A"/>
    <x v="6"/>
    <s v="GM-32747E"/>
    <n v="0.04"/>
    <x v="6"/>
    <m/>
    <m/>
    <m/>
  </r>
  <r>
    <s v="177."/>
    <x v="165"/>
    <d v="2026-04-21T00:00:00"/>
    <d v="2026-04-22T00:00:00"/>
    <s v="131/2026"/>
    <n v="8"/>
    <n v="4790"/>
    <n v="60.7"/>
    <n v="948"/>
    <n v="2"/>
    <n v="60.759493670886073"/>
    <x v="78"/>
    <n v="244.7"/>
    <x v="127"/>
    <n v="245.65"/>
    <n v="50"/>
    <n v="12.5"/>
    <x v="1"/>
    <s v="26/04-A"/>
    <x v="6"/>
    <s v="GM-32747E"/>
    <n v="0.04"/>
    <x v="2"/>
    <s v="ŁUKASZ"/>
    <s v="NIE"/>
    <m/>
  </r>
  <r>
    <s v="178."/>
    <x v="166"/>
    <d v="2026-04-23T00:00:00"/>
    <d v="2026-04-27T00:00:00"/>
    <s v="127/2026"/>
    <n v="7"/>
    <n v="9000"/>
    <n v="41.2"/>
    <n v="1398"/>
    <n v="2"/>
    <n v="41.201716738197426"/>
    <x v="0"/>
    <n v="108.2"/>
    <x v="128"/>
    <n v="109"/>
    <n v="100"/>
    <n v="11.45"/>
    <x v="1"/>
    <s v="26/04-A"/>
    <x v="6"/>
    <s v="GM-32747E"/>
    <n v="0.04"/>
    <x v="6"/>
    <m/>
    <m/>
    <m/>
  </r>
  <r>
    <s v="179."/>
    <x v="129"/>
    <d v="2026-04-28T00:00:00"/>
    <d v="2026-04-28T00:00:00"/>
    <s v="156/2026"/>
    <n v="4"/>
    <n v="500"/>
    <n v="43.4"/>
    <n v="663"/>
    <n v="1"/>
    <n v="43.438914027149323"/>
    <x v="65"/>
    <n v="123.8"/>
    <x v="129"/>
    <n v="124.4"/>
    <n v="40"/>
    <n v="5.5"/>
    <x v="0"/>
    <s v="26/04-A"/>
    <x v="18"/>
    <s v="GM10684P"/>
    <n v="0.02"/>
    <x v="0"/>
    <m/>
    <m/>
    <m/>
  </r>
  <r>
    <s v="180."/>
    <x v="167"/>
    <d v="2026-04-27T00:00:00"/>
    <d v="2026-04-29T00:00:00"/>
    <s v="135/2026"/>
    <n v="7"/>
    <n v="6300"/>
    <n v="41.2"/>
    <n v="1398"/>
    <n v="2"/>
    <n v="41.201716738197426"/>
    <x v="0"/>
    <n v="108.2"/>
    <x v="128"/>
    <n v="109"/>
    <n v="100"/>
    <n v="11.45"/>
    <x v="1"/>
    <s v="26/04-A"/>
    <x v="6"/>
    <s v="GM-32747E"/>
    <n v="0.04"/>
    <x v="2"/>
    <m/>
    <m/>
    <m/>
  </r>
  <r>
    <s v="181."/>
    <x v="168"/>
    <d v="2026-04-30T00:00:00"/>
    <d v="2026-05-04T00:00:00"/>
    <s v="154/2026"/>
    <n v="7"/>
    <n v="1717"/>
    <n v="42"/>
    <n v="685"/>
    <n v="1"/>
    <n v="42.043795620437955"/>
    <x v="79"/>
    <n v="131"/>
    <x v="130"/>
    <n v="131.6"/>
    <n v="10"/>
    <n v="1.4"/>
    <x v="9"/>
    <s v="26/04-A"/>
    <x v="0"/>
    <s v="W2-01"/>
    <n v="0.02"/>
    <x v="2"/>
    <s v="WOJTEK"/>
    <s v="NIE"/>
    <m/>
  </r>
  <r>
    <s v="182."/>
    <x v="169"/>
    <d v="2026-05-04T00:00:00"/>
    <d v="2026-05-05T00:00:00"/>
    <s v="155/2026"/>
    <n v="7"/>
    <n v="1200"/>
    <n v="39"/>
    <n v="460"/>
    <n v="1"/>
    <n v="62.608695652173914"/>
    <x v="0"/>
    <n v="122"/>
    <x v="131"/>
    <n v="122.5"/>
    <n v="10"/>
    <n v="1.4"/>
    <x v="9"/>
    <s v="26/05-A"/>
    <x v="0"/>
    <s v="W6-69"/>
    <n v="0.02"/>
    <x v="6"/>
    <m/>
    <m/>
    <s v="DO BARWNIKA DODAJEMY GM-91237E 1% BROKAT"/>
  </r>
  <r>
    <s v="183."/>
    <x v="170"/>
    <d v="2026-05-05T00:00:00"/>
    <d v="2026-05-13T00:00:00"/>
    <s v="136/2026"/>
    <n v="7"/>
    <n v="5040"/>
    <n v="59.7"/>
    <n v="482"/>
    <n v="1"/>
    <n v="59.751037344398341"/>
    <x v="0"/>
    <n v="211.7"/>
    <x v="132"/>
    <n v="212"/>
    <n v="52"/>
    <n v="2.5"/>
    <x v="3"/>
    <s v="26/05-A"/>
    <x v="8"/>
    <s v="W6-69"/>
    <n v="0.02"/>
    <x v="0"/>
    <m/>
    <m/>
    <m/>
  </r>
  <r>
    <s v="184."/>
    <x v="171"/>
    <d v="2026-05-11T00:00:00"/>
    <d v="2026-05-12T00:00:00"/>
    <s v="115/2026"/>
    <n v="8"/>
    <n v="1740"/>
    <n v="54.8"/>
    <n v="1050"/>
    <n v="2"/>
    <n v="54.857142857142854"/>
    <x v="0"/>
    <n v="110"/>
    <x v="133"/>
    <n v="110.15"/>
    <n v="60"/>
    <n v="7.1"/>
    <x v="1"/>
    <s v="26/05-A"/>
    <x v="23"/>
    <s v="GM-80690E "/>
    <n v="0.04"/>
    <x v="0"/>
    <m/>
    <m/>
    <m/>
  </r>
  <r>
    <s v="185."/>
    <x v="172"/>
    <d v="2026-05-11T00:00:00"/>
    <d v="2026-05-12T00:00:00"/>
    <s v="133/2026"/>
    <n v="3"/>
    <n v="1726"/>
    <n v="56.5"/>
    <n v="1020"/>
    <n v="2"/>
    <n v="56.470588235294116"/>
    <x v="44"/>
    <n v="55.2"/>
    <x v="134"/>
    <n v="55.6"/>
    <n v="120"/>
    <n v="6.85"/>
    <x v="0"/>
    <s v="26/05-A"/>
    <x v="10"/>
    <s v="GM 80295"/>
    <n v="0.02"/>
    <x v="0"/>
    <s v="KRYSTIAN"/>
    <m/>
    <m/>
  </r>
  <r>
    <s v="186."/>
    <x v="173"/>
    <d v="2026-05-12T00:00:00"/>
    <d v="2026-05-18T00:00:00"/>
    <s v="132/2025"/>
    <n v="3"/>
    <n v="7080"/>
    <n v="56.5"/>
    <n v="1020"/>
    <n v="2"/>
    <n v="56.470588235294116"/>
    <x v="0"/>
    <n v="55.4"/>
    <x v="135"/>
    <n v="55.7"/>
    <n v="120"/>
    <n v="6.85"/>
    <x v="0"/>
    <s v="26/05-B"/>
    <x v="24"/>
    <s v="W2334"/>
    <n v="0.02"/>
    <x v="1"/>
    <m/>
    <m/>
    <m/>
  </r>
  <r>
    <s v="187."/>
    <x v="174"/>
    <d v="2026-05-12T00:00:00"/>
    <d v="2026-05-18T00:00:00"/>
    <s v="137/2026"/>
    <n v="8"/>
    <n v="6912"/>
    <n v="58.6"/>
    <n v="984"/>
    <n v="2"/>
    <n v="58.536585365853661"/>
    <x v="0"/>
    <n v="66.7"/>
    <x v="136"/>
    <n v="69"/>
    <n v="140"/>
    <n v="10"/>
    <x v="1"/>
    <s v="26/05-A"/>
    <x v="0"/>
    <s v="GM-6979E"/>
    <n v="0.03"/>
    <x v="9"/>
    <m/>
    <m/>
    <m/>
  </r>
  <r>
    <s v="188."/>
    <x v="175"/>
    <d v="2026-05-13T00:00:00"/>
    <d v="2026-05-14T00:00:00"/>
    <s v="161/2026"/>
    <n v="7"/>
    <n v="1010"/>
    <n v="59.6"/>
    <n v="362"/>
    <n v="1"/>
    <n v="79.55801104972376"/>
    <x v="35"/>
    <n v="211.7"/>
    <x v="137"/>
    <n v="112"/>
    <n v="52"/>
    <n v="12"/>
    <x v="3"/>
    <s v="26/05-A"/>
    <x v="25"/>
    <s v="W4-62"/>
    <n v="0.02"/>
    <x v="0"/>
    <m/>
    <m/>
    <m/>
  </r>
  <r>
    <s v="189."/>
    <x v="16"/>
    <d v="2026-05-14T00:00:00"/>
    <d v="2026-05-15T00:00:00"/>
    <s v="161/2026"/>
    <n v="7"/>
    <n v="1008"/>
    <n v="60.7"/>
    <n v="948"/>
    <n v="1"/>
    <n v="30.379746835443036"/>
    <x v="52"/>
    <n v="213.2"/>
    <x v="138"/>
    <n v="213.6"/>
    <n v="52"/>
    <n v="12"/>
    <x v="3"/>
    <s v="26/05-B"/>
    <x v="8"/>
    <s v="GM-32218E "/>
    <n v="0.02"/>
    <x v="2"/>
    <m/>
    <m/>
    <m/>
  </r>
  <r>
    <s v="190."/>
    <x v="176"/>
    <d v="2026-05-15T00:00:00"/>
    <d v="2026-05-18T00:00:00"/>
    <s v="161/2026"/>
    <n v="7"/>
    <n v="500"/>
    <n v="60.7"/>
    <n v="948"/>
    <n v="1"/>
    <n v="30.379746835443036"/>
    <x v="0"/>
    <n v="212"/>
    <x v="139"/>
    <n v="212.3"/>
    <n v="52"/>
    <n v="12"/>
    <x v="3"/>
    <s v="26/05-A"/>
    <x v="8"/>
    <s v="W6-69"/>
    <n v="0.02"/>
    <x v="2"/>
    <m/>
    <m/>
    <m/>
  </r>
  <r>
    <s v="191."/>
    <x v="14"/>
    <d v="2026-05-18T00:00:00"/>
    <d v="2026-05-19T00:00:00"/>
    <s v="161/2026"/>
    <n v="7"/>
    <n v="500"/>
    <n v="60.7"/>
    <n v="948"/>
    <n v="1"/>
    <n v="30.379746835443036"/>
    <x v="0"/>
    <n v="212.2"/>
    <x v="24"/>
    <n v="212.8"/>
    <n v="52"/>
    <n v="12"/>
    <x v="3"/>
    <s v="26/05-C"/>
    <x v="8"/>
    <s v="GM-53281E"/>
    <n v="0.02"/>
    <x v="2"/>
    <m/>
    <m/>
    <m/>
  </r>
  <r>
    <s v="192."/>
    <x v="177"/>
    <d v="2026-05-19T00:00:00"/>
    <d v="2026-05-19T00:00:00"/>
    <s v="161/2026"/>
    <n v="7"/>
    <n v="516"/>
    <n v="60.7"/>
    <n v="948"/>
    <n v="1"/>
    <n v="30.379746835443036"/>
    <x v="0"/>
    <n v="219.2"/>
    <x v="140"/>
    <n v="212.9"/>
    <n v="52"/>
    <n v="12"/>
    <x v="3"/>
    <s v="26/05-D"/>
    <x v="8"/>
    <s v="GM43107E"/>
    <n v="0.02"/>
    <x v="2"/>
    <m/>
    <m/>
    <m/>
  </r>
  <r>
    <s v="193."/>
    <x v="15"/>
    <d v="2026-05-20T00:00:00"/>
    <d v="2026-05-20T00:00:00"/>
    <s v="161/2026"/>
    <n v="7"/>
    <n v="520"/>
    <n v="60.7"/>
    <n v="948"/>
    <n v="1"/>
    <n v="30.379746835443036"/>
    <x v="0"/>
    <n v="214.3"/>
    <x v="141"/>
    <n v="214.9"/>
    <n v="52"/>
    <n v="12"/>
    <x v="3"/>
    <s v="26/05-E"/>
    <x v="8"/>
    <s v="W5-25"/>
    <n v="0.02"/>
    <x v="2"/>
    <m/>
    <m/>
    <m/>
  </r>
  <r>
    <s v="194."/>
    <x v="178"/>
    <d v="2026-05-18T00:00:00"/>
    <d v="2026-05-27T00:00:00"/>
    <s v="134/2026"/>
    <n v="3"/>
    <n v="9918"/>
    <n v="48.7"/>
    <n v="590"/>
    <n v="1"/>
    <n v="48.813559322033896"/>
    <x v="0"/>
    <n v="129.19999999999999"/>
    <x v="142"/>
    <n v="129.80000000000001"/>
    <n v="38"/>
    <m/>
    <x v="0"/>
    <s v="26/05-A"/>
    <x v="0"/>
    <s v="W6-69"/>
    <n v="0.02"/>
    <x v="0"/>
    <m/>
    <m/>
    <m/>
  </r>
  <r>
    <s v="195."/>
    <x v="179"/>
    <d v="2026-05-18T00:00:00"/>
    <d v="2026-05-18T00:00:00"/>
    <s v="165/2026"/>
    <n v="8"/>
    <n v="800"/>
    <n v="58.6"/>
    <n v="982"/>
    <n v="2"/>
    <n v="58.655804480651732"/>
    <x v="0"/>
    <n v="66.7"/>
    <x v="136"/>
    <n v="69"/>
    <n v="140"/>
    <n v="10"/>
    <x v="1"/>
    <s v="26/05-A"/>
    <x v="0"/>
    <s v="GM-6979E"/>
    <n v="0.03"/>
    <x v="0"/>
    <m/>
    <m/>
    <m/>
  </r>
  <r>
    <s v="196."/>
    <x v="180"/>
    <d v="2026-05-18T00:00:00"/>
    <d v="2026-05-19T00:00:00"/>
    <s v="165/2026"/>
    <n v="8"/>
    <n v="822"/>
    <n v="58.6"/>
    <n v="982"/>
    <n v="2"/>
    <n v="58.655804480651732"/>
    <x v="0"/>
    <n v="66.7"/>
    <x v="143"/>
    <n v="68.900000000000006"/>
    <n v="140"/>
    <n v="10"/>
    <x v="1"/>
    <s v="26/05-B"/>
    <x v="0"/>
    <s v="GM-43114E"/>
    <n v="0.03"/>
    <x v="2"/>
    <m/>
    <m/>
    <m/>
  </r>
  <r>
    <s v="197."/>
    <x v="181"/>
    <d v="2026-05-19T00:00:00"/>
    <d v="2026-05-19T00:00:00"/>
    <s v="165/2026"/>
    <n v="8"/>
    <n v="755"/>
    <n v="64.3"/>
    <n v="895"/>
    <n v="2"/>
    <n v="64.357541899441344"/>
    <x v="0"/>
    <n v="67.599999999999994"/>
    <x v="144"/>
    <n v="69.25"/>
    <n v="140"/>
    <n v="10"/>
    <x v="1"/>
    <s v="26/05-C"/>
    <x v="0"/>
    <s v="W4-154U"/>
    <n v="0.03"/>
    <x v="2"/>
    <s v="KRYSTIAN"/>
    <m/>
    <m/>
  </r>
  <r>
    <s v="198."/>
    <x v="182"/>
    <d v="2026-05-20T00:00:00"/>
    <d v="2026-05-20T00:00:00"/>
    <s v="166/2026"/>
    <n v="8"/>
    <n v="802"/>
    <n v="37.5"/>
    <n v="1540"/>
    <n v="2"/>
    <n v="37.402597402597401"/>
    <x v="80"/>
    <n v="74.2"/>
    <x v="145"/>
    <n v="76.25"/>
    <n v="140"/>
    <n v="11"/>
    <x v="1"/>
    <s v="26/05-A"/>
    <x v="26"/>
    <s v="GM-20225E"/>
    <s v="4,5%"/>
    <x v="1"/>
    <m/>
    <m/>
    <m/>
  </r>
  <r>
    <s v="199."/>
    <x v="183"/>
    <d v="2026-05-20T00:00:00"/>
    <d v="2026-05-20T00:00:00"/>
    <s v="166/2026"/>
    <n v="8"/>
    <n v="1010"/>
    <n v="37.5"/>
    <n v="1540"/>
    <n v="2"/>
    <n v="37.402597402597401"/>
    <x v="30"/>
    <n v="73.2"/>
    <x v="146"/>
    <n v="75.599999999999994"/>
    <n v="140"/>
    <n v="11"/>
    <x v="1"/>
    <s v="26/05-B"/>
    <x v="26"/>
    <s v="W6-125"/>
    <n v="0.03"/>
    <x v="2"/>
    <m/>
    <m/>
    <m/>
  </r>
  <r>
    <s v="200."/>
    <x v="184"/>
    <d v="2026-05-20T00:00:00"/>
    <d v="2026-05-20T00:00:00"/>
    <s v="166/2026"/>
    <n v="8"/>
    <n v="600"/>
    <n v="37.5"/>
    <n v="1540"/>
    <n v="2"/>
    <n v="37.402597402597401"/>
    <x v="0"/>
    <n v="73.2"/>
    <x v="146"/>
    <n v="75.599999999999994"/>
    <n v="140"/>
    <n v="11"/>
    <x v="1"/>
    <s v="26/05-C"/>
    <x v="26"/>
    <s v="W7-76"/>
    <n v="0.03"/>
    <x v="2"/>
    <m/>
    <m/>
    <m/>
  </r>
  <r>
    <s v="201."/>
    <x v="185"/>
    <d v="2026-05-21T00:00:00"/>
    <d v="2026-05-21T00:00:00"/>
    <s v="166/2026"/>
    <n v="8"/>
    <n v="1005"/>
    <n v="37.5"/>
    <n v="1540"/>
    <n v="2"/>
    <n v="37.402597402597401"/>
    <x v="0"/>
    <n v="73.5"/>
    <x v="147"/>
    <n v="75.45"/>
    <n v="140"/>
    <n v="11"/>
    <x v="1"/>
    <s v="26/05-D"/>
    <x v="26"/>
    <s v="W2-73/1"/>
    <n v="0.03"/>
    <x v="2"/>
    <m/>
    <m/>
    <m/>
  </r>
  <r>
    <s v="202."/>
    <x v="186"/>
    <d v="2026-05-22T00:00:00"/>
    <d v="2026-05-22T00:00:00"/>
    <s v="166/2026"/>
    <n v="8"/>
    <n v="1018"/>
    <n v="38.799999999999997"/>
    <n v="1484"/>
    <n v="2"/>
    <n v="38.81401617250674"/>
    <x v="0"/>
    <n v="73.5"/>
    <x v="147"/>
    <n v="75.45"/>
    <n v="140"/>
    <n v="11"/>
    <x v="1"/>
    <s v="26/05-E"/>
    <x v="26"/>
    <s v="GM-32747E"/>
    <n v="0.05"/>
    <x v="2"/>
    <s v="WOJTEK"/>
    <s v="TAK"/>
    <m/>
  </r>
  <r>
    <s v="203."/>
    <x v="187"/>
    <d v="2026-05-27T00:00:00"/>
    <d v="2026-05-28T00:00:00"/>
    <s v="167/2026"/>
    <n v="8"/>
    <n v="1010"/>
    <n v="45.7"/>
    <n v="630"/>
    <n v="1"/>
    <n v="45.714285714285715"/>
    <x v="0"/>
    <n v="398.7"/>
    <x v="18"/>
    <n v="400"/>
    <n v="20"/>
    <n v="8.1999999999999993"/>
    <x v="4"/>
    <s v="26/05-A"/>
    <x v="0"/>
    <m/>
    <m/>
    <x v="10"/>
    <m/>
    <m/>
    <m/>
  </r>
  <r>
    <s v="204."/>
    <x v="188"/>
    <d v="2026-05-27T00:00:00"/>
    <d v="2026-05-27T00:00:00"/>
    <s v="179/2026"/>
    <n v="3"/>
    <n v="500"/>
    <n v="52.5"/>
    <n v="548"/>
    <n v="1"/>
    <n v="52.554744525547449"/>
    <x v="0"/>
    <n v="129.30000000000001"/>
    <x v="148"/>
    <n v="129.30000000000001"/>
    <n v="38"/>
    <n v="5.5"/>
    <x v="0"/>
    <s v="26/05-A"/>
    <x v="0"/>
    <s v="W6-69"/>
    <n v="0.02"/>
    <x v="2"/>
    <m/>
    <m/>
    <m/>
  </r>
  <r>
    <s v="205."/>
    <x v="189"/>
    <d v="2026-05-28T00:00:00"/>
    <d v="2026-05-28T00:00:00"/>
    <s v="179/2026"/>
    <n v="3"/>
    <n v="504"/>
    <n v="52.5"/>
    <n v="548"/>
    <n v="1"/>
    <n v="52.554744525547449"/>
    <x v="0"/>
    <n v="128.1"/>
    <x v="149"/>
    <n v="219.3"/>
    <n v="38"/>
    <n v="5.5"/>
    <x v="0"/>
    <s v="26/05-B"/>
    <x v="0"/>
    <s v="GM43107E"/>
    <n v="0.02"/>
    <x v="2"/>
    <m/>
    <m/>
    <m/>
  </r>
  <r>
    <s v="206."/>
    <x v="190"/>
    <d v="2026-05-28T00:00:00"/>
    <d v="2026-05-28T00:00:00"/>
    <s v="179/2026"/>
    <n v="3"/>
    <n v="500"/>
    <n v="44.2"/>
    <n v="650"/>
    <n v="1"/>
    <n v="44.307692307692307"/>
    <x v="0"/>
    <n v="129.80000000000001"/>
    <x v="150"/>
    <n v="131.19999999999999"/>
    <n v="38"/>
    <n v="5.5"/>
    <x v="0"/>
    <s v="26/05-C"/>
    <x v="0"/>
    <s v="W4-62"/>
    <n v="0.02"/>
    <x v="2"/>
    <m/>
    <m/>
    <m/>
  </r>
  <r>
    <s v="207."/>
    <x v="191"/>
    <d v="2026-05-28T00:00:00"/>
    <s v="29.05.20265"/>
    <s v="179/2026"/>
    <n v="3"/>
    <n v="500"/>
    <n v="44.2"/>
    <n v="650"/>
    <n v="1"/>
    <n v="44.307692307692307"/>
    <x v="0"/>
    <n v="129.1"/>
    <x v="142"/>
    <n v="129.80000000000001"/>
    <n v="38"/>
    <n v="5.5"/>
    <x v="0"/>
    <s v="26/05-D"/>
    <x v="0"/>
    <s v="W4-62"/>
    <n v="0.02"/>
    <x v="2"/>
    <m/>
    <m/>
    <m/>
  </r>
  <r>
    <s v="208."/>
    <x v="192"/>
    <d v="2026-05-29T00:00:00"/>
    <d v="2026-05-29T00:00:00"/>
    <s v="179/2026"/>
    <n v="3"/>
    <n v="500"/>
    <n v="44.2"/>
    <n v="650"/>
    <n v="1"/>
    <n v="44.307692307692307"/>
    <x v="0"/>
    <n v="130.9"/>
    <x v="150"/>
    <n v="131.19999999999999"/>
    <n v="38"/>
    <n v="5.5"/>
    <x v="0"/>
    <s v="26/05-E"/>
    <x v="0"/>
    <s v="GM-32218E "/>
    <n v="0.02"/>
    <x v="2"/>
    <m/>
    <m/>
    <m/>
  </r>
  <r>
    <s v="209."/>
    <x v="193"/>
    <d v="2026-05-29T00:00:00"/>
    <d v="2026-05-29T00:00:00"/>
    <s v="179/2026"/>
    <n v="3"/>
    <n v="510"/>
    <n v="42.5"/>
    <n v="677"/>
    <n v="1"/>
    <n v="42.540620384047266"/>
    <x v="0"/>
    <n v="130.9"/>
    <x v="151"/>
    <n v="131.30000000000001"/>
    <n v="38"/>
    <n v="5.5"/>
    <x v="0"/>
    <s v="26/05-F"/>
    <x v="0"/>
    <s v="GM-32218E "/>
    <n v="0.02"/>
    <x v="2"/>
    <s v="KRYSTIAN"/>
    <s v="NIE"/>
    <m/>
  </r>
  <r>
    <s v="210."/>
    <x v="194"/>
    <d v="2026-05-28T00:00:00"/>
    <d v="2026-05-29T00:00:00"/>
    <s v="186/2026"/>
    <n v="8"/>
    <n v="1007"/>
    <n v="45.7"/>
    <n v="630"/>
    <n v="1"/>
    <n v="45.714285714285715"/>
    <x v="0"/>
    <n v="427.5"/>
    <x v="152"/>
    <n v="427.5"/>
    <n v="33"/>
    <n v="2.4"/>
    <x v="3"/>
    <s v="26/05-A"/>
    <x v="0"/>
    <s v="GM-80690E"/>
    <n v="0.02"/>
    <x v="1"/>
    <m/>
    <m/>
    <m/>
  </r>
  <r>
    <s v="211."/>
    <x v="195"/>
    <d v="2026-05-29T00:00:00"/>
    <d v="2026-05-29T00:00:00"/>
    <s v="186/2026"/>
    <n v="8"/>
    <n v="528"/>
    <n v="45.7"/>
    <n v="630"/>
    <n v="1"/>
    <n v="45.714285714285715"/>
    <x v="0"/>
    <n v="427.5"/>
    <x v="152"/>
    <n v="427.5"/>
    <n v="33"/>
    <n v="2.4"/>
    <x v="3"/>
    <s v="26/05-B"/>
    <x v="0"/>
    <s v="GM-32218E "/>
    <n v="0.02"/>
    <x v="2"/>
    <s v="KRYSTIAN"/>
    <s v="NIE"/>
    <m/>
  </r>
  <r>
    <s v="212."/>
    <x v="196"/>
    <d v="2026-06-01T00:00:00"/>
    <d v="2026-06-01T00:00:00"/>
    <s v="168/2026"/>
    <n v="8"/>
    <n v="508"/>
    <n v="53.3"/>
    <n v="538"/>
    <n v="1"/>
    <n v="53.531598513011154"/>
    <x v="0"/>
    <n v="214.6"/>
    <x v="153"/>
    <n v="214.6"/>
    <n v="80"/>
    <n v="19.05"/>
    <x v="2"/>
    <s v="26/06-A"/>
    <x v="0"/>
    <s v="GM-53281E"/>
    <n v="0.02"/>
    <x v="1"/>
    <m/>
    <m/>
    <m/>
  </r>
  <r>
    <s v="213."/>
    <x v="197"/>
    <d v="2026-06-02T00:00:00"/>
    <d v="2026-06-02T00:00:00"/>
    <s v="168/2026"/>
    <n v="8"/>
    <n v="1006"/>
    <n v="51.1"/>
    <n v="563"/>
    <n v="1"/>
    <n v="51.154529307282417"/>
    <x v="0"/>
    <n v="241.2"/>
    <x v="154"/>
    <n v="241.2"/>
    <n v="80"/>
    <n v="19.05"/>
    <x v="2"/>
    <s v="26/06-B"/>
    <x v="0"/>
    <s v="GM 80295"/>
    <n v="0.02"/>
    <x v="2"/>
    <m/>
    <m/>
    <m/>
  </r>
  <r>
    <s v="214."/>
    <x v="37"/>
    <d v="2026-06-02T00:00:00"/>
    <d v="2026-06-02T00:00:00"/>
    <s v="168/2026"/>
    <n v="8"/>
    <n v="527"/>
    <n v="56.2"/>
    <n v="512"/>
    <n v="1"/>
    <n v="56.25"/>
    <x v="0"/>
    <n v="241"/>
    <x v="31"/>
    <n v="241.3"/>
    <n v="80"/>
    <n v="19.05"/>
    <x v="2"/>
    <s v="26/06-C"/>
    <x v="0"/>
    <s v="GM 378E"/>
    <n v="0.02"/>
    <x v="2"/>
    <s v="ŁUKASZ"/>
    <m/>
    <m/>
  </r>
  <r>
    <s v="215."/>
    <x v="198"/>
    <d v="2026-06-02T00:00:00"/>
    <d v="2026-06-02T00:00:00"/>
    <s v="183/26"/>
    <n v="2"/>
    <n v="1045"/>
    <n v="45.2"/>
    <n v="637"/>
    <n v="1"/>
    <n v="45.211930926216638"/>
    <x v="0"/>
    <n v="154.4"/>
    <x v="155"/>
    <n v="154.80000000000001"/>
    <n v="46"/>
    <n v="7.65"/>
    <x v="7"/>
    <s v="26/06-A"/>
    <x v="4"/>
    <s v="GM41373P"/>
    <n v="0.02"/>
    <x v="6"/>
    <m/>
    <m/>
    <m/>
  </r>
  <r>
    <s v="216."/>
    <x v="199"/>
    <d v="2026-06-02T00:00:00"/>
    <d v="2026-06-03T00:00:00"/>
    <s v="183/2026"/>
    <n v="2"/>
    <n v="736"/>
    <n v="45.2"/>
    <n v="637"/>
    <n v="1"/>
    <n v="45.211930926216638"/>
    <x v="0"/>
    <n v="154.19999999999999"/>
    <x v="82"/>
    <n v="154.6"/>
    <n v="46"/>
    <n v="7.65"/>
    <x v="7"/>
    <s v="26/06-B"/>
    <x v="4"/>
    <s v="GM51745P"/>
    <n v="0.02"/>
    <x v="2"/>
    <m/>
    <m/>
    <m/>
  </r>
  <r>
    <s v="217."/>
    <x v="200"/>
    <d v="2026-06-03T00:00:00"/>
    <d v="2026-06-03T00:00:00"/>
    <s v="183/2026"/>
    <n v="2"/>
    <n v="1000"/>
    <n v="45.2"/>
    <n v="637"/>
    <n v="1"/>
    <n v="45.211930926216638"/>
    <x v="0"/>
    <n v="154.6"/>
    <x v="155"/>
    <n v="154.80000000000001"/>
    <n v="46"/>
    <n v="7.65"/>
    <x v="7"/>
    <s v="26/06-C"/>
    <x v="4"/>
    <s v="GM 81071P "/>
    <n v="0.02"/>
    <x v="2"/>
    <m/>
    <m/>
    <m/>
  </r>
  <r>
    <s v="218."/>
    <x v="201"/>
    <d v="2026-06-03T00:00:00"/>
    <d v="2026-06-03T00:00:00"/>
    <s v="169/2026"/>
    <n v="8"/>
    <n v="1003"/>
    <n v="50.3"/>
    <n v="572"/>
    <n v="1"/>
    <n v="50.349650349650346"/>
    <x v="0"/>
    <n v="241.2"/>
    <x v="156"/>
    <n v="241.6"/>
    <n v="80"/>
    <n v="19.05"/>
    <x v="2"/>
    <s v="26/06-A"/>
    <x v="0"/>
    <s v="GM-80690E"/>
    <n v="0.02"/>
    <x v="2"/>
    <m/>
    <m/>
    <m/>
  </r>
  <r>
    <s v="219."/>
    <x v="202"/>
    <d v="2026-06-03T00:00:00"/>
    <d v="2026-06-08T00:00:00"/>
    <s v="169/2026"/>
    <n v="8"/>
    <n v="1009"/>
    <n v="48.3"/>
    <n v="596"/>
    <n v="1"/>
    <n v="48.322147651006709"/>
    <x v="81"/>
    <n v="241.2"/>
    <x v="157"/>
    <n v="241.7"/>
    <n v="80"/>
    <n v="19.05"/>
    <x v="2"/>
    <s v="26/06-B"/>
    <x v="0"/>
    <s v="GM-12197E"/>
    <n v="0.02"/>
    <x v="2"/>
    <m/>
    <m/>
    <m/>
  </r>
  <r>
    <s v="220."/>
    <x v="203"/>
    <d v="2026-06-08T00:00:00"/>
    <d v="2026-06-09T00:00:00"/>
    <s v="169/2026"/>
    <n v="8"/>
    <n v="706"/>
    <n v="52.6"/>
    <n v="547"/>
    <n v="1"/>
    <n v="52.650822669104208"/>
    <x v="82"/>
    <n v="241.2"/>
    <x v="157"/>
    <n v="241.7"/>
    <n v="80"/>
    <n v="19.05"/>
    <x v="2"/>
    <s v="26/06-C"/>
    <x v="0"/>
    <s v="GM-32218E "/>
    <n v="0.02"/>
    <x v="2"/>
    <m/>
    <m/>
    <m/>
  </r>
  <r>
    <s v="221."/>
    <x v="204"/>
    <d v="2026-06-09T00:00:00"/>
    <d v="2026-06-10T00:00:00"/>
    <s v="201/2026"/>
    <n v="8"/>
    <n v="606"/>
    <n v="50.6"/>
    <n v="569"/>
    <n v="1"/>
    <n v="50.615114235500876"/>
    <x v="0"/>
    <n v="205.2"/>
    <x v="158"/>
    <n v="205.8"/>
    <n v="30"/>
    <n v="7.95"/>
    <x v="1"/>
    <s v="26/06-A"/>
    <x v="0"/>
    <s v="GM-32218E "/>
    <n v="0.02"/>
    <x v="6"/>
    <m/>
    <m/>
    <m/>
  </r>
  <r>
    <s v="222."/>
    <x v="205"/>
    <d v="2026-06-10T00:00:00"/>
    <d v="2026-06-11T00:00:00"/>
    <s v="201/2026"/>
    <n v="8"/>
    <n v="607"/>
    <n v="50.6"/>
    <n v="569"/>
    <n v="1"/>
    <n v="50.615114235500876"/>
    <x v="0"/>
    <n v="249"/>
    <x v="159"/>
    <n v="249.8"/>
    <n v="30"/>
    <n v="7.95"/>
    <x v="1"/>
    <s v="26/06-B"/>
    <x v="0"/>
    <s v="GM-53281E"/>
    <n v="0.02"/>
    <x v="2"/>
    <m/>
    <m/>
    <m/>
  </r>
  <r>
    <s v="223."/>
    <x v="206"/>
    <d v="2026-06-11T00:00:00"/>
    <d v="2026-06-11T00:00:00"/>
    <s v="201/2026"/>
    <n v="8"/>
    <n v="600"/>
    <n v="51.8"/>
    <n v="556"/>
    <n v="1"/>
    <n v="51.798561151079134"/>
    <x v="0"/>
    <n v="250"/>
    <x v="160"/>
    <n v="250.8"/>
    <n v="30"/>
    <n v="7.95"/>
    <x v="1"/>
    <s v="26/06-C"/>
    <x v="0"/>
    <s v="GM10684P"/>
    <n v="0.02"/>
    <x v="2"/>
    <m/>
    <m/>
    <m/>
  </r>
  <r>
    <s v="224."/>
    <x v="207"/>
    <d v="2026-06-12T00:00:00"/>
    <d v="2026-06-12T00:00:00"/>
    <s v="201/2026"/>
    <n v="8"/>
    <n v="630"/>
    <n v="54.3"/>
    <n v="530"/>
    <n v="1"/>
    <n v="54.339622641509436"/>
    <x v="0"/>
    <n v="249"/>
    <x v="159"/>
    <n v="249.8"/>
    <n v="30"/>
    <n v="7.95"/>
    <x v="1"/>
    <s v="26/06-D"/>
    <x v="0"/>
    <s v="GM-12197E"/>
    <n v="0.02"/>
    <x v="2"/>
    <m/>
    <m/>
    <m/>
  </r>
  <r>
    <s v="225."/>
    <x v="9"/>
    <d v="2026-06-12T00:00:00"/>
    <d v="2026-06-15T00:00:00"/>
    <s v="201/2026"/>
    <n v="8"/>
    <n v="1027"/>
    <n v="62"/>
    <n v="464"/>
    <n v="1"/>
    <n v="62.068965517241381"/>
    <x v="0"/>
    <n v="249"/>
    <x v="159"/>
    <n v="249.8"/>
    <n v="30"/>
    <n v="7.95"/>
    <x v="1"/>
    <s v="26/06-E"/>
    <x v="0"/>
    <s v="GM41373P"/>
    <n v="0.02"/>
    <x v="2"/>
    <m/>
    <m/>
    <m/>
  </r>
  <r>
    <s v="226."/>
    <x v="7"/>
    <d v="2026-06-15T00:00:00"/>
    <d v="2026-06-16T00:00:00"/>
    <s v="201/2026"/>
    <n v="8"/>
    <n v="420"/>
    <n v="54.3"/>
    <n v="530"/>
    <n v="1"/>
    <n v="54.339622641509436"/>
    <x v="0"/>
    <n v="249"/>
    <x v="159"/>
    <n v="249.8"/>
    <n v="30"/>
    <n v="7.95"/>
    <x v="1"/>
    <s v="26/06-F"/>
    <x v="0"/>
    <s v="GM80690E"/>
    <n v="0.02"/>
    <x v="2"/>
    <s v="WOJTEK ŁUKASZ"/>
    <s v="NIE"/>
    <m/>
  </r>
  <r>
    <s v="227."/>
    <x v="180"/>
    <d v="2026-06-16T00:00:00"/>
    <d v="2026-06-23T00:00:00"/>
    <s v="205/2026"/>
    <n v="8"/>
    <n v="8190"/>
    <n v="56.8"/>
    <n v="1014"/>
    <n v="2"/>
    <n v="56.80473372781065"/>
    <x v="0"/>
    <n v="68"/>
    <x v="161"/>
    <n v="69.8"/>
    <n v="140"/>
    <n v="10"/>
    <x v="1"/>
    <s v="26/06-A"/>
    <x v="0"/>
    <s v="GM-43114E"/>
    <n v="0.02"/>
    <x v="10"/>
    <s v="ANDRZEJ"/>
    <s v="NIE"/>
    <m/>
  </r>
  <r>
    <s v="228."/>
    <x v="157"/>
    <d v="2026-06-23T00:00:00"/>
    <d v="2026-06-24T00:00:00"/>
    <s v="202/2026"/>
    <n v="8"/>
    <n v="825"/>
    <n v="64.400000000000006"/>
    <n v="894"/>
    <n v="2"/>
    <n v="64.429530201342288"/>
    <x v="83"/>
    <n v="247.3"/>
    <x v="162"/>
    <n v="248.1"/>
    <n v="45"/>
    <n v="11.8"/>
    <x v="1"/>
    <s v="26/06-A"/>
    <x v="23"/>
    <s v="W6-125"/>
    <n v="0.03"/>
    <x v="1"/>
    <m/>
    <m/>
    <m/>
  </r>
  <r>
    <s v="229."/>
    <x v="208"/>
    <d v="2026-06-24T00:00:00"/>
    <d v="2026-06-25T00:00:00"/>
    <s v="202/2026"/>
    <n v="8"/>
    <n v="1500"/>
    <n v="64.5"/>
    <n v="894"/>
    <n v="2"/>
    <n v="64.429530201342288"/>
    <x v="0"/>
    <n v="248.2"/>
    <x v="162"/>
    <n v="248.1"/>
    <n v="45"/>
    <n v="11.8"/>
    <x v="1"/>
    <s v="26/06-B"/>
    <x v="23"/>
    <s v="W7-76"/>
    <n v="0.03"/>
    <x v="2"/>
    <m/>
    <m/>
    <m/>
  </r>
  <r>
    <s v="230."/>
    <x v="209"/>
    <d v="2026-06-25T00:00:00"/>
    <d v="2026-06-25T00:00:00"/>
    <s v="202/2026"/>
    <n v="8"/>
    <n v="585"/>
    <n v="64.5"/>
    <n v="894"/>
    <n v="2"/>
    <n v="64.429530201342288"/>
    <x v="0"/>
    <n v="245.6"/>
    <x v="163"/>
    <n v="246.65"/>
    <n v="45"/>
    <n v="11.8"/>
    <x v="1"/>
    <s v="26/06-C"/>
    <x v="23"/>
    <s v="GM-20225E"/>
    <n v="0.05"/>
    <x v="2"/>
    <m/>
    <m/>
    <m/>
  </r>
  <r>
    <s v="231."/>
    <x v="210"/>
    <d v="2026-07-03T00:00:00"/>
    <d v="2026-07-03T00:00:00"/>
    <s v="217/2026"/>
    <n v="3"/>
    <n v="800"/>
    <n v="31.4"/>
    <n v="912"/>
    <n v="1"/>
    <n v="31.578947368421051"/>
    <x v="84"/>
    <n v="56.4"/>
    <x v="164"/>
    <n v="57.1"/>
    <n v="175"/>
    <n v="10.7"/>
    <x v="2"/>
    <s v="26/07-A"/>
    <x v="18"/>
    <s v="GM-53281E  "/>
    <n v="0.02"/>
    <x v="0"/>
    <m/>
    <m/>
    <m/>
  </r>
  <r>
    <s v="232."/>
    <x v="117"/>
    <d v="2026-07-03T00:00:00"/>
    <d v="2026-07-06T00:00:00"/>
    <s v="217/2026"/>
    <n v="3"/>
    <n v="810"/>
    <n v="31.4"/>
    <n v="912"/>
    <n v="1"/>
    <n v="31.578947368421051"/>
    <x v="68"/>
    <n v="56.8"/>
    <x v="165"/>
    <n v="57.3"/>
    <n v="175"/>
    <n v="10.7"/>
    <x v="2"/>
    <s v="26/07-B"/>
    <x v="18"/>
    <s v="GM-32218E "/>
    <n v="0.02"/>
    <x v="2"/>
    <m/>
    <m/>
    <m/>
  </r>
  <r>
    <s v="233."/>
    <x v="115"/>
    <d v="2026-07-06T00:00:00"/>
    <d v="2026-07-06T00:00:00"/>
    <s v="217/2026"/>
    <n v="3"/>
    <n v="700"/>
    <n v="32.299999999999997"/>
    <n v="890"/>
    <n v="1"/>
    <n v="32.359550561797754"/>
    <x v="0"/>
    <n v="56.1"/>
    <x v="166"/>
    <n v="56.9"/>
    <n v="175"/>
    <n v="10.7"/>
    <x v="2"/>
    <s v="26/07-C"/>
    <x v="18"/>
    <s v="GM-12197E"/>
    <n v="0.02"/>
    <x v="2"/>
    <m/>
    <m/>
    <m/>
  </r>
  <r>
    <s v="234."/>
    <x v="211"/>
    <d v="2026-07-06T00:00:00"/>
    <d v="2026-07-06T00:00:00"/>
    <s v="217/2026"/>
    <n v="3"/>
    <n v="500"/>
    <n v="32.299999999999997"/>
    <n v="890"/>
    <n v="1"/>
    <n v="32.359550561797754"/>
    <x v="0"/>
    <n v="56.8"/>
    <x v="167"/>
    <n v="57.4"/>
    <n v="175"/>
    <n v="10.7"/>
    <x v="2"/>
    <s v="26/07-D"/>
    <x v="18"/>
    <s v="GM41373P"/>
    <n v="0.02"/>
    <x v="2"/>
    <m/>
    <m/>
    <m/>
  </r>
  <r>
    <s v="235."/>
    <x v="212"/>
    <d v="2026-07-06T00:00:00"/>
    <d v="2026-07-06T00:00:00"/>
    <s v="217/2026"/>
    <n v="3"/>
    <n v="435"/>
    <n v="32.299999999999997"/>
    <n v="890"/>
    <n v="1"/>
    <n v="32.359550561797754"/>
    <x v="0"/>
    <n v="57.2"/>
    <x v="168"/>
    <n v="57.9"/>
    <n v="175"/>
    <n v="10.7"/>
    <x v="2"/>
    <s v="26/07-E"/>
    <x v="18"/>
    <s v="W4-62"/>
    <n v="0.02"/>
    <x v="2"/>
    <m/>
    <m/>
    <m/>
  </r>
  <r>
    <s v="236."/>
    <x v="213"/>
    <d v="2026-07-07T00:00:00"/>
    <d v="2026-07-07T00:00:00"/>
    <s v="217/2026"/>
    <n v="3"/>
    <n v="410"/>
    <n v="32.299999999999997"/>
    <n v="890"/>
    <n v="1"/>
    <n v="32.359550561797754"/>
    <x v="0"/>
    <n v="57.8"/>
    <x v="169"/>
    <n v="58.5"/>
    <n v="175"/>
    <n v="10.7"/>
    <x v="2"/>
    <s v="26/07-F"/>
    <x v="18"/>
    <s v="GM10684P"/>
    <n v="0.02"/>
    <x v="2"/>
    <m/>
    <m/>
    <m/>
  </r>
  <r>
    <s v="237."/>
    <x v="214"/>
    <d v="2026-07-07T00:00:00"/>
    <d v="2026-07-07T00:00:00"/>
    <s v="217/2026"/>
    <n v="3"/>
    <n v="400"/>
    <n v="32.299999999999997"/>
    <n v="890"/>
    <n v="1"/>
    <n v="32.359550561797754"/>
    <x v="0"/>
    <n v="57.6"/>
    <x v="170"/>
    <n v="58.4"/>
    <n v="175"/>
    <n v="10.7"/>
    <x v="2"/>
    <s v="26/07-G"/>
    <x v="18"/>
    <s v="GM43107E"/>
    <n v="0.02"/>
    <x v="2"/>
    <s v="WOJTEK"/>
    <s v="NIE"/>
    <m/>
  </r>
  <r>
    <s v="238."/>
    <x v="215"/>
    <d v="2026-07-07T00:00:00"/>
    <d v="2026-07-08T00:00:00"/>
    <s v="211/2026"/>
    <n v="3"/>
    <n v="1240"/>
    <n v="45.9"/>
    <n v="627"/>
    <n v="1"/>
    <n v="45.933014354066984"/>
    <x v="85"/>
    <n v="118.8"/>
    <x v="171"/>
    <n v="126"/>
    <n v="40"/>
    <n v="5"/>
    <x v="1"/>
    <s v="26/07-A"/>
    <x v="8"/>
    <s v="GM-41373P"/>
    <n v="0.02"/>
    <x v="6"/>
    <s v="WOJTEK"/>
    <m/>
    <m/>
  </r>
  <r>
    <s v="239."/>
    <x v="3"/>
    <d v="2026-07-08T00:00:00"/>
    <d v="2026-07-10T00:00:00"/>
    <s v="210/2026"/>
    <n v="3"/>
    <n v="3000"/>
    <n v="45.9"/>
    <n v="627"/>
    <n v="1"/>
    <n v="45.933014354066984"/>
    <x v="0"/>
    <n v="117.1"/>
    <x v="172"/>
    <n v="117.9"/>
    <n v="40"/>
    <n v="5"/>
    <x v="1"/>
    <s v="26/07-A"/>
    <x v="8"/>
    <s v="GM-12197E"/>
    <n v="0.02"/>
    <x v="6"/>
    <s v="WOJTEK"/>
    <s v="NIE"/>
    <m/>
  </r>
  <r>
    <s v="240."/>
    <x v="216"/>
    <d v="2026-07-10T00:00:00"/>
    <d v="2026-07-15T00:00:00"/>
    <s v="212/2026"/>
    <n v="3"/>
    <n v="4200"/>
    <n v="49"/>
    <n v="587"/>
    <n v="1"/>
    <n v="49.063032367972745"/>
    <x v="0"/>
    <n v="109.1"/>
    <x v="173"/>
    <n v="109.7"/>
    <n v="50"/>
    <n v="6.1"/>
    <x v="1"/>
    <s v="26/07-A"/>
    <x v="0"/>
    <s v="W7131"/>
    <n v="0.02"/>
    <x v="6"/>
    <s v="WOJTEK KACPER"/>
    <s v="NIE"/>
    <m/>
  </r>
  <r>
    <s v="241."/>
    <x v="217"/>
    <d v="2026-07-14T00:00:00"/>
    <d v="2026-07-14T00:00:00"/>
    <s v="241/2026"/>
    <n v="8"/>
    <n v="1039"/>
    <n v="46.2"/>
    <n v="1240"/>
    <n v="2"/>
    <n v="46.451612903225808"/>
    <x v="0"/>
    <n v="111.3"/>
    <x v="174"/>
    <n v="112.3"/>
    <n v="100"/>
    <m/>
    <x v="1"/>
    <s v="26/07-A"/>
    <x v="23"/>
    <s v="W7-76"/>
    <n v="0.03"/>
    <x v="6"/>
    <m/>
    <m/>
    <m/>
  </r>
  <r>
    <s v="242."/>
    <x v="79"/>
    <d v="2026-07-14T00:00:00"/>
    <d v="2026-07-14T00:00:00"/>
    <s v="241/2026"/>
    <n v="8"/>
    <n v="1129"/>
    <n v="46.2"/>
    <n v="1240"/>
    <n v="2"/>
    <n v="46.451612903225808"/>
    <x v="0"/>
    <n v="113.5"/>
    <x v="175"/>
    <n v="112.4"/>
    <n v="100"/>
    <m/>
    <x v="1"/>
    <s v="26/07-B"/>
    <x v="23"/>
    <s v="W6-125"/>
    <n v="0.03"/>
    <x v="1"/>
    <s v="WOJTEK"/>
    <s v="NIE"/>
    <m/>
  </r>
  <r>
    <s v="243."/>
    <x v="218"/>
    <d v="2026-07-15T00:00:00"/>
    <d v="2026-07-15T00:00:00"/>
    <s v="248/2026"/>
    <n v="3"/>
    <n v="1012"/>
    <n v="37.5"/>
    <n v="768"/>
    <n v="1"/>
    <n v="37.5"/>
    <x v="0"/>
    <n v="128.30000000000001"/>
    <x v="176"/>
    <n v="128.9"/>
    <n v="32"/>
    <n v="4.3499999999999996"/>
    <x v="0"/>
    <s v="26/07-A"/>
    <x v="0"/>
    <s v="GM-32218E "/>
    <n v="0.02"/>
    <x v="11"/>
    <m/>
    <m/>
    <m/>
  </r>
  <r>
    <s v="244."/>
    <x v="219"/>
    <d v="2026-07-16T00:00:00"/>
    <d v="2026-07-17T00:00:00"/>
    <s v="248/2026"/>
    <n v="3"/>
    <n v="800"/>
    <n v="37.5"/>
    <n v="768"/>
    <n v="1"/>
    <n v="37.5"/>
    <x v="0"/>
    <n v="128.1"/>
    <x v="177"/>
    <n v="128.6"/>
    <n v="32"/>
    <n v="4.3499999999999996"/>
    <x v="0"/>
    <s v="26/07-B"/>
    <x v="0"/>
    <s v="GM-53281E"/>
    <n v="0.02"/>
    <x v="2"/>
    <m/>
    <m/>
    <m/>
  </r>
  <r>
    <s v="245."/>
    <x v="220"/>
    <d v="2026-07-17T00:00:00"/>
    <d v="2026-07-17T00:00:00"/>
    <s v="248/2026"/>
    <n v="3"/>
    <n v="800"/>
    <n v="37.5"/>
    <n v="768"/>
    <n v="1"/>
    <n v="37.5"/>
    <x v="0"/>
    <n v="128.30000000000001"/>
    <x v="176"/>
    <n v="128.9"/>
    <n v="32"/>
    <n v="4.3499999999999996"/>
    <x v="0"/>
    <s v="26/07-c"/>
    <x v="0"/>
    <s v="GM80690E"/>
    <n v="0.02"/>
    <x v="2"/>
    <s v="KRYSTIAN"/>
    <s v="NIE"/>
    <m/>
  </r>
  <r>
    <s v="246."/>
    <x v="221"/>
    <d v="2026-07-15T00:00:00"/>
    <d v="2026-07-16T00:00:00"/>
    <s v="250/2026"/>
    <n v="8"/>
    <n v="800"/>
    <n v="67.7"/>
    <n v="425"/>
    <n v="1"/>
    <n v="67.764705882352942"/>
    <x v="0"/>
    <n v="400"/>
    <x v="178"/>
    <n v="400.5"/>
    <n v="20"/>
    <m/>
    <x v="10"/>
    <s v="26/07-A"/>
    <x v="0"/>
    <s v="GM-32218E"/>
    <n v="0.02"/>
    <x v="6"/>
    <m/>
    <m/>
    <m/>
  </r>
  <r>
    <s v="247."/>
    <x v="54"/>
    <d v="2026-07-16T00:00:00"/>
    <d v="2026-07-17T00:00:00"/>
    <s v="250/2026"/>
    <n v="8"/>
    <n v="1000"/>
    <n v="67.599999999999994"/>
    <n v="425"/>
    <n v="1"/>
    <n v="67.764705882352942"/>
    <x v="52"/>
    <n v="398"/>
    <x v="179"/>
    <n v="400.4"/>
    <n v="20"/>
    <m/>
    <x v="10"/>
    <s v="26/07-B"/>
    <x v="0"/>
    <s v="GM-12197E"/>
    <n v="0.02"/>
    <x v="1"/>
    <s v="KRYSTIAN"/>
    <s v="NIE"/>
    <m/>
  </r>
  <r>
    <s v="248."/>
    <x v="222"/>
    <d v="2026-07-16T00:00:00"/>
    <d v="2026-07-20T00:00:00"/>
    <s v="213/2026"/>
    <n v="9"/>
    <n v="3000"/>
    <n v="47"/>
    <n v="615"/>
    <n v="1"/>
    <n v="46.829268292682926"/>
    <x v="86"/>
    <n v="450"/>
    <x v="180"/>
    <n v="450.3"/>
    <n v="15"/>
    <n v="7.75"/>
    <x v="10"/>
    <s v="26/07-A"/>
    <x v="27"/>
    <s v="GM-12197E"/>
    <n v="0.02"/>
    <x v="6"/>
    <m/>
    <m/>
    <m/>
  </r>
  <r>
    <s v="249."/>
    <x v="16"/>
    <d v="2026-07-17T00:00:00"/>
    <d v="2026-07-20T00:00:00"/>
    <s v="249/2026"/>
    <n v="3"/>
    <n v="103"/>
    <n v="64.099999999999994"/>
    <n v="450"/>
    <n v="1"/>
    <n v="64"/>
    <x v="33"/>
    <n v="208"/>
    <x v="181"/>
    <n v="208.3"/>
    <n v="52"/>
    <n v="12"/>
    <x v="3"/>
    <s v="26/07-A"/>
    <x v="8"/>
    <s v="GM-32218E"/>
    <n v="0.02"/>
    <x v="1"/>
    <s v="WOJTEK"/>
    <s v="NIE"/>
    <m/>
  </r>
  <r>
    <s v="250."/>
    <x v="223"/>
    <d v="2026-07-21T00:00:00"/>
    <d v="2026-07-21T00:00:00"/>
    <s v="214/2026"/>
    <n v="9"/>
    <n v="559"/>
    <n v="47"/>
    <n v="615"/>
    <n v="1"/>
    <n v="46.829268292682926"/>
    <x v="0"/>
    <n v="0.45"/>
    <x v="182"/>
    <n v="0.45"/>
    <n v="15"/>
    <n v="7.75"/>
    <x v="10"/>
    <s v="26/07-A"/>
    <x v="27"/>
    <s v="GM-12197E"/>
    <n v="0.02"/>
    <x v="1"/>
    <m/>
    <m/>
    <m/>
  </r>
  <r>
    <s v="251."/>
    <x v="224"/>
    <d v="2026-07-21T00:00:00"/>
    <d v="2026-07-21T00:00:00"/>
    <s v="214/2026"/>
    <n v="9"/>
    <n v="532"/>
    <n v="47"/>
    <n v="615"/>
    <n v="1"/>
    <n v="46.829268292682926"/>
    <x v="0"/>
    <n v="0.45"/>
    <x v="182"/>
    <n v="0.45"/>
    <n v="15"/>
    <n v="7.75"/>
    <x v="10"/>
    <s v="26/07-B"/>
    <x v="27"/>
    <s v="GM-32218E"/>
    <n v="0.02"/>
    <x v="2"/>
    <m/>
    <m/>
    <m/>
  </r>
  <r>
    <s v="252."/>
    <x v="225"/>
    <d v="2026-07-22T00:00:00"/>
    <d v="2026-07-22T00:00:00"/>
    <s v="214/2026"/>
    <n v="9"/>
    <n v="550"/>
    <n v="47"/>
    <n v="615"/>
    <n v="1"/>
    <n v="46.829268292682926"/>
    <x v="0"/>
    <n v="0.45"/>
    <x v="182"/>
    <n v="0.45"/>
    <n v="15"/>
    <n v="7.75"/>
    <x v="10"/>
    <s v="26/07-C"/>
    <x v="27"/>
    <s v="GM 80295"/>
    <n v="0.02"/>
    <x v="2"/>
    <m/>
    <m/>
    <m/>
  </r>
  <r>
    <s v="253."/>
    <x v="226"/>
    <d v="2026-07-22T00:00:00"/>
    <d v="2026-07-22T00:00:00"/>
    <s v="214/2026"/>
    <n v="9"/>
    <n v="517"/>
    <n v="50.7"/>
    <n v="568"/>
    <n v="1"/>
    <n v="50.70422535211268"/>
    <x v="0"/>
    <n v="0.45"/>
    <x v="182"/>
    <n v="0.45"/>
    <n v="15"/>
    <n v="7.75"/>
    <x v="10"/>
    <s v="26/07-D"/>
    <x v="27"/>
    <s v="GM80690E"/>
    <n v="0.02"/>
    <x v="2"/>
    <m/>
    <m/>
    <m/>
  </r>
  <r>
    <s v="254."/>
    <x v="227"/>
    <d v="2026-07-22T00:00:00"/>
    <d v="2026-07-23T00:00:00"/>
    <s v="214/2026"/>
    <n v="9"/>
    <n v="576"/>
    <n v="50.7"/>
    <n v="568"/>
    <n v="1"/>
    <n v="50.70422535211268"/>
    <x v="0"/>
    <n v="0.45"/>
    <x v="182"/>
    <n v="0.45"/>
    <n v="15"/>
    <n v="7.75"/>
    <x v="10"/>
    <s v="26/07-E"/>
    <x v="27"/>
    <s v="GM-53281E"/>
    <n v="0.02"/>
    <x v="2"/>
    <m/>
    <m/>
    <m/>
  </r>
  <r>
    <s v="255."/>
    <x v="228"/>
    <d v="2026-07-23T00:00:00"/>
    <d v="2026-07-24T00:00:00"/>
    <s v="214/2026"/>
    <n v="9"/>
    <n v="518"/>
    <n v="50.7"/>
    <n v="568"/>
    <n v="1"/>
    <n v="50.70422535211268"/>
    <x v="0"/>
    <n v="0.45"/>
    <x v="182"/>
    <n v="0.45"/>
    <n v="15"/>
    <n v="7.75"/>
    <x v="10"/>
    <s v="26/07-F"/>
    <x v="27"/>
    <s v="W5-25"/>
    <n v="0.02"/>
    <x v="2"/>
    <m/>
    <m/>
    <m/>
  </r>
  <r>
    <s v="256."/>
    <x v="229"/>
    <d v="2026-07-24T00:00:00"/>
    <d v="2026-07-24T00:00:00"/>
    <s v="214/2026"/>
    <n v="9"/>
    <n v="513"/>
    <n v="50.7"/>
    <n v="568"/>
    <n v="1"/>
    <n v="50.70422535211268"/>
    <x v="0"/>
    <n v="0.45"/>
    <x v="182"/>
    <n v="0.45"/>
    <n v="35"/>
    <n v="16.5"/>
    <x v="10"/>
    <s v="26/07-G"/>
    <x v="27"/>
    <s v="HP99611"/>
    <n v="0.02"/>
    <x v="2"/>
    <m/>
    <m/>
    <m/>
  </r>
  <r>
    <s v="257."/>
    <x v="230"/>
    <d v="2026-07-24T00:00:00"/>
    <d v="2026-07-24T00:00:00"/>
    <s v="254/2026"/>
    <n v="9"/>
    <n v="615"/>
    <n v="50.7"/>
    <n v="568"/>
    <n v="1"/>
    <n v="50.70422535211268"/>
    <x v="0"/>
    <n v="0.45"/>
    <x v="182"/>
    <n v="0.45"/>
    <n v="15"/>
    <n v="7.75"/>
    <x v="10"/>
    <s v="26/07-A"/>
    <x v="27"/>
    <s v="GM-53281E  "/>
    <n v="0.02"/>
    <x v="2"/>
    <s v="WOJTEK"/>
    <s v="TAK"/>
    <m/>
  </r>
  <r>
    <s v="258."/>
    <x v="231"/>
    <d v="2026-07-24T00:00:00"/>
    <d v="2026-07-24T00:00:00"/>
    <s v="253/2026"/>
    <n v="4"/>
    <n v="1405"/>
    <n v="36.5"/>
    <n v="789"/>
    <n v="1"/>
    <n v="36.50190114068441"/>
    <x v="0"/>
    <n v="58.8"/>
    <x v="29"/>
    <n v="63.3"/>
    <n v="120"/>
    <n v="7.55"/>
    <x v="1"/>
    <s v="26/07-A"/>
    <x v="28"/>
    <s v="GM-32747E"/>
    <n v="0.04"/>
    <x v="6"/>
    <m/>
    <m/>
    <m/>
  </r>
  <r>
    <s v="259."/>
    <x v="232"/>
    <d v="2026-07-24T00:00:00"/>
    <d v="2026-07-27T00:00:00"/>
    <s v="253/2026"/>
    <n v="4"/>
    <n v="1250"/>
    <n v="36.6"/>
    <n v="786"/>
    <n v="1"/>
    <n v="36.641221374045799"/>
    <x v="0"/>
    <n v="58.8"/>
    <x v="29"/>
    <n v="63.3"/>
    <n v="120"/>
    <n v="7.55"/>
    <x v="1"/>
    <s v="26/07-B"/>
    <x v="29"/>
    <s v="W6-125"/>
    <n v="0.03"/>
    <x v="2"/>
    <m/>
    <m/>
    <m/>
  </r>
  <r>
    <s v="260."/>
    <x v="233"/>
    <d v="2026-07-27T00:00:00"/>
    <d v="2026-07-28T00:00:00"/>
    <s v="253/2026"/>
    <n v="4"/>
    <n v="1098"/>
    <n v="36.6"/>
    <n v="786"/>
    <n v="1"/>
    <n v="36.641221374045799"/>
    <x v="0"/>
    <n v="58.6"/>
    <x v="183"/>
    <n v="62.5"/>
    <n v="120"/>
    <n v="7.55"/>
    <x v="1"/>
    <s v="26/07-C"/>
    <x v="29"/>
    <s v="GM-20225E"/>
    <n v="0.03"/>
    <x v="2"/>
    <m/>
    <m/>
    <m/>
  </r>
  <r>
    <s v="261."/>
    <x v="234"/>
    <d v="2026-07-28T00:00:00"/>
    <d v="2026-07-28T00:00:00"/>
    <s v="253/2026"/>
    <n v="4"/>
    <n v="1004"/>
    <n v="36.6"/>
    <n v="786"/>
    <n v="1"/>
    <n v="36.641221374045799"/>
    <x v="0"/>
    <n v="58.7"/>
    <x v="110"/>
    <n v="62.6"/>
    <n v="120"/>
    <n v="7.55"/>
    <x v="1"/>
    <s v="26/07-D"/>
    <x v="29"/>
    <s v="W2-73/1"/>
    <n v="0.03"/>
    <x v="2"/>
    <m/>
    <m/>
    <m/>
  </r>
  <r>
    <s v="262."/>
    <x v="235"/>
    <d v="2026-07-28T00:00:00"/>
    <d v="2026-07-29T00:00:00"/>
    <s v="253/2026"/>
    <n v="4"/>
    <n v="804"/>
    <n v="36.6"/>
    <n v="786"/>
    <n v="1"/>
    <n v="36.641221374045799"/>
    <x v="0"/>
    <n v="59"/>
    <x v="184"/>
    <n v="62.8"/>
    <n v="120"/>
    <n v="7.55"/>
    <x v="1"/>
    <s v="26/07-E"/>
    <x v="29"/>
    <s v="W7-76"/>
    <n v="0.03"/>
    <x v="2"/>
    <m/>
    <m/>
    <m/>
  </r>
  <r>
    <s v="263."/>
    <x v="236"/>
    <d v="2026-07-27T00:00:00"/>
    <d v="2026-07-28T00:00:00"/>
    <s v="255/2026"/>
    <n v="9"/>
    <n v="920"/>
    <n v="50.7"/>
    <n v="568"/>
    <n v="1"/>
    <n v="50.70422535211268"/>
    <x v="0"/>
    <n v="141.5"/>
    <x v="185"/>
    <n v="142"/>
    <n v="40"/>
    <n v="7.4"/>
    <x v="3"/>
    <s v="26/07-A"/>
    <x v="30"/>
    <s v="W5-25"/>
    <n v="0.02"/>
    <x v="10"/>
    <m/>
    <m/>
    <m/>
  </r>
  <r>
    <s v="264."/>
    <x v="237"/>
    <d v="2026-07-28T00:00:00"/>
    <d v="2026-07-28T00:00:00"/>
    <s v="255/2026"/>
    <n v="9"/>
    <n v="720"/>
    <n v="50.7"/>
    <n v="568"/>
    <n v="1"/>
    <n v="50.70422535211268"/>
    <x v="0"/>
    <n v="142"/>
    <x v="186"/>
    <n v="142.5"/>
    <n v="40"/>
    <n v="7.4"/>
    <x v="3"/>
    <s v="26/07-B"/>
    <x v="31"/>
    <s v="W6-69"/>
    <n v="0.03"/>
    <x v="2"/>
    <m/>
    <m/>
    <m/>
  </r>
  <r>
    <s v="265."/>
    <x v="238"/>
    <d v="2026-07-28T00:00:00"/>
    <d v="2026-07-28T00:00:00"/>
    <s v="255/2026"/>
    <n v="9"/>
    <n v="726"/>
    <n v="50.7"/>
    <n v="568"/>
    <n v="1"/>
    <n v="50.70422535211268"/>
    <x v="0"/>
    <n v="141.69999999999999"/>
    <x v="187"/>
    <n v="141.9"/>
    <n v="40"/>
    <n v="7.4"/>
    <x v="3"/>
    <s v="26/07-C"/>
    <x v="10"/>
    <s v="W4-62"/>
    <n v="0.02"/>
    <x v="2"/>
    <m/>
    <m/>
    <m/>
  </r>
  <r>
    <s v="266."/>
    <x v="239"/>
    <d v="2026-07-28T00:00:00"/>
    <d v="2026-07-29T00:00:00"/>
    <s v="255/2026"/>
    <n v="9"/>
    <n v="760"/>
    <n v="50.7"/>
    <n v="568"/>
    <n v="1"/>
    <n v="50.70422535211268"/>
    <x v="0"/>
    <n v="142.6"/>
    <x v="188"/>
    <n v="143.5"/>
    <n v="40"/>
    <n v="7.4"/>
    <x v="3"/>
    <s v="20/07-D"/>
    <x v="10"/>
    <s v="GM43107E"/>
    <n v="0.02"/>
    <x v="2"/>
    <m/>
    <m/>
    <m/>
  </r>
  <r>
    <s v="267."/>
    <x v="93"/>
    <d v="2026-07-29T00:00:00"/>
    <d v="2026-07-30T00:00:00"/>
    <s v="255/2026"/>
    <n v="9"/>
    <n v="734"/>
    <n v="50.7"/>
    <n v="568"/>
    <n v="1"/>
    <n v="50.70422535211268"/>
    <x v="0"/>
    <n v="141.80000000000001"/>
    <x v="185"/>
    <n v="142"/>
    <n v="40"/>
    <n v="7.4"/>
    <x v="3"/>
    <s v="20/07-E"/>
    <x v="10"/>
    <s v="GM-53281E"/>
    <n v="0.02"/>
    <x v="2"/>
    <m/>
    <m/>
    <m/>
  </r>
  <r>
    <s v="268."/>
    <x v="94"/>
    <d v="2026-07-30T00:00:00"/>
    <d v="2026-07-31T00:00:00"/>
    <s v="255/2026"/>
    <n v="9"/>
    <n v="735"/>
    <n v="50.7"/>
    <n v="568"/>
    <n v="1"/>
    <n v="50.70422535211268"/>
    <x v="0"/>
    <n v="141.19999999999999"/>
    <x v="189"/>
    <n v="141.6"/>
    <n v="40"/>
    <n v="7.4"/>
    <x v="3"/>
    <s v="26/07-F"/>
    <x v="10"/>
    <s v="GM-43676E"/>
    <n v="0.02"/>
    <x v="2"/>
    <m/>
    <m/>
    <m/>
  </r>
  <r>
    <s v="269."/>
    <x v="240"/>
    <d v="2026-07-31T00:00:00"/>
    <d v="2026-08-03T00:00:00"/>
    <s v="255/2026"/>
    <n v="9"/>
    <n v="779"/>
    <n v="50.7"/>
    <n v="568"/>
    <n v="1"/>
    <n v="50.70422535211268"/>
    <x v="0"/>
    <n v="141.9"/>
    <x v="190"/>
    <n v="142.30000000000001"/>
    <n v="40"/>
    <n v="7.4"/>
    <x v="3"/>
    <s v="26/07-G"/>
    <x v="10"/>
    <m/>
    <n v="0.02"/>
    <x v="2"/>
    <m/>
    <m/>
    <m/>
  </r>
  <r>
    <s v="270."/>
    <x v="95"/>
    <d v="2026-08-03T00:00:00"/>
    <d v="2026-08-03T00:00:00"/>
    <s v="255/2026"/>
    <n v="9"/>
    <n v="726"/>
    <n v="50.7"/>
    <n v="568"/>
    <n v="1"/>
    <n v="50.70422535211268"/>
    <x v="0"/>
    <n v="142"/>
    <x v="191"/>
    <n v="142.6"/>
    <n v="40"/>
    <n v="7.4"/>
    <x v="3"/>
    <s v="26/07-H"/>
    <x v="32"/>
    <s v="GM-32218E"/>
    <n v="0.02"/>
    <x v="2"/>
    <s v="WOJTEK"/>
    <m/>
    <m/>
  </r>
  <r>
    <s v="271."/>
    <x v="241"/>
    <d v="2026-07-29T00:00:00"/>
    <d v="2026-07-30T00:00:00"/>
    <s v="256/2026"/>
    <n v="4"/>
    <n v="1200"/>
    <n v="48"/>
    <n v="600"/>
    <n v="1"/>
    <n v="48"/>
    <x v="0"/>
    <n v="119.2"/>
    <x v="192"/>
    <n v="120"/>
    <n v="50"/>
    <n v="6.15"/>
    <x v="1"/>
    <s v="26/07-A"/>
    <x v="0"/>
    <s v="GM41373P"/>
    <n v="0.02"/>
    <x v="0"/>
    <m/>
    <m/>
    <m/>
  </r>
  <r>
    <s v="272."/>
    <x v="242"/>
    <d v="2026-07-30T00:00:00"/>
    <d v="2026-07-30T00:00:00"/>
    <s v="256/2026"/>
    <n v="4"/>
    <n v="620"/>
    <n v="48"/>
    <n v="600"/>
    <n v="1"/>
    <n v="48"/>
    <x v="0"/>
    <n v="119.1"/>
    <x v="192"/>
    <n v="120"/>
    <n v="50"/>
    <n v="6.15"/>
    <x v="1"/>
    <s v="26/07-B"/>
    <x v="0"/>
    <s v="GM-53281E"/>
    <n v="0.02"/>
    <x v="2"/>
    <m/>
    <m/>
    <m/>
  </r>
  <r>
    <s v="273."/>
    <x v="243"/>
    <d v="2026-07-31T00:00:00"/>
    <d v="2026-07-31T00:00:00"/>
    <s v="256/2026"/>
    <n v="4"/>
    <n v="600"/>
    <n v="48"/>
    <n v="600"/>
    <n v="1"/>
    <n v="48"/>
    <x v="0"/>
    <n v="119.3"/>
    <x v="193"/>
    <n v="119.6"/>
    <n v="50"/>
    <n v="6.15"/>
    <x v="1"/>
    <s v="26/07-C"/>
    <x v="0"/>
    <s v="W6-69"/>
    <n v="0.02"/>
    <x v="2"/>
    <m/>
    <m/>
    <m/>
  </r>
  <r>
    <s v="274."/>
    <x v="244"/>
    <d v="2026-07-31T00:00:00"/>
    <d v="2026-08-03T00:00:00"/>
    <s v="256/2026"/>
    <n v="4"/>
    <n v="600"/>
    <n v="48"/>
    <n v="600"/>
    <n v="1"/>
    <n v="48"/>
    <x v="0"/>
    <n v="119.4"/>
    <x v="194"/>
    <n v="119.8"/>
    <n v="50"/>
    <n v="6.15"/>
    <x v="1"/>
    <s v="26/07-D"/>
    <x v="0"/>
    <s v="GM-32218E"/>
    <n v="0.02"/>
    <x v="2"/>
    <m/>
    <m/>
    <m/>
  </r>
  <r>
    <s v="275."/>
    <x v="245"/>
    <d v="2026-08-03T00:00:00"/>
    <d v="2026-08-03T00:00:00"/>
    <s v="256/2026"/>
    <n v="4"/>
    <n v="600"/>
    <n v="48"/>
    <n v="600"/>
    <n v="1"/>
    <n v="48"/>
    <x v="0"/>
    <n v="119.3"/>
    <x v="195"/>
    <n v="119.9"/>
    <n v="50"/>
    <n v="6.15"/>
    <x v="1"/>
    <s v="26/07-E"/>
    <x v="3"/>
    <s v="GM 80295"/>
    <n v="0.02"/>
    <x v="2"/>
    <s v="WOJTEK"/>
    <s v="TAK"/>
    <m/>
  </r>
  <r>
    <s v="276."/>
    <x v="246"/>
    <d v="2026-08-03T00:00:00"/>
    <d v="2026-08-04T00:00:00"/>
    <s v="257/2026"/>
    <n v="4"/>
    <n v="968"/>
    <n v="48"/>
    <n v="600"/>
    <n v="1"/>
    <n v="48"/>
    <x v="0"/>
    <n v="72"/>
    <x v="196"/>
    <n v="72.5"/>
    <n v="32"/>
    <n v="32.5"/>
    <x v="2"/>
    <s v="26/08-A"/>
    <x v="33"/>
    <s v="W4-62"/>
    <n v="0.02"/>
    <x v="6"/>
    <m/>
    <m/>
    <m/>
  </r>
  <r>
    <s v="277."/>
    <x v="247"/>
    <d v="2026-08-04T00:00:00"/>
    <d v="2026-08-05T00:00:00"/>
    <s v="257/2026"/>
    <n v="4"/>
    <n v="1024"/>
    <n v="48"/>
    <n v="600"/>
    <n v="1"/>
    <n v="48"/>
    <x v="0"/>
    <n v="71.5"/>
    <x v="197"/>
    <n v="71.900000000000006"/>
    <n v="32"/>
    <n v="32.5"/>
    <x v="2"/>
    <s v="26/08-B"/>
    <x v="33"/>
    <s v="W6-69"/>
    <n v="0.02"/>
    <x v="2"/>
    <s v="KRYSTIAN"/>
    <s v="NIE"/>
    <m/>
  </r>
  <r>
    <s v="278."/>
    <x v="17"/>
    <d v="2026-08-04T00:00:00"/>
    <d v="2026-08-04T00:00:00"/>
    <s v="262/2026"/>
    <n v="9"/>
    <n v="812"/>
    <n v="64.400000000000006"/>
    <n v="447"/>
    <n v="1"/>
    <n v="64.429530201342288"/>
    <x v="44"/>
    <n v="141.9"/>
    <x v="190"/>
    <n v="142.30000000000001"/>
    <n v="52"/>
    <n v="12"/>
    <x v="3"/>
    <s v="26/08-A"/>
    <x v="34"/>
    <s v="GM10684P"/>
    <n v="0.02"/>
    <x v="6"/>
    <m/>
    <m/>
    <m/>
  </r>
  <r>
    <s v="279."/>
    <x v="87"/>
    <d v="2026-08-05T00:00:00"/>
    <d v="2026-08-05T00:00:00"/>
    <s v="262/2026"/>
    <n v="9"/>
    <n v="1018"/>
    <n v="64.400000000000006"/>
    <n v="447"/>
    <n v="1"/>
    <n v="64.429530201342288"/>
    <x v="87"/>
    <n v="206.5"/>
    <x v="198"/>
    <n v="207"/>
    <n v="52"/>
    <n v="12"/>
    <x v="3"/>
    <s v="26/08-B"/>
    <x v="34"/>
    <s v="GM-43357E"/>
    <n v="0.02"/>
    <x v="2"/>
    <m/>
    <m/>
    <m/>
  </r>
  <r>
    <s v="280."/>
    <x v="15"/>
    <d v="2026-08-05T00:00:00"/>
    <d v="2026-08-06T00:00:00"/>
    <s v="262/2026"/>
    <n v="9"/>
    <n v="821"/>
    <n v="61.5"/>
    <n v="447"/>
    <n v="1"/>
    <n v="64.429530201342288"/>
    <x v="0"/>
    <n v="208.6"/>
    <x v="199"/>
    <n v="209"/>
    <n v="52"/>
    <n v="12"/>
    <x v="3"/>
    <s v="26/08-C"/>
    <x v="34"/>
    <s v="W5-25"/>
    <n v="0.02"/>
    <x v="2"/>
    <m/>
    <m/>
    <m/>
  </r>
  <r>
    <s v="281."/>
    <x v="175"/>
    <d v="2026-08-06T00:00:00"/>
    <d v="2026-08-07T00:00:00"/>
    <s v="262/2026"/>
    <n v="9"/>
    <n v="714"/>
    <n v="61.5"/>
    <n v="447"/>
    <n v="1"/>
    <n v="64.429530201342288"/>
    <x v="63"/>
    <n v="209"/>
    <x v="16"/>
    <n v="209.4"/>
    <n v="52"/>
    <n v="12"/>
    <x v="3"/>
    <s v="26/08-D"/>
    <x v="34"/>
    <s v="W4-62"/>
    <n v="0.02"/>
    <x v="2"/>
    <m/>
    <m/>
    <m/>
  </r>
  <r>
    <s v="282."/>
    <x v="248"/>
    <d v="2026-08-07T00:00:00"/>
    <d v="2026-08-10T00:00:00"/>
    <s v="262/2026"/>
    <n v="9"/>
    <n v="724"/>
    <n v="61.5"/>
    <n v="447"/>
    <n v="1"/>
    <n v="64.429530201342288"/>
    <x v="0"/>
    <n v="208.4"/>
    <x v="200"/>
    <n v="208.4"/>
    <n v="52"/>
    <n v="12"/>
    <x v="3"/>
    <s v="26/08-E"/>
    <x v="34"/>
    <s v="GM43107E"/>
    <n v="0.02"/>
    <x v="2"/>
    <m/>
    <m/>
    <m/>
  </r>
  <r>
    <s v="283."/>
    <x v="249"/>
    <d v="2026-08-07T00:00:00"/>
    <d v="2026-08-07T00:00:00"/>
    <s v="204/2026"/>
    <n v="6"/>
    <n v="1076"/>
    <n v="34.68"/>
    <n v="830"/>
    <n v="1"/>
    <n v="34.69879518072289"/>
    <x v="0"/>
    <n v="44.1"/>
    <x v="201"/>
    <n v="44.6"/>
    <n v="175"/>
    <n v="8.5"/>
    <x v="1"/>
    <s v="26/08-A"/>
    <x v="0"/>
    <s v="GM-53281E"/>
    <n v="0.02"/>
    <x v="12"/>
    <m/>
    <m/>
    <m/>
  </r>
  <r>
    <s v="284."/>
    <x v="250"/>
    <d v="2026-08-07T00:00:00"/>
    <d v="2026-08-10T00:00:00"/>
    <s v="204/2026"/>
    <n v="6"/>
    <n v="1000"/>
    <n v="34.68"/>
    <n v="830"/>
    <n v="1"/>
    <n v="34.69879518072289"/>
    <x v="49"/>
    <n v="44"/>
    <x v="202"/>
    <n v="44.5"/>
    <n v="175"/>
    <n v="8.5"/>
    <x v="1"/>
    <s v="26/08-B"/>
    <x v="0"/>
    <s v="GM-12197E"/>
    <n v="0.02"/>
    <x v="2"/>
    <m/>
    <m/>
    <m/>
  </r>
  <r>
    <s v="285."/>
    <x v="251"/>
    <d v="2026-08-10T00:00:00"/>
    <d v="2026-08-10T00:00:00"/>
    <s v="204/2026"/>
    <n v="6"/>
    <n v="1000"/>
    <n v="34.68"/>
    <n v="830"/>
    <n v="1"/>
    <n v="34.69879518072289"/>
    <x v="0"/>
    <n v="44"/>
    <x v="203"/>
    <n v="44.8"/>
    <n v="175"/>
    <n v="8.5"/>
    <x v="1"/>
    <s v="26/08-C"/>
    <x v="0"/>
    <s v="GM 80295"/>
    <n v="0.02"/>
    <x v="2"/>
    <m/>
    <m/>
    <m/>
  </r>
  <r>
    <s v="286."/>
    <x v="252"/>
    <d v="2026-08-10T00:00:00"/>
    <d v="2026-08-11T00:00:00"/>
    <s v="204/2026"/>
    <n v="6"/>
    <n v="1000"/>
    <n v="34.68"/>
    <n v="830"/>
    <n v="1"/>
    <n v="34.69879518072289"/>
    <x v="0"/>
    <n v="44.2"/>
    <x v="201"/>
    <n v="44.6"/>
    <n v="175"/>
    <n v="8.5"/>
    <x v="1"/>
    <s v="26/08-D"/>
    <x v="0"/>
    <s v="GM80690E"/>
    <n v="0.02"/>
    <x v="2"/>
    <m/>
    <m/>
    <m/>
  </r>
  <r>
    <s v="287."/>
    <x v="253"/>
    <d v="2026-08-11T00:00:00"/>
    <d v="2026-08-11T00:00:00"/>
    <s v="204/2026"/>
    <n v="6"/>
    <n v="1000"/>
    <n v="34.68"/>
    <n v="830"/>
    <n v="1"/>
    <n v="34.69879518072289"/>
    <x v="54"/>
    <n v="44.1"/>
    <x v="201"/>
    <n v="44.6"/>
    <n v="175"/>
    <n v="8.5"/>
    <x v="1"/>
    <s v="26/08-E"/>
    <x v="3"/>
    <s v="GM-43676E"/>
    <n v="0.02"/>
    <x v="2"/>
    <m/>
    <m/>
    <m/>
  </r>
  <r>
    <s v="288."/>
    <x v="254"/>
    <d v="2026-08-10T00:00:00"/>
    <d v="2026-08-10T00:00:00"/>
    <s v="263/2026"/>
    <n v="9"/>
    <n v="528"/>
    <n v="50.1"/>
    <n v="574"/>
    <n v="1"/>
    <n v="50.174216027874564"/>
    <x v="0"/>
    <n v="130.5"/>
    <x v="204"/>
    <n v="130.5"/>
    <n v="48"/>
    <n v="7.05"/>
    <x v="2"/>
    <s v="26/08-A"/>
    <x v="33"/>
    <s v="GM43107E"/>
    <n v="0.02"/>
    <x v="0"/>
    <m/>
    <m/>
    <m/>
  </r>
  <r>
    <s v="289."/>
    <x v="255"/>
    <d v="2026-08-10T00:00:00"/>
    <d v="2026-08-11T00:00:00"/>
    <s v="263/2026"/>
    <n v="9"/>
    <n v="1056"/>
    <n v="50.1"/>
    <n v="574"/>
    <n v="1"/>
    <n v="50.174216027874564"/>
    <x v="0"/>
    <n v="133.5"/>
    <x v="205"/>
    <n v="133.5"/>
    <n v="48"/>
    <n v="7.05"/>
    <x v="2"/>
    <s v="26/08-B"/>
    <x v="33"/>
    <s v="W5-25"/>
    <n v="0.02"/>
    <x v="2"/>
    <m/>
    <m/>
    <m/>
  </r>
  <r>
    <s v="290."/>
    <x v="256"/>
    <d v="2026-08-11T00:00:00"/>
    <d v="2026-08-11T00:00:00"/>
    <s v="263/2026"/>
    <n v="9"/>
    <n v="900"/>
    <n v="52.1"/>
    <n v="552"/>
    <n v="1"/>
    <n v="52.173913043478258"/>
    <x v="0"/>
    <n v="134.19999999999999"/>
    <x v="206"/>
    <n v="134.19999999999999"/>
    <n v="48"/>
    <n v="7.05"/>
    <x v="2"/>
    <s v="26/08-C"/>
    <x v="33"/>
    <s v="GM-32218E"/>
    <n v="0.02"/>
    <x v="2"/>
    <m/>
    <m/>
    <m/>
  </r>
  <r>
    <s v="291."/>
    <x v="257"/>
    <d v="2026-08-12T00:00:00"/>
    <d v="2026-08-12T00:00:00"/>
    <s v="263/2026"/>
    <n v="9"/>
    <n v="540"/>
    <n v="54.2"/>
    <n v="530"/>
    <n v="1"/>
    <n v="54.339622641509436"/>
    <x v="0"/>
    <n v="133.80000000000001"/>
    <x v="207"/>
    <n v="133.80000000000001"/>
    <n v="48"/>
    <n v="7.05"/>
    <x v="2"/>
    <s v="26/08-D"/>
    <x v="33"/>
    <s v="GM-53281E"/>
    <n v="0.02"/>
    <x v="2"/>
    <m/>
    <m/>
    <m/>
  </r>
  <r>
    <s v="292."/>
    <x v="258"/>
    <d v="2026-08-13T00:00:00"/>
    <d v="2026-08-13T00:00:00"/>
    <s v="263/2026"/>
    <n v="9"/>
    <n v="707"/>
    <n v="56"/>
    <n v="514"/>
    <n v="1"/>
    <n v="56.031128404669261"/>
    <x v="0"/>
    <n v="133.19999999999999"/>
    <x v="208"/>
    <n v="133.19999999999999"/>
    <n v="48"/>
    <n v="7.05"/>
    <x v="2"/>
    <s v="26/08-E"/>
    <x v="33"/>
    <s v="GM-53281E"/>
    <n v="0.02"/>
    <x v="2"/>
    <m/>
    <m/>
    <m/>
  </r>
  <r>
    <s v="293."/>
    <x v="259"/>
    <d v="2026-08-13T00:00:00"/>
    <d v="2026-08-17T00:00:00"/>
    <s v="263/2026"/>
    <n v="9"/>
    <n v="500"/>
    <n v="56"/>
    <n v="514"/>
    <n v="1"/>
    <n v="56.031128404669261"/>
    <x v="0"/>
    <n v="133.5"/>
    <x v="205"/>
    <n v="133.5"/>
    <n v="48"/>
    <n v="7.05"/>
    <x v="2"/>
    <s v="26/08-F"/>
    <x v="33"/>
    <s v="W6-69"/>
    <n v="0.02"/>
    <x v="2"/>
    <m/>
    <m/>
    <m/>
  </r>
  <r>
    <s v="294."/>
    <x v="260"/>
    <d v="2026-08-17T00:00:00"/>
    <d v="2026-08-18T00:00:00"/>
    <s v="263/2025"/>
    <n v="9"/>
    <n v="616"/>
    <n v="49.8"/>
    <n v="587"/>
    <n v="1"/>
    <n v="49.063032367972745"/>
    <x v="0"/>
    <n v="131.5"/>
    <x v="209"/>
    <n v="131.5"/>
    <n v="48"/>
    <n v="7.05"/>
    <x v="2"/>
    <s v="26/08-G"/>
    <x v="33"/>
    <s v="GM41373P"/>
    <n v="0.02"/>
    <x v="2"/>
    <m/>
    <m/>
    <m/>
  </r>
  <r>
    <s v="295."/>
    <x v="261"/>
    <d v="2026-08-18T00:00:00"/>
    <d v="2026-08-18T00:00:00"/>
    <s v="263/2026"/>
    <n v="9"/>
    <n v="702"/>
    <n v="49.8"/>
    <n v="587"/>
    <n v="1"/>
    <n v="49.063032367972745"/>
    <x v="0"/>
    <n v="132.19999999999999"/>
    <x v="210"/>
    <n v="132.19999999999999"/>
    <n v="48"/>
    <n v="7.05"/>
    <x v="2"/>
    <s v="26/08-H"/>
    <x v="33"/>
    <s v="GM-12485E"/>
    <n v="0.02"/>
    <x v="2"/>
    <m/>
    <m/>
    <m/>
  </r>
  <r>
    <s v="296."/>
    <x v="262"/>
    <d v="2026-08-05T00:00:00"/>
    <m/>
    <s v="264/2026"/>
    <n v="4"/>
    <n v="60000"/>
    <n v="46.1"/>
    <n v="4997"/>
    <n v="8"/>
    <n v="46.107664598759257"/>
    <x v="0"/>
    <n v="1.7"/>
    <x v="211"/>
    <n v="3"/>
    <n v="18000"/>
    <n v="31.6"/>
    <x v="8"/>
    <s v="26/08-A"/>
    <x v="35"/>
    <m/>
    <m/>
    <x v="6"/>
    <s v="KRYSTIAN"/>
    <s v="NIE"/>
    <m/>
  </r>
  <r>
    <s v="297."/>
    <x v="263"/>
    <d v="2026-08-17T00:00:00"/>
    <d v="2026-08-17T00:00:00"/>
    <s v="273/2026"/>
    <n v="4"/>
    <n v="3000"/>
    <n v="36.4"/>
    <n v="1582"/>
    <n v="2"/>
    <n v="36.409608091024019"/>
    <x v="52"/>
    <n v="26.3"/>
    <x v="84"/>
    <n v="26.9"/>
    <n v="176"/>
    <n v="4.5999999999999996"/>
    <x v="0"/>
    <s v="26/08-A"/>
    <x v="29"/>
    <s v="GM-32218E"/>
    <n v="0.02"/>
    <x v="1"/>
    <m/>
    <m/>
    <m/>
  </r>
  <r>
    <s v="298."/>
    <x v="264"/>
    <d v="2026-08-20T00:00:00"/>
    <d v="2026-08-24T00:00:00"/>
    <s v="281/2026"/>
    <n v="4"/>
    <n v="1504"/>
    <n v="46.5"/>
    <n v="619"/>
    <n v="1"/>
    <n v="46.52665589660743"/>
    <x v="0"/>
    <n v="127.3"/>
    <x v="212"/>
    <n v="127.9"/>
    <n v="32"/>
    <n v="4.3499999999999996"/>
    <x v="0"/>
    <s v="26/08-A"/>
    <x v="3"/>
    <s v="GM80690E"/>
    <n v="0.02"/>
    <x v="0"/>
    <m/>
    <m/>
    <m/>
  </r>
  <r>
    <s v="299."/>
    <x v="265"/>
    <d v="2026-08-24T00:00:00"/>
    <d v="2026-08-25T00:00:00"/>
    <s v="281/2026"/>
    <n v="4"/>
    <n v="1504"/>
    <n v="46.5"/>
    <n v="619"/>
    <n v="1"/>
    <n v="46.52665589660743"/>
    <x v="0"/>
    <n v="127"/>
    <x v="213"/>
    <n v="127"/>
    <n v="32"/>
    <n v="4.3499999999999996"/>
    <x v="0"/>
    <s v="26/08-B"/>
    <x v="3"/>
    <s v="GM-32218E"/>
    <n v="0.02"/>
    <x v="2"/>
    <s v="KACPER"/>
    <s v="NIE"/>
    <m/>
  </r>
  <r>
    <s v="300."/>
    <x v="266"/>
    <d v="2026-08-19T00:00:00"/>
    <d v="2026-08-20T00:00:00"/>
    <s v="274/2026"/>
    <n v="9"/>
    <n v="1000"/>
    <n v="55.8"/>
    <n v="516"/>
    <n v="1"/>
    <n v="55.813953488372093"/>
    <x v="0"/>
    <n v="400"/>
    <x v="214"/>
    <n v="400.3"/>
    <n v="20"/>
    <n v="8.1999999999999993"/>
    <x v="10"/>
    <s v="26/08-A"/>
    <x v="0"/>
    <s v="GM-80690E"/>
    <n v="0.02"/>
    <x v="1"/>
    <m/>
    <m/>
    <m/>
  </r>
  <r>
    <s v="301."/>
    <x v="267"/>
    <d v="2026-08-20T00:00:00"/>
    <d v="2026-08-24T00:00:00"/>
    <s v="282/2026"/>
    <n v="9"/>
    <n v="920"/>
    <n v="55.8"/>
    <n v="516"/>
    <n v="1"/>
    <n v="55.813953488372093"/>
    <x v="0"/>
    <n v="400"/>
    <x v="214"/>
    <n v="400.3"/>
    <n v="20"/>
    <n v="8.1999999999999993"/>
    <x v="10"/>
    <s v="26/08-A"/>
    <x v="0"/>
    <s v="GM80690E"/>
    <n v="0.02"/>
    <x v="2"/>
    <m/>
    <m/>
    <m/>
  </r>
  <r>
    <s v="302."/>
    <x v="268"/>
    <d v="2026-08-24T00:00:00"/>
    <d v="2026-08-25T00:00:00"/>
    <s v="282/2026"/>
    <n v="9"/>
    <n v="910"/>
    <n v="55.8"/>
    <n v="516"/>
    <n v="1"/>
    <n v="55.813953488372093"/>
    <x v="0"/>
    <n v="400"/>
    <x v="214"/>
    <n v="400.3"/>
    <n v="20"/>
    <n v="8.1999999999999993"/>
    <x v="10"/>
    <s v="26/08-B"/>
    <x v="0"/>
    <s v="GM-32218E"/>
    <n v="0.02"/>
    <x v="2"/>
    <m/>
    <m/>
    <m/>
  </r>
  <r>
    <s v="303."/>
    <x v="269"/>
    <d v="2026-08-25T00:00:00"/>
    <d v="2026-08-26T00:00:00"/>
    <s v="282/2026"/>
    <n v="9"/>
    <n v="860"/>
    <n v="56.2"/>
    <n v="512"/>
    <n v="1"/>
    <n v="56.25"/>
    <x v="0"/>
    <n v="400"/>
    <x v="214"/>
    <n v="400.3"/>
    <n v="20"/>
    <n v="8.1999999999999993"/>
    <x v="10"/>
    <s v="26/08-C"/>
    <x v="0"/>
    <s v="GM 80295"/>
    <n v="0.02"/>
    <x v="2"/>
    <m/>
    <m/>
    <m/>
  </r>
  <r>
    <s v="304."/>
    <x v="270"/>
    <d v="2026-08-26T00:00:00"/>
    <d v="2026-08-27T00:00:00"/>
    <s v="289/2026"/>
    <n v="8"/>
    <n v="280"/>
    <n v="52.8"/>
    <n v="545"/>
    <n v="1"/>
    <n v="52.844036697247709"/>
    <x v="0"/>
    <n v="250"/>
    <x v="215"/>
    <n v="250"/>
    <n v="15"/>
    <n v="4.3"/>
    <x v="10"/>
    <s v="26/08-B"/>
    <x v="36"/>
    <s v="C4146"/>
    <n v="0.02"/>
    <x v="13"/>
    <m/>
    <m/>
    <m/>
  </r>
  <r>
    <s v="305."/>
    <x v="271"/>
    <d v="2026-08-25T00:00:00"/>
    <d v="2026-08-25T00:00:00"/>
    <s v="289/2026"/>
    <n v="8"/>
    <n v="255"/>
    <n v="52.8"/>
    <n v="545"/>
    <n v="1"/>
    <n v="52.844036697247709"/>
    <x v="0"/>
    <n v="250"/>
    <x v="215"/>
    <n v="250"/>
    <n v="15"/>
    <n v="4.3"/>
    <x v="10"/>
    <s v="26/08-A"/>
    <x v="36"/>
    <s v="W9-240"/>
    <n v="0.02"/>
    <x v="8"/>
    <m/>
    <m/>
    <m/>
  </r>
  <r>
    <s v="306."/>
    <x v="272"/>
    <d v="2026-08-27T00:00:00"/>
    <d v="2026-08-27T00:00:00"/>
    <s v="289/2026"/>
    <n v="8"/>
    <n v="255"/>
    <n v="52.8"/>
    <n v="545"/>
    <n v="1"/>
    <n v="52.844036697247709"/>
    <x v="0"/>
    <n v="250"/>
    <x v="215"/>
    <n v="250"/>
    <n v="15"/>
    <n v="4.3"/>
    <x v="10"/>
    <s v="26/08-C"/>
    <x v="36"/>
    <s v="C4146"/>
    <n v="0.02"/>
    <x v="2"/>
    <s v="KACPER"/>
    <s v="NIE"/>
    <m/>
  </r>
  <r>
    <s v="307."/>
    <x v="197"/>
    <d v="2026-08-26T00:00:00"/>
    <d v="2026-08-28T00:00:00"/>
    <s v="287/2026"/>
    <n v="9"/>
    <n v="1505"/>
    <n v="44.8"/>
    <n v="642"/>
    <n v="1"/>
    <n v="44.859813084112147"/>
    <x v="0"/>
    <n v="250"/>
    <x v="215"/>
    <n v="250"/>
    <n v="80"/>
    <n v="19.05"/>
    <x v="2"/>
    <s v="26/08-A"/>
    <x v="0"/>
    <s v="GM 80295"/>
    <n v="0.02"/>
    <x v="14"/>
    <m/>
    <m/>
    <m/>
  </r>
  <r>
    <s v="308."/>
    <x v="273"/>
    <d v="2026-08-28T00:00:00"/>
    <d v="2026-08-31T00:00:00"/>
    <s v="287/2026"/>
    <n v="9"/>
    <n v="900"/>
    <n v="44.8"/>
    <n v="642"/>
    <n v="1"/>
    <n v="44.859813084112147"/>
    <x v="0"/>
    <n v="250"/>
    <x v="215"/>
    <n v="250"/>
    <n v="80"/>
    <n v="19.05"/>
    <x v="2"/>
    <s v="26/08-B"/>
    <x v="0"/>
    <s v="GM-32218E"/>
    <n v="0.02"/>
    <x v="2"/>
    <m/>
    <m/>
    <m/>
  </r>
  <r>
    <s v="309."/>
    <x v="274"/>
    <d v="2026-08-31T00:00:00"/>
    <d v="2026-09-02T00:00:00"/>
    <s v="287/2026"/>
    <n v="9"/>
    <n v="1500"/>
    <n v="44.8"/>
    <n v="642"/>
    <n v="1"/>
    <n v="44.859813084112147"/>
    <x v="0"/>
    <n v="250"/>
    <x v="215"/>
    <n v="250"/>
    <n v="80"/>
    <n v="19.05"/>
    <x v="2"/>
    <s v="26/08-c"/>
    <x v="3"/>
    <s v="GM80690E"/>
    <n v="0.02"/>
    <x v="2"/>
    <m/>
    <m/>
    <m/>
  </r>
  <r>
    <s v="310."/>
    <x v="58"/>
    <d v="2026-08-28T00:00:00"/>
    <d v="2026-08-28T00:00:00"/>
    <s v="293/2026"/>
    <n v="8"/>
    <n v="805"/>
    <n v="46.1"/>
    <n v="624"/>
    <n v="1"/>
    <n v="46.153846153846153"/>
    <x v="65"/>
    <n v="157"/>
    <x v="216"/>
    <n v="157"/>
    <n v="40"/>
    <n v="6.65"/>
    <x v="1"/>
    <s v="26/08-A"/>
    <x v="6"/>
    <s v="W2-73/1"/>
    <n v="0.03"/>
    <x v="0"/>
    <m/>
    <m/>
    <m/>
  </r>
  <r>
    <s v="311."/>
    <x v="60"/>
    <d v="2026-08-28T00:00:00"/>
    <d v="2026-09-01T00:00:00"/>
    <s v="293/2026"/>
    <n v="8"/>
    <n v="2000"/>
    <n v="46.1"/>
    <n v="624"/>
    <n v="1"/>
    <n v="46.153846153846153"/>
    <x v="64"/>
    <n v="156.9"/>
    <x v="217"/>
    <n v="156.9"/>
    <n v="40"/>
    <n v="6.65"/>
    <x v="1"/>
    <s v="26/08-B"/>
    <x v="6"/>
    <s v="W6-125"/>
    <n v="0.03"/>
    <x v="2"/>
    <m/>
    <m/>
    <m/>
  </r>
  <r>
    <s v="312."/>
    <x v="275"/>
    <d v="2026-09-01T00:00:00"/>
    <d v="2026-09-02T00:00:00"/>
    <s v="293/2026"/>
    <n v="8"/>
    <n v="1000"/>
    <n v="45.1"/>
    <n v="638"/>
    <n v="1"/>
    <n v="45.141065830721004"/>
    <x v="88"/>
    <n v="159.9"/>
    <x v="48"/>
    <n v="160"/>
    <n v="40"/>
    <n v="6.65"/>
    <x v="1"/>
    <s v="28/09-C"/>
    <x v="6"/>
    <s v="W6-69"/>
    <n v="0.02"/>
    <x v="2"/>
    <m/>
    <m/>
    <m/>
  </r>
  <r>
    <s v="313."/>
    <x v="276"/>
    <d v="2026-09-02T00:00:00"/>
    <d v="2026-09-03T00:00:00"/>
    <s v="239/2026"/>
    <n v="8"/>
    <n v="1014"/>
    <n v="45.1"/>
    <n v="638"/>
    <n v="1"/>
    <n v="45.141065830721004"/>
    <x v="0"/>
    <n v="157.4"/>
    <x v="51"/>
    <n v="157.5"/>
    <n v="40"/>
    <n v="6.5"/>
    <x v="1"/>
    <s v="29/09-D"/>
    <x v="6"/>
    <s v="GM43107E"/>
    <n v="0.02"/>
    <x v="2"/>
    <m/>
    <m/>
    <m/>
  </r>
  <r>
    <s v="314."/>
    <x v="277"/>
    <d v="2026-09-03T00:00:00"/>
    <d v="2026-09-04T00:00:00"/>
    <s v="239/2026"/>
    <n v="8"/>
    <n v="1027"/>
    <n v="45.1"/>
    <n v="638"/>
    <n v="1"/>
    <n v="45.141065830721004"/>
    <x v="65"/>
    <n v="158.1"/>
    <x v="218"/>
    <n v="158.5"/>
    <n v="40"/>
    <n v="6.5"/>
    <x v="1"/>
    <s v="29/09-E"/>
    <x v="6"/>
    <s v="W4-62"/>
    <n v="0.02"/>
    <x v="2"/>
    <m/>
    <m/>
    <m/>
  </r>
  <r>
    <s v="315."/>
    <x v="278"/>
    <d v="2026-09-04T00:00:00"/>
    <d v="2026-09-07T00:00:00"/>
    <s v="239/2026"/>
    <n v="8"/>
    <n v="1016"/>
    <n v="45.1"/>
    <n v="638"/>
    <n v="1"/>
    <n v="45.141065830721004"/>
    <x v="0"/>
    <n v="158.19999999999999"/>
    <x v="219"/>
    <n v="158.80000000000001"/>
    <n v="40"/>
    <n v="6.5"/>
    <x v="1"/>
    <s v="26/09-F"/>
    <x v="6"/>
    <s v="HP400331/40"/>
    <n v="0.02"/>
    <x v="2"/>
    <m/>
    <m/>
    <m/>
  </r>
  <r>
    <s v="316."/>
    <x v="56"/>
    <d v="2026-09-07T00:00:00"/>
    <d v="2026-09-08T00:00:00"/>
    <s v="239/2026"/>
    <n v="8"/>
    <n v="1007"/>
    <n v="45.1"/>
    <n v="638"/>
    <n v="1"/>
    <n v="45.141065830721004"/>
    <x v="0"/>
    <n v="158"/>
    <x v="50"/>
    <n v="158.6"/>
    <n v="40"/>
    <n v="6.5"/>
    <x v="1"/>
    <s v="26/09-G"/>
    <x v="6"/>
    <s v="GM-20225E "/>
    <n v="0.05"/>
    <x v="2"/>
    <m/>
    <m/>
    <m/>
  </r>
  <r>
    <s v="317."/>
    <x v="57"/>
    <d v="2026-09-08T00:00:00"/>
    <d v="2026-09-09T00:00:00"/>
    <s v="239/2026"/>
    <n v="8"/>
    <n v="1058"/>
    <n v="45.1"/>
    <n v="638"/>
    <n v="1"/>
    <n v="45.141065830721004"/>
    <x v="0"/>
    <n v="158.19999999999999"/>
    <x v="50"/>
    <n v="158.6"/>
    <n v="40"/>
    <n v="6.5"/>
    <x v="1"/>
    <s v="26/09-H"/>
    <x v="6"/>
    <s v="GM-32747E"/>
    <n v="0.05"/>
    <x v="2"/>
    <s v="KRYSTIAN"/>
    <m/>
    <m/>
  </r>
  <r>
    <s v="318."/>
    <x v="5"/>
    <d v="2026-09-02T00:00:00"/>
    <d v="2026-09-02T00:00:00"/>
    <s v="294/2026"/>
    <n v="9"/>
    <n v="500"/>
    <n v="46.5"/>
    <n v="620"/>
    <n v="1"/>
    <n v="46.451612903225808"/>
    <x v="2"/>
    <n v="240.5"/>
    <x v="220"/>
    <m/>
    <n v="30"/>
    <n v="8"/>
    <x v="1"/>
    <s v="26/09-A"/>
    <x v="34"/>
    <s v="GM80690E"/>
    <n v="0.02"/>
    <x v="9"/>
    <m/>
    <m/>
    <m/>
  </r>
  <r>
    <s v="319."/>
    <x v="4"/>
    <d v="2026-09-03T00:00:00"/>
    <d v="2026-09-03T00:00:00"/>
    <s v="294/2026"/>
    <n v="9"/>
    <n v="770"/>
    <n v="46.5"/>
    <n v="620"/>
    <n v="1"/>
    <n v="46.451612903225808"/>
    <x v="0"/>
    <n v="240"/>
    <x v="221"/>
    <n v="240"/>
    <n v="30"/>
    <n v="8"/>
    <x v="1"/>
    <s v="26/09-B"/>
    <x v="34"/>
    <s v="GM-32218E"/>
    <n v="0.02"/>
    <x v="2"/>
    <s v="KRYSTIAN"/>
    <s v="NIE"/>
    <m/>
  </r>
  <r>
    <s v="320."/>
    <x v="171"/>
    <d v="2026-09-03T00:00:00"/>
    <d v="2026-09-08T00:00:00"/>
    <s v="295/2026"/>
    <n v="9"/>
    <n v="2542"/>
    <n v="79.099999999999994"/>
    <n v="728"/>
    <n v="2"/>
    <n v="79.120879120879124"/>
    <x v="89"/>
    <n v="109"/>
    <x v="222"/>
    <n v="110.5"/>
    <n v="60"/>
    <n v="7.1"/>
    <x v="1"/>
    <s v="26/09-A"/>
    <x v="23"/>
    <s v="GM-80690E"/>
    <n v="0.04"/>
    <x v="15"/>
    <m/>
    <m/>
    <m/>
  </r>
  <r>
    <s v="321."/>
    <x v="279"/>
    <d v="2026-09-08T00:00:00"/>
    <d v="2026-09-09T00:00:00"/>
    <s v="303/2026"/>
    <n v="7"/>
    <n v="3105"/>
    <n v="56.9"/>
    <n v="1012"/>
    <n v="2"/>
    <n v="56.916996047430828"/>
    <x v="0"/>
    <n v="65"/>
    <x v="223"/>
    <n v="67.2"/>
    <n v="140"/>
    <n v="10"/>
    <x v="1"/>
    <s v="26/09-A"/>
    <x v="0"/>
    <s v="GM-6979E"/>
    <n v="0.03"/>
    <x v="1"/>
    <m/>
    <m/>
    <m/>
  </r>
  <r>
    <s v="322."/>
    <x v="280"/>
    <d v="2026-09-10T00:00:00"/>
    <d v="2026-09-10T00:00:00"/>
    <s v="303/2026"/>
    <n v="7"/>
    <n v="1120"/>
    <n v="56.3"/>
    <n v="1020"/>
    <n v="2"/>
    <n v="56.470588235294116"/>
    <x v="90"/>
    <n v="67.2"/>
    <x v="224"/>
    <n v="68.8"/>
    <n v="140"/>
    <n v="10"/>
    <x v="1"/>
    <s v="26/09-B"/>
    <x v="0"/>
    <s v="W2-68"/>
    <n v="0.03"/>
    <x v="2"/>
    <m/>
    <m/>
    <m/>
  </r>
  <r>
    <s v="323."/>
    <x v="176"/>
    <d v="2026-09-08T00:00:00"/>
    <d v="2026-09-11T00:00:00"/>
    <s v="311/2026"/>
    <n v="9"/>
    <n v="2548"/>
    <n v="62.2"/>
    <n v="463"/>
    <n v="1"/>
    <n v="62.203023758099349"/>
    <x v="91"/>
    <n v="207.5"/>
    <x v="225"/>
    <n v="207.5"/>
    <n v="52"/>
    <n v="12"/>
    <x v="3"/>
    <s v="26/09-A"/>
    <x v="37"/>
    <s v="W6-69"/>
    <n v="0.02"/>
    <x v="1"/>
    <m/>
    <m/>
    <m/>
  </r>
  <r>
    <s v="324."/>
    <x v="14"/>
    <d v="2026-09-11T00:00:00"/>
    <s v="14,09.2026"/>
    <s v="311/2026"/>
    <n v="9"/>
    <n v="427"/>
    <n v="62.2"/>
    <n v="463"/>
    <n v="1"/>
    <n v="62.203023758099349"/>
    <x v="0"/>
    <n v="207"/>
    <x v="225"/>
    <n v="207.5"/>
    <n v="52"/>
    <n v="12"/>
    <x v="3"/>
    <s v="29/09-B"/>
    <x v="34"/>
    <s v="GM-53281E"/>
    <n v="0.02"/>
    <x v="2"/>
    <m/>
    <m/>
    <m/>
  </r>
  <r>
    <s v="325."/>
    <x v="281"/>
    <d v="2026-09-09T00:00:00"/>
    <d v="2026-09-10T00:00:00"/>
    <s v="322/2026"/>
    <n v="8"/>
    <n v="1040"/>
    <n v="59.5"/>
    <n v="490"/>
    <n v="1"/>
    <n v="58.775510204081634"/>
    <x v="0"/>
    <n v="142.5"/>
    <x v="226"/>
    <n v="142.9"/>
    <n v="40"/>
    <n v="6.5"/>
    <x v="1"/>
    <s v="26/09-A"/>
    <x v="0"/>
    <s v="GM-6979E"/>
    <n v="0.03"/>
    <x v="1"/>
    <m/>
    <m/>
    <m/>
  </r>
  <r>
    <s v="326."/>
    <x v="282"/>
    <d v="2026-09-10T00:00:00"/>
    <d v="2026-09-11T00:00:00"/>
    <s v="322/2026"/>
    <n v="8"/>
    <n v="1000"/>
    <n v="59.5"/>
    <n v="490"/>
    <n v="1"/>
    <n v="58.775510204081634"/>
    <x v="0"/>
    <n v="142.5"/>
    <x v="226"/>
    <n v="142.9"/>
    <n v="40"/>
    <n v="6.5"/>
    <x v="1"/>
    <s v="26/09-B"/>
    <x v="0"/>
    <s v="GM-43114E"/>
    <n v="0.03"/>
    <x v="2"/>
    <m/>
    <m/>
    <m/>
  </r>
  <r>
    <s v="327."/>
    <x v="283"/>
    <d v="2026-09-11T00:00:00"/>
    <d v="2026-09-15T00:00:00"/>
    <s v="322/2026"/>
    <n v="8"/>
    <n v="967"/>
    <n v="54.3"/>
    <n v="530"/>
    <n v="1"/>
    <n v="54.339622641509436"/>
    <x v="0"/>
    <n v="143.80000000000001"/>
    <x v="227"/>
    <n v="144"/>
    <n v="40"/>
    <n v="6.5"/>
    <x v="1"/>
    <s v="26/09-C"/>
    <x v="0"/>
    <s v="W2-68"/>
    <n v="0.03"/>
    <x v="2"/>
    <m/>
    <m/>
    <m/>
  </r>
  <r>
    <s v="328."/>
    <x v="284"/>
    <d v="2026-09-15T00:00:00"/>
    <d v="2026-09-16T00:00:00"/>
    <s v="322/2026"/>
    <n v="8"/>
    <n v="1000"/>
    <n v="53.9"/>
    <n v="534"/>
    <n v="1"/>
    <n v="53.932584269662918"/>
    <x v="92"/>
    <n v="143.19999999999999"/>
    <x v="228"/>
    <n v="143.69999999999999"/>
    <n v="40"/>
    <n v="6.5"/>
    <x v="1"/>
    <s v="26/09-D"/>
    <x v="0"/>
    <s v="W4-154U"/>
    <n v="0.03"/>
    <x v="2"/>
    <m/>
    <m/>
    <m/>
  </r>
  <r>
    <s v="329."/>
    <x v="188"/>
    <d v="2026-09-09T00:00:00"/>
    <d v="2026-09-15T00:00:00"/>
    <s v="296/2026"/>
    <n v="1"/>
    <n v="4066"/>
    <n v="43.6"/>
    <n v="660"/>
    <n v="1"/>
    <n v="43.636363636363633"/>
    <x v="0"/>
    <n v="129.9"/>
    <x v="229"/>
    <n v="131"/>
    <n v="38"/>
    <n v="5.5"/>
    <x v="0"/>
    <s v="26/09-A"/>
    <x v="0"/>
    <s v="W6-69 "/>
    <n v="0.02"/>
    <x v="0"/>
    <m/>
    <m/>
    <m/>
  </r>
  <r>
    <s v="330."/>
    <x v="190"/>
    <d v="2026-09-15T00:00:00"/>
    <d v="2026-09-15T00:00:00"/>
    <s v="296/2026"/>
    <n v="1"/>
    <n v="846"/>
    <n v="43.6"/>
    <n v="660"/>
    <n v="1"/>
    <n v="43.636363636363633"/>
    <x v="60"/>
    <n v="126.5"/>
    <x v="230"/>
    <n v="127.7"/>
    <n v="38"/>
    <n v="5.5"/>
    <x v="0"/>
    <s v="26/09-B"/>
    <x v="3"/>
    <s v="W4-62"/>
    <n v="0.02"/>
    <x v="2"/>
    <m/>
    <m/>
    <m/>
  </r>
  <r>
    <s v="331."/>
    <x v="192"/>
    <d v="2026-09-15T00:00:00"/>
    <d v="2026-09-16T00:00:00"/>
    <s v="296/2026"/>
    <n v="1"/>
    <n v="1037"/>
    <n v="43.6"/>
    <n v="660"/>
    <n v="1"/>
    <n v="43.636363636363633"/>
    <x v="8"/>
    <n v="129"/>
    <x v="61"/>
    <n v="130"/>
    <n v="38"/>
    <n v="5.5"/>
    <x v="0"/>
    <s v="26/09-C"/>
    <x v="0"/>
    <s v="GM 32218E"/>
    <n v="0.02"/>
    <x v="2"/>
    <m/>
    <m/>
    <m/>
  </r>
  <r>
    <s v="332."/>
    <x v="191"/>
    <d v="2026-09-16T00:00:00"/>
    <d v="2026-09-17T00:00:00"/>
    <s v="296/2026"/>
    <n v="1"/>
    <n v="851"/>
    <n v="43.6"/>
    <n v="660"/>
    <n v="1"/>
    <n v="43.636363636363633"/>
    <x v="31"/>
    <n v="129"/>
    <x v="61"/>
    <n v="130"/>
    <n v="38"/>
    <n v="5.5"/>
    <x v="0"/>
    <s v="26/09-D"/>
    <x v="0"/>
    <s v="GM 12485E"/>
    <n v="0.02"/>
    <x v="2"/>
    <m/>
    <m/>
    <m/>
  </r>
  <r>
    <s v="333."/>
    <x v="285"/>
    <d v="2026-09-17T00:00:00"/>
    <d v="2026-09-18T00:00:00"/>
    <s v="296/2026"/>
    <n v="1"/>
    <n v="1037"/>
    <n v="43.6"/>
    <n v="660"/>
    <n v="1"/>
    <n v="43.636363636363633"/>
    <x v="93"/>
    <n v="128.4"/>
    <x v="148"/>
    <n v="129.30000000000001"/>
    <n v="38"/>
    <n v="5.5"/>
    <x v="0"/>
    <s v="26/09-E"/>
    <x v="0"/>
    <s v="GM 12197E"/>
    <n v="0.02"/>
    <x v="2"/>
    <m/>
    <m/>
    <m/>
  </r>
  <r>
    <s v="334."/>
    <x v="286"/>
    <d v="2026-09-18T00:00:00"/>
    <d v="2026-09-18T00:00:00"/>
    <s v="296/2026"/>
    <n v="1"/>
    <n v="836"/>
    <n v="43.6"/>
    <n v="660"/>
    <n v="1"/>
    <n v="43.636363636363633"/>
    <x v="37"/>
    <n v="128"/>
    <x v="231"/>
    <n v="129.69999999999999"/>
    <n v="38"/>
    <n v="5.5"/>
    <x v="0"/>
    <s v="26/09-F"/>
    <x v="0"/>
    <s v="GM 80295"/>
    <n v="0.02"/>
    <x v="2"/>
    <m/>
    <m/>
    <m/>
  </r>
  <r>
    <s v="335."/>
    <x v="287"/>
    <d v="2026-09-21T00:00:00"/>
    <m/>
    <s v="296/2026"/>
    <n v="1"/>
    <m/>
    <m/>
    <m/>
    <n v="1"/>
    <e v="#DIV/0!"/>
    <x v="0"/>
    <n v="128"/>
    <x v="148"/>
    <n v="129.30000000000001"/>
    <n v="38"/>
    <n v="5.5"/>
    <x v="0"/>
    <s v="26/09-G"/>
    <x v="0"/>
    <s v="GM 80690E"/>
    <n v="0.02"/>
    <x v="2"/>
    <m/>
    <m/>
    <m/>
  </r>
  <r>
    <s v="336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37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38."/>
    <x v="99"/>
    <d v="2026-09-10T00:00:00"/>
    <d v="2026-09-15T00:00:00"/>
    <s v="304/2026"/>
    <n v="7"/>
    <n v="3110"/>
    <n v="79"/>
    <n v="729"/>
    <n v="2"/>
    <n v="79.012345679012341"/>
    <x v="0"/>
    <n v="82.9"/>
    <x v="233"/>
    <n v="83.9"/>
    <n v="80"/>
    <n v="7.2"/>
    <x v="1"/>
    <s v="26/09-A"/>
    <x v="9"/>
    <s v="W5-25"/>
    <n v="0.03"/>
    <x v="13"/>
    <m/>
    <m/>
    <m/>
  </r>
  <r>
    <s v="339."/>
    <x v="3"/>
    <d v="2026-09-14T00:00:00"/>
    <d v="2026-09-16T00:00:00"/>
    <s v="300/2026"/>
    <n v="3"/>
    <n v="3000"/>
    <n v="46.6"/>
    <n v="620"/>
    <n v="1"/>
    <n v="46.451612903225808"/>
    <x v="0"/>
    <n v="123"/>
    <x v="10"/>
    <n v="123.4"/>
    <n v="40"/>
    <n v="5"/>
    <x v="0"/>
    <s v="26/09-B"/>
    <x v="39"/>
    <s v="GM-12197E"/>
    <n v="0.02"/>
    <x v="6"/>
    <s v="WOJTEK"/>
    <s v="TAK"/>
    <m/>
  </r>
  <r>
    <s v="340."/>
    <x v="289"/>
    <d v="2026-09-14T00:00:00"/>
    <d v="2026-09-15T00:00:00"/>
    <s v="312/2026"/>
    <n v="9"/>
    <n v="2520"/>
    <n v="54.3"/>
    <n v="1060"/>
    <n v="2"/>
    <n v="54.339622641509436"/>
    <x v="94"/>
    <n v="246.6"/>
    <x v="234"/>
    <n v="122.6"/>
    <n v="45"/>
    <n v="12"/>
    <x v="1"/>
    <s v="26/09-A"/>
    <x v="23"/>
    <s v="GM-32747E"/>
    <n v="0.05"/>
    <x v="16"/>
    <m/>
    <m/>
    <m/>
  </r>
  <r>
    <s v="341."/>
    <x v="29"/>
    <d v="2026-09-15T00:00:00"/>
    <d v="2026-09-16T00:00:00"/>
    <s v="316/2026"/>
    <n v="5"/>
    <n v="1840"/>
    <n v="30.46"/>
    <n v="945"/>
    <n v="1"/>
    <n v="30.476190476190474"/>
    <x v="89"/>
    <n v="60.5"/>
    <x v="235"/>
    <n v="62"/>
    <n v="160"/>
    <n v="10.5"/>
    <x v="1"/>
    <s v="26/09-A"/>
    <x v="4"/>
    <s v="GM41373P"/>
    <n v="0.02"/>
    <x v="0"/>
    <m/>
    <m/>
    <m/>
  </r>
  <r>
    <s v="342."/>
    <x v="290"/>
    <d v="2026-09-16T00:00:00"/>
    <d v="2026-09-16T00:00:00"/>
    <s v="316/2026"/>
    <n v="5"/>
    <n v="960"/>
    <n v="30.46"/>
    <n v="945"/>
    <n v="1"/>
    <n v="30.476190476190474"/>
    <x v="68"/>
    <n v="61.5"/>
    <x v="26"/>
    <n v="63"/>
    <n v="160"/>
    <n v="10.5"/>
    <x v="1"/>
    <s v="26/09-B"/>
    <x v="4"/>
    <s v="GM51519P"/>
    <n v="0.02"/>
    <x v="2"/>
    <m/>
    <m/>
    <m/>
  </r>
  <r>
    <s v="343."/>
    <x v="291"/>
    <d v="2026-09-17T00:00:00"/>
    <d v="2026-09-17T00:00:00"/>
    <s v="316/2026"/>
    <n v="5"/>
    <n v="960"/>
    <n v="30.81"/>
    <n v="934"/>
    <n v="1"/>
    <n v="30.83511777301927"/>
    <x v="68"/>
    <n v="61.3"/>
    <x v="184"/>
    <n v="62.8"/>
    <n v="160"/>
    <n v="10.5"/>
    <x v="1"/>
    <s v="26/09-C"/>
    <x v="4"/>
    <s v="GM12485E"/>
    <n v="0.03"/>
    <x v="2"/>
    <m/>
    <m/>
    <m/>
  </r>
  <r>
    <s v="344."/>
    <x v="292"/>
    <d v="2026-09-17T00:00:00"/>
    <d v="2026-09-18T00:00:00"/>
    <s v="316/2026"/>
    <n v="5"/>
    <n v="1005"/>
    <n v="30.46"/>
    <n v="945"/>
    <n v="1"/>
    <n v="30.476190476190474"/>
    <x v="95"/>
    <n v="61.7"/>
    <x v="236"/>
    <n v="63.2"/>
    <n v="160"/>
    <n v="10.5"/>
    <x v="1"/>
    <s v="26/09-D"/>
    <x v="4"/>
    <s v="GM-53578E"/>
    <n v="0.02"/>
    <x v="2"/>
    <m/>
    <m/>
    <m/>
  </r>
  <r>
    <s v="345."/>
    <x v="293"/>
    <d v="2026-09-18T00:00:00"/>
    <d v="2026-09-18T00:00:00"/>
    <s v="316/2026"/>
    <n v="5"/>
    <n v="480"/>
    <n v="30.73"/>
    <n v="937"/>
    <n v="1"/>
    <n v="30.736392742796159"/>
    <x v="80"/>
    <n v="61.5"/>
    <x v="27"/>
    <n v="63.1"/>
    <n v="160"/>
    <n v="10.5"/>
    <x v="1"/>
    <s v="26/09-E"/>
    <x v="4"/>
    <s v="GM415"/>
    <n v="0.02"/>
    <x v="2"/>
    <m/>
    <m/>
    <m/>
  </r>
  <r>
    <s v="346."/>
    <x v="31"/>
    <d v="2026-09-18T00:00:00"/>
    <d v="2026-09-18T00:00:00"/>
    <s v="316/2026"/>
    <n v="5"/>
    <n v="640"/>
    <n v="30.73"/>
    <n v="937"/>
    <n v="1"/>
    <n v="30.736392742796159"/>
    <x v="45"/>
    <n v="61.2"/>
    <x v="237"/>
    <n v="63.5"/>
    <n v="160"/>
    <n v="10.5"/>
    <x v="1"/>
    <s v="26/09-F"/>
    <x v="4"/>
    <s v="GM 81071P "/>
    <n v="0.02"/>
    <x v="2"/>
    <m/>
    <m/>
    <m/>
  </r>
  <r>
    <s v="347."/>
    <x v="28"/>
    <d v="2026-09-21T00:00:00"/>
    <m/>
    <s v="316/2026"/>
    <n v="5"/>
    <m/>
    <m/>
    <m/>
    <n v="1"/>
    <e v="#DIV/0!"/>
    <x v="0"/>
    <n v="63.5"/>
    <x v="238"/>
    <n v="65"/>
    <n v="160"/>
    <n v="10.5"/>
    <x v="1"/>
    <s v="26/09-G"/>
    <x v="4"/>
    <s v="20-33521F PET"/>
    <n v="0.03"/>
    <x v="2"/>
    <m/>
    <m/>
    <m/>
  </r>
  <r>
    <s v="348."/>
    <x v="166"/>
    <d v="2026-09-15T00:00:00"/>
    <d v="2026-09-16T00:00:00"/>
    <s v="305/2026"/>
    <n v="7"/>
    <n v="3055"/>
    <n v="41.6"/>
    <n v="173"/>
    <n v="2"/>
    <n v="332.94797687861274"/>
    <x v="0"/>
    <n v="108"/>
    <x v="239"/>
    <n v="108.3"/>
    <n v="100"/>
    <n v="11.5"/>
    <x v="1"/>
    <s v="26/09-A"/>
    <x v="23"/>
    <s v="GM-32747E"/>
    <n v="0.04"/>
    <x v="1"/>
    <s v="KRYSTIAN"/>
    <s v="NIE"/>
    <m/>
  </r>
  <r>
    <s v="349."/>
    <x v="145"/>
    <d v="2026-09-17T00:00:00"/>
    <d v="2026-09-18T00:00:00"/>
    <s v="307/2026"/>
    <n v="3"/>
    <n v="1036"/>
    <n v="50.4"/>
    <n v="570"/>
    <n v="1"/>
    <n v="50.526315789473685"/>
    <x v="0"/>
    <n v="107.3"/>
    <x v="240"/>
    <n v="107.7"/>
    <n v="44"/>
    <n v="5.3"/>
    <x v="2"/>
    <s v="26/09-A"/>
    <x v="37"/>
    <s v="GM-53281E"/>
    <n v="0.02"/>
    <x v="6"/>
    <m/>
    <m/>
    <m/>
  </r>
  <r>
    <s v="350."/>
    <x v="150"/>
    <d v="2026-09-18T00:00:00"/>
    <d v="2026-09-18T00:00:00"/>
    <s v="307/2026"/>
    <n v="3"/>
    <n v="660"/>
    <n v="50.4"/>
    <n v="570"/>
    <n v="1"/>
    <n v="50.526315789473685"/>
    <x v="0"/>
    <n v="106.5"/>
    <x v="19"/>
    <n v="107"/>
    <n v="44"/>
    <n v="5.3"/>
    <x v="2"/>
    <s v="26/09-B"/>
    <x v="37"/>
    <s v="W6-69"/>
    <n v="0.02"/>
    <x v="2"/>
    <m/>
    <m/>
    <m/>
  </r>
  <r>
    <s v="351."/>
    <x v="149"/>
    <d v="2026-09-18T00:00:00"/>
    <m/>
    <s v="307/2026"/>
    <n v="3"/>
    <m/>
    <m/>
    <m/>
    <n v="1"/>
    <e v="#DIV/0!"/>
    <x v="0"/>
    <n v="106"/>
    <x v="241"/>
    <n v="106.8"/>
    <n v="44"/>
    <n v="5.3"/>
    <x v="2"/>
    <s v="26/09-C"/>
    <x v="40"/>
    <s v="W4-62"/>
    <n v="0.02"/>
    <x v="2"/>
    <m/>
    <m/>
    <m/>
  </r>
  <r>
    <s v="352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53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54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55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56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57."/>
    <x v="294"/>
    <d v="2026-09-17T00:00:00"/>
    <m/>
    <s v="299/2026"/>
    <n v="2"/>
    <m/>
    <m/>
    <m/>
    <n v="1"/>
    <e v="#DIV/0!"/>
    <x v="0"/>
    <n v="121"/>
    <x v="242"/>
    <n v="126.6"/>
    <m/>
    <n v="32"/>
    <x v="12"/>
    <s v="26/09-A"/>
    <x v="41"/>
    <s v="GM-32747E"/>
    <n v="0.04"/>
    <x v="1"/>
    <m/>
    <m/>
    <m/>
  </r>
  <r>
    <s v="358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59."/>
    <x v="295"/>
    <d v="2026-09-18T00:00:00"/>
    <m/>
    <s v="306/2026"/>
    <n v="4"/>
    <m/>
    <m/>
    <m/>
    <n v="1"/>
    <e v="#DIV/0!"/>
    <x v="0"/>
    <n v="54"/>
    <x v="40"/>
    <n v="109.4"/>
    <m/>
    <n v="250"/>
    <x v="13"/>
    <s v="26/09-A"/>
    <x v="0"/>
    <s v="GM-32747E"/>
    <n v="0.04"/>
    <x v="1"/>
    <m/>
    <m/>
    <m/>
  </r>
  <r>
    <s v="360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61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62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63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64."/>
    <x v="296"/>
    <d v="2026-09-18T00:00:00"/>
    <m/>
    <s v="330/2026"/>
    <n v="9"/>
    <m/>
    <m/>
    <m/>
    <n v="1"/>
    <e v="#DIV/0!"/>
    <x v="0"/>
    <n v="223"/>
    <x v="243"/>
    <n v="223.6"/>
    <m/>
    <n v="20"/>
    <x v="14"/>
    <s v="26/09-A"/>
    <x v="42"/>
    <s v="GM-32747E"/>
    <n v="0.04"/>
    <x v="9"/>
    <m/>
    <m/>
    <m/>
  </r>
  <r>
    <s v="365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66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67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68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69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70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71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72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73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74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75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76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77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78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79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80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81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82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83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84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85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86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87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88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89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90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91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92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93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94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95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96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97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98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399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00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01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02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03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04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05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06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07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08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09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10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11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12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13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14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15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16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17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18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19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20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21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22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23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24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25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26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27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28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29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30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31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32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33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34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35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36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37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38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39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40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  <r>
    <s v="441."/>
    <x v="288"/>
    <m/>
    <m/>
    <m/>
    <m/>
    <m/>
    <m/>
    <m/>
    <m/>
    <e v="#DIV/0!"/>
    <x v="0"/>
    <m/>
    <x v="232"/>
    <e v="#DIV/0!"/>
    <m/>
    <m/>
    <x v="11"/>
    <m/>
    <x v="38"/>
    <m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807EC-D8C2-4722-8259-57F037473B62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4:A55" firstHeaderRow="1" firstDataRow="1" firstDataCol="1" rowPageCount="1" colPageCount="1"/>
  <pivotFields count="26">
    <pivotField showAll="0"/>
    <pivotField axis="axisRow" showAll="0">
      <items count="298">
        <item x="62"/>
        <item x="110"/>
        <item x="209"/>
        <item x="208"/>
        <item x="195"/>
        <item x="194"/>
        <item x="112"/>
        <item x="113"/>
        <item x="111"/>
        <item x="154"/>
        <item x="48"/>
        <item x="44"/>
        <item x="45"/>
        <item x="295"/>
        <item x="47"/>
        <item x="46"/>
        <item x="167"/>
        <item x="76"/>
        <item x="75"/>
        <item x="74"/>
        <item x="289"/>
        <item x="165"/>
        <item x="134"/>
        <item x="135"/>
        <item x="157"/>
        <item x="155"/>
        <item x="136"/>
        <item x="156"/>
        <item x="79"/>
        <item x="80"/>
        <item x="78"/>
        <item x="166"/>
        <item x="217"/>
        <item x="77"/>
        <item x="163"/>
        <item x="207"/>
        <item x="8"/>
        <item x="7"/>
        <item x="205"/>
        <item x="5"/>
        <item x="4"/>
        <item x="204"/>
        <item x="9"/>
        <item x="206"/>
        <item x="10"/>
        <item x="3"/>
        <item x="12"/>
        <item x="13"/>
        <item x="40"/>
        <item x="129"/>
        <item x="11"/>
        <item x="215"/>
        <item x="132"/>
        <item x="114"/>
        <item x="115"/>
        <item x="212"/>
        <item x="214"/>
        <item x="210"/>
        <item x="118"/>
        <item x="6"/>
        <item x="117"/>
        <item x="211"/>
        <item x="213"/>
        <item x="106"/>
        <item x="97"/>
        <item x="96"/>
        <item x="107"/>
        <item x="108"/>
        <item x="109"/>
        <item x="116"/>
        <item x="133"/>
        <item x="152"/>
        <item x="153"/>
        <item x="151"/>
        <item x="98"/>
        <item x="137"/>
        <item x="99"/>
        <item x="125"/>
        <item x="100"/>
        <item x="102"/>
        <item x="101"/>
        <item x="124"/>
        <item x="257"/>
        <item x="254"/>
        <item x="258"/>
        <item x="255"/>
        <item x="259"/>
        <item x="256"/>
        <item x="260"/>
        <item x="261"/>
        <item x="294"/>
        <item x="164"/>
        <item x="70"/>
        <item x="72"/>
        <item x="71"/>
        <item x="232"/>
        <item x="233"/>
        <item x="231"/>
        <item x="235"/>
        <item x="234"/>
        <item x="83"/>
        <item x="84"/>
        <item x="82"/>
        <item x="85"/>
        <item x="81"/>
        <item x="73"/>
        <item x="68"/>
        <item x="67"/>
        <item x="69"/>
        <item x="120"/>
        <item x="123"/>
        <item x="121"/>
        <item x="122"/>
        <item x="53"/>
        <item x="49"/>
        <item x="50"/>
        <item x="52"/>
        <item x="51"/>
        <item x="262"/>
        <item x="66"/>
        <item x="238"/>
        <item x="239"/>
        <item x="93"/>
        <item x="236"/>
        <item x="237"/>
        <item x="246"/>
        <item x="161"/>
        <item x="162"/>
        <item x="247"/>
        <item x="159"/>
        <item x="160"/>
        <item x="158"/>
        <item x="95"/>
        <item x="94"/>
        <item x="240"/>
        <item x="216"/>
        <item x="243"/>
        <item x="245"/>
        <item x="250"/>
        <item x="249"/>
        <item x="252"/>
        <item x="251"/>
        <item x="253"/>
        <item x="242"/>
        <item x="244"/>
        <item x="264"/>
        <item x="127"/>
        <item x="265"/>
        <item x="128"/>
        <item x="285"/>
        <item x="190"/>
        <item x="287"/>
        <item x="189"/>
        <item x="178"/>
        <item x="188"/>
        <item x="286"/>
        <item x="192"/>
        <item x="193"/>
        <item x="191"/>
        <item x="241"/>
        <item x="202"/>
        <item x="196"/>
        <item x="36"/>
        <item x="201"/>
        <item x="274"/>
        <item x="37"/>
        <item x="42"/>
        <item x="41"/>
        <item x="43"/>
        <item x="38"/>
        <item x="35"/>
        <item x="197"/>
        <item x="273"/>
        <item x="203"/>
        <item x="267"/>
        <item x="266"/>
        <item x="26"/>
        <item x="54"/>
        <item x="55"/>
        <item x="221"/>
        <item x="187"/>
        <item x="19"/>
        <item x="269"/>
        <item x="268"/>
        <item x="222"/>
        <item x="223"/>
        <item x="230"/>
        <item x="226"/>
        <item x="229"/>
        <item x="228"/>
        <item x="225"/>
        <item x="227"/>
        <item x="224"/>
        <item x="141"/>
        <item x="139"/>
        <item x="140"/>
        <item x="142"/>
        <item x="138"/>
        <item x="168"/>
        <item x="219"/>
        <item x="218"/>
        <item x="220"/>
        <item x="0"/>
        <item x="1"/>
        <item x="2"/>
        <item x="34"/>
        <item x="33"/>
        <item x="270"/>
        <item x="271"/>
        <item x="272"/>
        <item x="169"/>
        <item x="200"/>
        <item x="199"/>
        <item x="198"/>
        <item x="23"/>
        <item x="24"/>
        <item x="27"/>
        <item x="22"/>
        <item x="20"/>
        <item x="21"/>
        <item x="32"/>
        <item x="293"/>
        <item x="290"/>
        <item x="31"/>
        <item x="292"/>
        <item x="28"/>
        <item x="30"/>
        <item x="29"/>
        <item x="291"/>
        <item x="263"/>
        <item x="39"/>
        <item x="175"/>
        <item x="88"/>
        <item x="89"/>
        <item x="14"/>
        <item x="18"/>
        <item x="177"/>
        <item x="248"/>
        <item x="86"/>
        <item x="170"/>
        <item x="15"/>
        <item x="126"/>
        <item x="176"/>
        <item x="25"/>
        <item x="149"/>
        <item x="145"/>
        <item x="148"/>
        <item x="144"/>
        <item x="150"/>
        <item x="143"/>
        <item x="147"/>
        <item x="146"/>
        <item x="16"/>
        <item x="87"/>
        <item x="17"/>
        <item x="171"/>
        <item x="131"/>
        <item x="130"/>
        <item x="103"/>
        <item x="105"/>
        <item x="104"/>
        <item x="174"/>
        <item x="279"/>
        <item x="280"/>
        <item x="183"/>
        <item x="182"/>
        <item x="179"/>
        <item x="63"/>
        <item x="64"/>
        <item x="65"/>
        <item x="181"/>
        <item x="180"/>
        <item x="184"/>
        <item x="185"/>
        <item x="186"/>
        <item x="277"/>
        <item x="276"/>
        <item x="278"/>
        <item x="61"/>
        <item x="275"/>
        <item x="60"/>
        <item x="91"/>
        <item x="56"/>
        <item x="57"/>
        <item x="90"/>
        <item x="281"/>
        <item x="284"/>
        <item x="282"/>
        <item x="283"/>
        <item x="119"/>
        <item x="59"/>
        <item x="92"/>
        <item x="58"/>
        <item x="296"/>
        <item x="173"/>
        <item x="172"/>
        <item x="2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7">
        <item x="36"/>
        <item x="28"/>
        <item x="76"/>
        <item x="60"/>
        <item x="58"/>
        <item x="12"/>
        <item x="49"/>
        <item x="64"/>
        <item x="68"/>
        <item x="15"/>
        <item x="8"/>
        <item x="37"/>
        <item x="31"/>
        <item x="35"/>
        <item x="65"/>
        <item x="51"/>
        <item x="87"/>
        <item x="53"/>
        <item x="62"/>
        <item x="9"/>
        <item x="63"/>
        <item x="30"/>
        <item x="54"/>
        <item x="33"/>
        <item x="52"/>
        <item x="38"/>
        <item x="77"/>
        <item x="69"/>
        <item x="25"/>
        <item x="56"/>
        <item x="93"/>
        <item x="75"/>
        <item x="29"/>
        <item x="92"/>
        <item x="10"/>
        <item x="3"/>
        <item x="79"/>
        <item x="61"/>
        <item x="80"/>
        <item x="7"/>
        <item x="27"/>
        <item x="59"/>
        <item x="82"/>
        <item x="2"/>
        <item x="18"/>
        <item x="46"/>
        <item x="86"/>
        <item x="32"/>
        <item x="81"/>
        <item x="5"/>
        <item x="85"/>
        <item x="91"/>
        <item x="83"/>
        <item x="94"/>
        <item x="88"/>
        <item x="95"/>
        <item x="45"/>
        <item x="14"/>
        <item x="74"/>
        <item x="66"/>
        <item x="70"/>
        <item x="6"/>
        <item x="23"/>
        <item x="19"/>
        <item x="84"/>
        <item x="13"/>
        <item x="26"/>
        <item x="78"/>
        <item x="21"/>
        <item x="11"/>
        <item x="90"/>
        <item x="48"/>
        <item x="24"/>
        <item x="50"/>
        <item x="47"/>
        <item x="44"/>
        <item x="71"/>
        <item x="17"/>
        <item x="57"/>
        <item x="72"/>
        <item x="4"/>
        <item x="22"/>
        <item x="55"/>
        <item x="42"/>
        <item x="34"/>
        <item x="41"/>
        <item x="1"/>
        <item x="89"/>
        <item x="39"/>
        <item x="43"/>
        <item x="67"/>
        <item x="40"/>
        <item x="16"/>
        <item x="20"/>
        <item x="73"/>
        <item x="0"/>
        <item t="default"/>
      </items>
    </pivotField>
    <pivotField showAll="0"/>
    <pivotField showAll="0">
      <items count="245">
        <item x="182"/>
        <item x="55"/>
        <item x="211"/>
        <item x="125"/>
        <item x="202"/>
        <item x="201"/>
        <item x="203"/>
        <item x="2"/>
        <item x="0"/>
        <item x="1"/>
        <item x="84"/>
        <item x="166"/>
        <item x="164"/>
        <item x="6"/>
        <item x="165"/>
        <item x="167"/>
        <item x="87"/>
        <item x="168"/>
        <item x="88"/>
        <item x="89"/>
        <item x="170"/>
        <item x="169"/>
        <item x="90"/>
        <item x="92"/>
        <item x="91"/>
        <item x="93"/>
        <item x="109"/>
        <item x="235"/>
        <item x="108"/>
        <item x="25"/>
        <item x="183"/>
        <item x="110"/>
        <item x="28"/>
        <item x="184"/>
        <item x="107"/>
        <item x="26"/>
        <item x="27"/>
        <item x="236"/>
        <item x="29"/>
        <item x="237"/>
        <item x="238"/>
        <item x="197"/>
        <item x="124"/>
        <item x="123"/>
        <item x="196"/>
        <item x="106"/>
        <item x="32"/>
        <item x="20"/>
        <item x="22"/>
        <item x="21"/>
        <item x="23"/>
        <item x="241"/>
        <item x="19"/>
        <item x="240"/>
        <item x="111"/>
        <item x="113"/>
        <item x="38"/>
        <item x="114"/>
        <item x="118"/>
        <item x="112"/>
        <item x="37"/>
        <item x="39"/>
        <item x="40"/>
        <item x="41"/>
        <item x="173"/>
        <item x="134"/>
        <item x="135"/>
        <item x="137"/>
        <item x="172"/>
        <item x="3"/>
        <item x="193"/>
        <item x="194"/>
        <item x="195"/>
        <item x="192"/>
        <item x="33"/>
        <item x="56"/>
        <item x="58"/>
        <item x="57"/>
        <item x="131"/>
        <item x="12"/>
        <item x="43"/>
        <item x="10"/>
        <item x="11"/>
        <item x="42"/>
        <item x="129"/>
        <item x="126"/>
        <item x="44"/>
        <item x="45"/>
        <item x="59"/>
        <item x="171"/>
        <item x="60"/>
        <item x="100"/>
        <item x="101"/>
        <item x="242"/>
        <item x="213"/>
        <item x="230"/>
        <item x="212"/>
        <item x="97"/>
        <item x="177"/>
        <item x="176"/>
        <item x="98"/>
        <item x="148"/>
        <item x="30"/>
        <item x="231"/>
        <item x="142"/>
        <item x="61"/>
        <item x="204"/>
        <item x="229"/>
        <item x="150"/>
        <item x="151"/>
        <item x="209"/>
        <item x="130"/>
        <item x="210"/>
        <item x="208"/>
        <item x="205"/>
        <item x="207"/>
        <item x="206"/>
        <item x="223"/>
        <item x="54"/>
        <item x="53"/>
        <item x="224"/>
        <item x="143"/>
        <item x="136"/>
        <item x="144"/>
        <item x="72"/>
        <item x="85"/>
        <item x="86"/>
        <item x="161"/>
        <item x="189"/>
        <item x="187"/>
        <item x="185"/>
        <item x="190"/>
        <item x="186"/>
        <item x="191"/>
        <item x="226"/>
        <item x="188"/>
        <item x="228"/>
        <item x="227"/>
        <item x="71"/>
        <item x="147"/>
        <item x="146"/>
        <item x="145"/>
        <item x="81"/>
        <item x="83"/>
        <item x="70"/>
        <item x="82"/>
        <item x="155"/>
        <item x="47"/>
        <item x="49"/>
        <item x="217"/>
        <item x="216"/>
        <item x="51"/>
        <item x="46"/>
        <item x="218"/>
        <item x="50"/>
        <item x="219"/>
        <item x="69"/>
        <item x="48"/>
        <item x="73"/>
        <item x="74"/>
        <item x="95"/>
        <item x="94"/>
        <item x="76"/>
        <item x="75"/>
        <item x="77"/>
        <item x="233"/>
        <item x="105"/>
        <item x="52"/>
        <item x="158"/>
        <item x="198"/>
        <item x="225"/>
        <item x="181"/>
        <item x="200"/>
        <item x="13"/>
        <item x="67"/>
        <item x="199"/>
        <item x="96"/>
        <item x="16"/>
        <item x="15"/>
        <item x="14"/>
        <item x="65"/>
        <item x="66"/>
        <item x="68"/>
        <item x="132"/>
        <item x="17"/>
        <item x="139"/>
        <item x="24"/>
        <item x="140"/>
        <item x="138"/>
        <item x="153"/>
        <item x="141"/>
        <item x="239"/>
        <item x="64"/>
        <item x="128"/>
        <item x="63"/>
        <item x="62"/>
        <item x="149"/>
        <item x="133"/>
        <item x="222"/>
        <item x="243"/>
        <item x="174"/>
        <item x="175"/>
        <item x="116"/>
        <item x="7"/>
        <item x="115"/>
        <item x="34"/>
        <item x="36"/>
        <item x="117"/>
        <item x="35"/>
        <item x="5"/>
        <item x="221"/>
        <item x="220"/>
        <item x="154"/>
        <item x="31"/>
        <item x="156"/>
        <item x="157"/>
        <item x="234"/>
        <item x="4"/>
        <item x="159"/>
        <item x="215"/>
        <item x="160"/>
        <item x="8"/>
        <item x="9"/>
        <item x="78"/>
        <item x="80"/>
        <item x="79"/>
        <item x="99"/>
        <item x="18"/>
        <item x="214"/>
        <item x="179"/>
        <item x="178"/>
        <item x="152"/>
        <item x="180"/>
        <item x="103"/>
        <item x="104"/>
        <item x="120"/>
        <item x="119"/>
        <item x="121"/>
        <item x="127"/>
        <item x="163"/>
        <item x="122"/>
        <item x="162"/>
        <item x="102"/>
        <item x="232"/>
        <item t="default"/>
      </items>
    </pivotField>
    <pivotField showAll="0"/>
    <pivotField showAll="0"/>
    <pivotField showAll="0"/>
    <pivotField axis="axisPage" showAll="0">
      <items count="16">
        <item x="12"/>
        <item x="14"/>
        <item x="13"/>
        <item x="9"/>
        <item x="6"/>
        <item x="5"/>
        <item x="4"/>
        <item x="10"/>
        <item x="3"/>
        <item x="8"/>
        <item x="1"/>
        <item x="0"/>
        <item x="2"/>
        <item x="7"/>
        <item x="11"/>
        <item t="default"/>
      </items>
    </pivotField>
    <pivotField showAll="0"/>
    <pivotField multipleItemSelectionAllowed="1" showAll="0">
      <items count="44">
        <item h="1" x="36"/>
        <item h="1" x="6"/>
        <item x="42"/>
        <item h="1" x="23"/>
        <item h="1" x="41"/>
        <item x="35"/>
        <item h="1" x="26"/>
        <item h="1" x="28"/>
        <item h="1" x="7"/>
        <item h="1" x="29"/>
        <item h="1" x="19"/>
        <item h="1" x="12"/>
        <item h="1" x="0"/>
        <item h="1" x="3"/>
        <item h="1" x="17"/>
        <item h="1" x="14"/>
        <item h="1" x="16"/>
        <item h="1" x="13"/>
        <item h="1" x="15"/>
        <item h="1" x="9"/>
        <item h="1" x="27"/>
        <item h="1" x="11"/>
        <item h="1" x="33"/>
        <item h="1" x="24"/>
        <item h="1" x="32"/>
        <item h="1" x="10"/>
        <item h="1" x="30"/>
        <item h="1" x="31"/>
        <item h="1" x="34"/>
        <item h="1" x="39"/>
        <item h="1" x="37"/>
        <item h="1" x="1"/>
        <item h="1" x="18"/>
        <item h="1" x="2"/>
        <item h="1" x="8"/>
        <item h="1" x="25"/>
        <item h="1" x="20"/>
        <item h="1" x="21"/>
        <item h="1" x="40"/>
        <item h="1" x="4"/>
        <item h="1" x="5"/>
        <item h="1" x="22"/>
        <item h="1" x="38"/>
        <item t="default"/>
      </items>
    </pivotField>
    <pivotField showAll="0"/>
    <pivotField showAll="0"/>
    <pivotField showAll="0">
      <items count="18">
        <item x="3"/>
        <item x="7"/>
        <item x="8"/>
        <item x="11"/>
        <item x="1"/>
        <item x="15"/>
        <item x="12"/>
        <item x="0"/>
        <item x="13"/>
        <item x="5"/>
        <item x="14"/>
        <item x="9"/>
        <item x="4"/>
        <item x="6"/>
        <item x="16"/>
        <item x="10"/>
        <item x="2"/>
        <item t="default"/>
      </items>
    </pivotField>
    <pivotField showAll="0"/>
    <pivotField showAll="0"/>
    <pivotField showAll="0"/>
  </pivotFields>
  <rowFields count="1">
    <field x="1"/>
  </rowFields>
  <rowItems count="51">
    <i>
      <x v="1"/>
    </i>
    <i>
      <x v="34"/>
    </i>
    <i>
      <x v="44"/>
    </i>
    <i>
      <x v="45"/>
    </i>
    <i>
      <x v="46"/>
    </i>
    <i>
      <x v="47"/>
    </i>
    <i>
      <x v="49"/>
    </i>
    <i>
      <x v="50"/>
    </i>
    <i>
      <x v="52"/>
    </i>
    <i>
      <x v="63"/>
    </i>
    <i>
      <x v="64"/>
    </i>
    <i>
      <x v="65"/>
    </i>
    <i>
      <x v="66"/>
    </i>
    <i>
      <x v="67"/>
    </i>
    <i>
      <x v="68"/>
    </i>
    <i>
      <x v="70"/>
    </i>
    <i>
      <x v="109"/>
    </i>
    <i>
      <x v="110"/>
    </i>
    <i>
      <x v="111"/>
    </i>
    <i>
      <x v="112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93"/>
    </i>
    <i>
      <x v="194"/>
    </i>
    <i>
      <x v="195"/>
    </i>
    <i>
      <x v="196"/>
    </i>
    <i>
      <x v="197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29"/>
    </i>
    <i>
      <x v="294"/>
    </i>
    <i>
      <x v="295"/>
    </i>
    <i t="grand">
      <x/>
    </i>
  </rowItems>
  <colItems count="1">
    <i/>
  </colItems>
  <pageFields count="1">
    <pageField fld="17" item="11" hier="-1"/>
  </pageFields>
  <formats count="1"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31BC-8EFE-4964-B69E-BFD9CA9708F0}">
  <sheetPr codeName="Arkusz1"/>
  <dimension ref="A1:Z59"/>
  <sheetViews>
    <sheetView workbookViewId="0">
      <selection activeCell="H1" sqref="H1:L1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/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/>
      <c r="C3" s="5"/>
      <c r="D3" s="5"/>
      <c r="E3" s="5"/>
      <c r="F3" s="3"/>
      <c r="G3" s="3"/>
      <c r="H3" s="3"/>
      <c r="I3" s="3"/>
      <c r="J3" s="3"/>
      <c r="K3" s="4" t="e">
        <f>(3600/(I3/8))*J3</f>
        <v>#DIV/0!</v>
      </c>
      <c r="L3" s="3"/>
      <c r="M3" s="1"/>
      <c r="N3" s="1"/>
      <c r="O3" s="2" t="e">
        <f>N3/J3</f>
        <v>#DIV/0!</v>
      </c>
      <c r="P3" s="1"/>
      <c r="Q3" s="1"/>
      <c r="R3" s="1"/>
      <c r="S3" s="6"/>
      <c r="T3" s="1"/>
      <c r="U3" s="1"/>
      <c r="V3" s="1"/>
      <c r="W3" s="1"/>
      <c r="X3" s="1"/>
      <c r="Y3" s="1"/>
      <c r="Z3" s="1"/>
    </row>
    <row r="4" spans="1:26" ht="24.9" customHeight="1" x14ac:dyDescent="0.3">
      <c r="A4" s="3" t="s">
        <v>26</v>
      </c>
      <c r="B4" s="3"/>
      <c r="C4" s="5"/>
      <c r="D4" s="3"/>
      <c r="E4" s="3"/>
      <c r="F4" s="3"/>
      <c r="G4" s="3"/>
      <c r="H4" s="3"/>
      <c r="I4" s="3"/>
      <c r="J4" s="3"/>
      <c r="K4" s="4" t="e">
        <f t="shared" ref="K4:K59" si="0">(3600/(I4/8))*J4</f>
        <v>#DIV/0!</v>
      </c>
      <c r="L4" s="3"/>
      <c r="M4" s="1"/>
      <c r="N4" s="1"/>
      <c r="O4" s="2" t="e">
        <f t="shared" ref="O4:O59" si="1">N4/J4</f>
        <v>#DIV/0!</v>
      </c>
      <c r="P4" s="1"/>
      <c r="Q4" s="1"/>
      <c r="R4" s="1"/>
      <c r="S4" s="6"/>
      <c r="T4" s="1"/>
      <c r="U4" s="1"/>
      <c r="V4" s="1"/>
      <c r="W4" s="1"/>
      <c r="X4" s="1"/>
      <c r="Y4" s="1"/>
      <c r="Z4" s="1"/>
    </row>
    <row r="5" spans="1:26" ht="24.9" customHeight="1" x14ac:dyDescent="0.3">
      <c r="A5" s="3" t="s">
        <v>27</v>
      </c>
      <c r="B5" s="3"/>
      <c r="C5" s="3"/>
      <c r="D5" s="3"/>
      <c r="E5" s="3"/>
      <c r="F5" s="3"/>
      <c r="G5" s="3"/>
      <c r="H5" s="3"/>
      <c r="I5" s="3"/>
      <c r="J5" s="3"/>
      <c r="K5" s="4" t="e">
        <f t="shared" si="0"/>
        <v>#DIV/0!</v>
      </c>
      <c r="L5" s="3"/>
      <c r="M5" s="1"/>
      <c r="N5" s="1"/>
      <c r="O5" s="2" t="e">
        <f t="shared" si="1"/>
        <v>#DIV/0!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9" customHeight="1" x14ac:dyDescent="0.3">
      <c r="A6" s="3" t="s">
        <v>28</v>
      </c>
      <c r="B6" s="3"/>
      <c r="C6" s="3"/>
      <c r="D6" s="3"/>
      <c r="E6" s="3"/>
      <c r="F6" s="3"/>
      <c r="G6" s="3"/>
      <c r="H6" s="3"/>
      <c r="I6" s="3"/>
      <c r="J6" s="3"/>
      <c r="K6" s="4" t="e">
        <f t="shared" si="0"/>
        <v>#DIV/0!</v>
      </c>
      <c r="L6" s="3"/>
      <c r="M6" s="1"/>
      <c r="N6" s="1"/>
      <c r="O6" s="2" t="e">
        <f t="shared" si="1"/>
        <v>#DIV/0!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9" customHeight="1" x14ac:dyDescent="0.3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4" t="e">
        <f t="shared" si="0"/>
        <v>#DIV/0!</v>
      </c>
      <c r="L7" s="3"/>
      <c r="M7" s="1"/>
      <c r="N7" s="1"/>
      <c r="O7" s="2" t="e">
        <f t="shared" si="1"/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9" customHeight="1" x14ac:dyDescent="0.3">
      <c r="A8" s="3" t="s">
        <v>30</v>
      </c>
      <c r="B8" s="3"/>
      <c r="C8" s="5"/>
      <c r="D8" s="5"/>
      <c r="E8" s="5"/>
      <c r="F8" s="3"/>
      <c r="G8" s="3"/>
      <c r="H8" s="3"/>
      <c r="I8" s="3"/>
      <c r="J8" s="3"/>
      <c r="K8" s="4" t="e">
        <f t="shared" si="0"/>
        <v>#DIV/0!</v>
      </c>
      <c r="L8" s="3"/>
      <c r="M8" s="1"/>
      <c r="N8" s="1"/>
      <c r="O8" s="2" t="e">
        <f t="shared" si="1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7D99-FD91-4CF6-987F-EF51EF52C959}">
  <sheetPr codeName="Arkusz2"/>
  <dimension ref="A1:Z59"/>
  <sheetViews>
    <sheetView workbookViewId="0">
      <selection activeCell="L3" sqref="L3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1748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1749</v>
      </c>
      <c r="C3" s="5">
        <v>46301</v>
      </c>
      <c r="D3" s="5">
        <v>46301</v>
      </c>
      <c r="E3" s="5" t="s">
        <v>1750</v>
      </c>
      <c r="F3" s="3">
        <v>2</v>
      </c>
      <c r="G3" s="3">
        <v>1012</v>
      </c>
      <c r="H3" s="3">
        <v>47</v>
      </c>
      <c r="I3" s="3">
        <v>612</v>
      </c>
      <c r="J3" s="3">
        <v>1</v>
      </c>
      <c r="K3" s="4">
        <f>(3600/(I3/8))*J3</f>
        <v>47.058823529411768</v>
      </c>
      <c r="L3" s="3"/>
      <c r="M3" s="1">
        <v>143</v>
      </c>
      <c r="N3" s="1">
        <v>143.6</v>
      </c>
      <c r="O3" s="2">
        <f>N3/J3</f>
        <v>143.6</v>
      </c>
      <c r="P3" s="1">
        <v>44</v>
      </c>
      <c r="Q3" s="1">
        <v>7.5</v>
      </c>
      <c r="R3" s="1" t="s">
        <v>99</v>
      </c>
      <c r="S3" s="6" t="s">
        <v>1739</v>
      </c>
      <c r="T3" s="11" t="s">
        <v>1751</v>
      </c>
      <c r="U3" s="1" t="s">
        <v>1752</v>
      </c>
      <c r="V3" s="14">
        <v>0.01</v>
      </c>
      <c r="W3" s="1" t="s">
        <v>103</v>
      </c>
      <c r="X3" s="1"/>
      <c r="Y3" s="1"/>
      <c r="Z3" s="1"/>
    </row>
    <row r="4" spans="1:26" ht="24.9" customHeight="1" x14ac:dyDescent="0.3">
      <c r="A4" s="3" t="s">
        <v>26</v>
      </c>
      <c r="B4" s="3"/>
      <c r="C4" s="5"/>
      <c r="D4" s="3"/>
      <c r="E4" s="3"/>
      <c r="F4" s="3"/>
      <c r="G4" s="3"/>
      <c r="H4" s="3"/>
      <c r="I4" s="3"/>
      <c r="J4" s="3"/>
      <c r="K4" s="4" t="e">
        <f t="shared" ref="K4:K59" si="0">(3600/(I4/8))*J4</f>
        <v>#DIV/0!</v>
      </c>
      <c r="L4" s="3"/>
      <c r="M4" s="1"/>
      <c r="N4" s="1"/>
      <c r="O4" s="2" t="e">
        <f t="shared" ref="O4:O59" si="1">N4/J4</f>
        <v>#DIV/0!</v>
      </c>
      <c r="P4" s="1"/>
      <c r="Q4" s="1"/>
      <c r="R4" s="1"/>
      <c r="S4" s="6"/>
      <c r="T4" s="1"/>
      <c r="U4" s="1"/>
      <c r="V4" s="1"/>
      <c r="W4" s="1"/>
      <c r="X4" s="1"/>
      <c r="Y4" s="1"/>
      <c r="Z4" s="1"/>
    </row>
    <row r="5" spans="1:26" ht="24.9" customHeight="1" x14ac:dyDescent="0.3">
      <c r="A5" s="3" t="s">
        <v>27</v>
      </c>
      <c r="B5" s="3"/>
      <c r="C5" s="3"/>
      <c r="D5" s="3"/>
      <c r="E5" s="3"/>
      <c r="F5" s="3"/>
      <c r="G5" s="3"/>
      <c r="H5" s="3"/>
      <c r="I5" s="3"/>
      <c r="J5" s="3"/>
      <c r="K5" s="4" t="e">
        <f t="shared" si="0"/>
        <v>#DIV/0!</v>
      </c>
      <c r="L5" s="3"/>
      <c r="M5" s="1"/>
      <c r="N5" s="1"/>
      <c r="O5" s="2" t="e">
        <f t="shared" si="1"/>
        <v>#DIV/0!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9" customHeight="1" x14ac:dyDescent="0.3">
      <c r="A6" s="3" t="s">
        <v>28</v>
      </c>
      <c r="B6" s="3"/>
      <c r="C6" s="3"/>
      <c r="D6" s="3"/>
      <c r="E6" s="3"/>
      <c r="F6" s="3"/>
      <c r="G6" s="3"/>
      <c r="H6" s="3"/>
      <c r="I6" s="3"/>
      <c r="J6" s="3"/>
      <c r="K6" s="4" t="e">
        <f t="shared" si="0"/>
        <v>#DIV/0!</v>
      </c>
      <c r="L6" s="3"/>
      <c r="M6" s="1"/>
      <c r="N6" s="1"/>
      <c r="O6" s="2" t="e">
        <f t="shared" si="1"/>
        <v>#DIV/0!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9" customHeight="1" x14ac:dyDescent="0.3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4" t="e">
        <f t="shared" si="0"/>
        <v>#DIV/0!</v>
      </c>
      <c r="L7" s="3"/>
      <c r="M7" s="1"/>
      <c r="N7" s="1"/>
      <c r="O7" s="2" t="e">
        <f t="shared" si="1"/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9" customHeight="1" x14ac:dyDescent="0.3">
      <c r="A8" s="3" t="s">
        <v>30</v>
      </c>
      <c r="B8" s="3"/>
      <c r="C8" s="5"/>
      <c r="D8" s="5"/>
      <c r="E8" s="5"/>
      <c r="F8" s="3"/>
      <c r="G8" s="3"/>
      <c r="H8" s="3"/>
      <c r="I8" s="3"/>
      <c r="J8" s="3"/>
      <c r="K8" s="4" t="e">
        <f t="shared" si="0"/>
        <v>#DIV/0!</v>
      </c>
      <c r="L8" s="3"/>
      <c r="M8" s="1"/>
      <c r="N8" s="1"/>
      <c r="O8" s="2" t="e">
        <f t="shared" si="1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2904-2AB4-48AF-AC49-A915370C7AEF}">
  <sheetPr codeName="Arkusz3"/>
  <dimension ref="A1:Z59"/>
  <sheetViews>
    <sheetView workbookViewId="0">
      <selection activeCell="C9" sqref="C9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1731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1732</v>
      </c>
      <c r="C3" s="5">
        <v>46290</v>
      </c>
      <c r="D3" s="5">
        <v>46294</v>
      </c>
      <c r="E3" s="5" t="s">
        <v>1733</v>
      </c>
      <c r="F3" s="3">
        <v>5</v>
      </c>
      <c r="G3" s="3">
        <v>13000</v>
      </c>
      <c r="H3" s="3">
        <v>37.42</v>
      </c>
      <c r="I3" s="3">
        <v>3078</v>
      </c>
      <c r="J3" s="3">
        <v>4</v>
      </c>
      <c r="K3" s="4">
        <f>(3600/(I3/8))*J3</f>
        <v>37.42690058479532</v>
      </c>
      <c r="L3" s="3"/>
      <c r="M3" s="1">
        <v>3.2</v>
      </c>
      <c r="N3" s="1">
        <v>12.9</v>
      </c>
      <c r="O3" s="2">
        <f>N3/J3</f>
        <v>3.2250000000000001</v>
      </c>
      <c r="P3" s="1">
        <v>5000</v>
      </c>
      <c r="Q3" s="1">
        <v>17</v>
      </c>
      <c r="R3" s="1" t="s">
        <v>124</v>
      </c>
      <c r="S3" s="6" t="s">
        <v>1533</v>
      </c>
      <c r="T3" s="1" t="s">
        <v>1734</v>
      </c>
      <c r="U3" s="1" t="s">
        <v>1735</v>
      </c>
      <c r="V3" s="14">
        <v>0.02</v>
      </c>
      <c r="W3" s="1" t="s">
        <v>94</v>
      </c>
      <c r="X3" s="1" t="s">
        <v>94</v>
      </c>
      <c r="Y3" s="1"/>
      <c r="Z3" s="1"/>
    </row>
    <row r="4" spans="1:26" ht="24.9" customHeight="1" x14ac:dyDescent="0.3">
      <c r="A4" s="3" t="s">
        <v>26</v>
      </c>
      <c r="B4" s="3" t="s">
        <v>1736</v>
      </c>
      <c r="C4" s="5">
        <v>46294</v>
      </c>
      <c r="D4" s="5">
        <v>46296</v>
      </c>
      <c r="E4" s="3" t="s">
        <v>1737</v>
      </c>
      <c r="F4" s="3">
        <v>5</v>
      </c>
      <c r="G4" s="3">
        <v>13000</v>
      </c>
      <c r="H4" s="3">
        <v>31.74</v>
      </c>
      <c r="I4" s="3">
        <v>3629</v>
      </c>
      <c r="J4" s="3">
        <v>4</v>
      </c>
      <c r="K4" s="4">
        <f t="shared" ref="K4:K59" si="0">(3600/(I4/8))*J4</f>
        <v>31.744282171397078</v>
      </c>
      <c r="L4" s="3"/>
      <c r="M4" s="1">
        <v>10.6</v>
      </c>
      <c r="N4" s="1">
        <v>42.3</v>
      </c>
      <c r="O4" s="2">
        <f t="shared" ref="O4:O59" si="1">N4/J4</f>
        <v>10.574999999999999</v>
      </c>
      <c r="P4" s="1">
        <v>1400</v>
      </c>
      <c r="Q4" s="1">
        <v>16</v>
      </c>
      <c r="R4" s="1" t="s">
        <v>124</v>
      </c>
      <c r="S4" s="6" t="s">
        <v>1533</v>
      </c>
      <c r="T4" s="1" t="s">
        <v>97</v>
      </c>
      <c r="U4" s="1" t="s">
        <v>193</v>
      </c>
      <c r="V4" s="14">
        <v>0.02</v>
      </c>
      <c r="W4" s="1" t="s">
        <v>94</v>
      </c>
      <c r="X4" s="1" t="s">
        <v>94</v>
      </c>
      <c r="Y4" s="1" t="s">
        <v>120</v>
      </c>
      <c r="Z4" s="1"/>
    </row>
    <row r="5" spans="1:26" ht="24.9" customHeight="1" x14ac:dyDescent="0.3">
      <c r="A5" s="3" t="s">
        <v>27</v>
      </c>
      <c r="B5" s="3" t="s">
        <v>1787</v>
      </c>
      <c r="C5" s="5">
        <v>46290</v>
      </c>
      <c r="D5" s="5">
        <v>46301</v>
      </c>
      <c r="E5" s="3" t="s">
        <v>1788</v>
      </c>
      <c r="F5" s="3">
        <v>3</v>
      </c>
      <c r="G5" s="3">
        <v>12600</v>
      </c>
      <c r="H5" s="3">
        <v>53.9</v>
      </c>
      <c r="I5" s="3">
        <v>1068</v>
      </c>
      <c r="J5" s="3">
        <v>2</v>
      </c>
      <c r="K5" s="4">
        <f t="shared" si="0"/>
        <v>53.932584269662918</v>
      </c>
      <c r="L5" s="3"/>
      <c r="M5" s="1">
        <v>35.799999999999997</v>
      </c>
      <c r="N5" s="1">
        <v>90.8</v>
      </c>
      <c r="O5" s="2">
        <f t="shared" si="1"/>
        <v>45.4</v>
      </c>
      <c r="P5" s="1">
        <v>400</v>
      </c>
      <c r="Q5" s="1">
        <v>15</v>
      </c>
      <c r="R5" s="1" t="s">
        <v>92</v>
      </c>
      <c r="S5" s="1" t="s">
        <v>1739</v>
      </c>
      <c r="T5" s="11" t="s">
        <v>1789</v>
      </c>
      <c r="U5" s="1"/>
      <c r="V5" s="1"/>
      <c r="W5" s="1" t="s">
        <v>678</v>
      </c>
      <c r="X5" s="1" t="s">
        <v>678</v>
      </c>
      <c r="Y5" s="1" t="s">
        <v>120</v>
      </c>
      <c r="Z5" s="1"/>
    </row>
    <row r="6" spans="1:26" ht="24.9" customHeight="1" x14ac:dyDescent="0.3">
      <c r="A6" s="3" t="s">
        <v>28</v>
      </c>
      <c r="B6" s="3"/>
      <c r="C6" s="3"/>
      <c r="D6" s="3"/>
      <c r="E6" s="3"/>
      <c r="F6" s="3"/>
      <c r="G6" s="3"/>
      <c r="H6" s="3"/>
      <c r="I6" s="3"/>
      <c r="J6" s="3"/>
      <c r="K6" s="4" t="e">
        <f t="shared" si="0"/>
        <v>#DIV/0!</v>
      </c>
      <c r="L6" s="3"/>
      <c r="M6" s="1"/>
      <c r="N6" s="1"/>
      <c r="O6" s="2" t="e">
        <f t="shared" si="1"/>
        <v>#DIV/0!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9" customHeight="1" x14ac:dyDescent="0.3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4" t="e">
        <f t="shared" si="0"/>
        <v>#DIV/0!</v>
      </c>
      <c r="L7" s="3"/>
      <c r="M7" s="1"/>
      <c r="N7" s="1"/>
      <c r="O7" s="2" t="e">
        <f t="shared" si="1"/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9" customHeight="1" x14ac:dyDescent="0.3">
      <c r="A8" s="3" t="s">
        <v>30</v>
      </c>
      <c r="B8" s="3"/>
      <c r="C8" s="5"/>
      <c r="D8" s="5"/>
      <c r="E8" s="5"/>
      <c r="F8" s="3"/>
      <c r="G8" s="3"/>
      <c r="H8" s="3"/>
      <c r="I8" s="3"/>
      <c r="J8" s="3"/>
      <c r="K8" s="4" t="e">
        <f t="shared" si="0"/>
        <v>#DIV/0!</v>
      </c>
      <c r="L8" s="3"/>
      <c r="M8" s="1"/>
      <c r="N8" s="1"/>
      <c r="O8" s="2" t="e">
        <f t="shared" si="1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6C73-8653-4430-889E-E99814B0F193}">
  <sheetPr codeName="Arkusz4"/>
  <dimension ref="A1:Z59"/>
  <sheetViews>
    <sheetView workbookViewId="0">
      <selection activeCell="L8" sqref="L8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1454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1455</v>
      </c>
      <c r="C3" s="5">
        <v>46251</v>
      </c>
      <c r="D3" s="5">
        <v>46252</v>
      </c>
      <c r="E3" s="5" t="s">
        <v>1456</v>
      </c>
      <c r="F3" s="3">
        <v>6</v>
      </c>
      <c r="G3" s="3">
        <v>1000</v>
      </c>
      <c r="H3" s="3">
        <v>21.34</v>
      </c>
      <c r="I3" s="3">
        <v>5398</v>
      </c>
      <c r="J3" s="3">
        <v>4</v>
      </c>
      <c r="K3" s="4">
        <f>(3600/(I3/8))*J3</f>
        <v>21.341237495368656</v>
      </c>
      <c r="L3" s="3"/>
      <c r="M3" s="1">
        <v>7.5</v>
      </c>
      <c r="N3" s="1">
        <v>32.5</v>
      </c>
      <c r="O3" s="2">
        <f>N3/J3</f>
        <v>8.125</v>
      </c>
      <c r="P3" s="1">
        <v>1000</v>
      </c>
      <c r="Q3" s="1">
        <v>8.5</v>
      </c>
      <c r="R3" s="1" t="s">
        <v>99</v>
      </c>
      <c r="S3" s="6" t="s">
        <v>1392</v>
      </c>
      <c r="T3" s="1" t="s">
        <v>1480</v>
      </c>
      <c r="U3" s="1"/>
      <c r="V3" s="1"/>
      <c r="W3" s="1" t="s">
        <v>103</v>
      </c>
      <c r="X3" s="1"/>
      <c r="Y3" s="1"/>
      <c r="Z3" s="1"/>
    </row>
    <row r="4" spans="1:26" ht="24.9" customHeight="1" x14ac:dyDescent="0.3">
      <c r="A4" s="3" t="s">
        <v>26</v>
      </c>
      <c r="B4" s="3" t="s">
        <v>1457</v>
      </c>
      <c r="C4" s="5">
        <v>46252</v>
      </c>
      <c r="D4" s="5">
        <v>46253</v>
      </c>
      <c r="E4" s="3" t="s">
        <v>1456</v>
      </c>
      <c r="F4" s="3">
        <v>6</v>
      </c>
      <c r="G4" s="3">
        <v>11000</v>
      </c>
      <c r="H4" s="3">
        <v>21.34</v>
      </c>
      <c r="I4" s="3">
        <v>5398</v>
      </c>
      <c r="J4" s="3">
        <v>4</v>
      </c>
      <c r="K4" s="4">
        <f t="shared" ref="K4:K59" si="0">(3600/(I4/8))*J4</f>
        <v>21.341237495368656</v>
      </c>
      <c r="L4" s="3"/>
      <c r="M4" s="1">
        <v>7.3</v>
      </c>
      <c r="N4" s="1">
        <v>31.4</v>
      </c>
      <c r="O4" s="2">
        <f t="shared" ref="O4:O59" si="1">N4/J4</f>
        <v>7.85</v>
      </c>
      <c r="P4" s="1">
        <v>1000</v>
      </c>
      <c r="Q4" s="1">
        <v>8.3000000000000007</v>
      </c>
      <c r="R4" s="1" t="s">
        <v>99</v>
      </c>
      <c r="S4" s="6" t="s">
        <v>1403</v>
      </c>
      <c r="T4" s="1" t="s">
        <v>1458</v>
      </c>
      <c r="U4" s="1" t="s">
        <v>1459</v>
      </c>
      <c r="V4" s="14">
        <v>0.04</v>
      </c>
      <c r="W4" s="1"/>
      <c r="X4" s="1" t="s">
        <v>94</v>
      </c>
      <c r="Y4" s="1" t="s">
        <v>120</v>
      </c>
      <c r="Z4" s="1"/>
    </row>
    <row r="5" spans="1:26" ht="24.9" customHeight="1" x14ac:dyDescent="0.3">
      <c r="A5" s="3" t="s">
        <v>27</v>
      </c>
      <c r="B5" s="3" t="s">
        <v>1478</v>
      </c>
      <c r="C5" s="5">
        <v>46254</v>
      </c>
      <c r="D5" s="5">
        <v>46255</v>
      </c>
      <c r="E5" s="3" t="s">
        <v>1479</v>
      </c>
      <c r="F5" s="3">
        <v>6</v>
      </c>
      <c r="G5" s="3">
        <v>3100</v>
      </c>
      <c r="H5" s="3">
        <v>18.899999999999999</v>
      </c>
      <c r="I5" s="3">
        <v>6095</v>
      </c>
      <c r="J5" s="3">
        <v>4</v>
      </c>
      <c r="K5" s="4">
        <f t="shared" si="0"/>
        <v>18.900738310090237</v>
      </c>
      <c r="L5" s="3"/>
      <c r="M5" s="1">
        <v>9.4</v>
      </c>
      <c r="N5" s="1">
        <v>37.6</v>
      </c>
      <c r="O5" s="2">
        <f t="shared" si="1"/>
        <v>9.4</v>
      </c>
      <c r="P5" s="1">
        <v>1000</v>
      </c>
      <c r="Q5" s="1">
        <v>10.199999999999999</v>
      </c>
      <c r="R5" s="1" t="s">
        <v>99</v>
      </c>
      <c r="S5" s="1" t="s">
        <v>1392</v>
      </c>
      <c r="T5" s="1" t="s">
        <v>1480</v>
      </c>
      <c r="U5" s="1"/>
      <c r="V5" s="1"/>
      <c r="W5" s="1" t="s">
        <v>103</v>
      </c>
      <c r="X5" s="1"/>
      <c r="Y5" s="1"/>
      <c r="Z5" s="1"/>
    </row>
    <row r="6" spans="1:26" ht="24.9" customHeight="1" x14ac:dyDescent="0.3">
      <c r="A6" s="3" t="s">
        <v>28</v>
      </c>
      <c r="B6" s="3" t="s">
        <v>1481</v>
      </c>
      <c r="C6" s="5">
        <v>46253</v>
      </c>
      <c r="D6" s="5">
        <v>46254</v>
      </c>
      <c r="E6" s="3" t="s">
        <v>1486</v>
      </c>
      <c r="F6" s="3">
        <v>6</v>
      </c>
      <c r="G6" s="3">
        <v>11000</v>
      </c>
      <c r="H6" s="3">
        <v>18.899999999999999</v>
      </c>
      <c r="I6" s="3">
        <v>6095</v>
      </c>
      <c r="J6" s="3">
        <v>4</v>
      </c>
      <c r="K6" s="4">
        <f t="shared" si="0"/>
        <v>18.900738310090237</v>
      </c>
      <c r="L6" s="3"/>
      <c r="M6" s="1">
        <v>8.9</v>
      </c>
      <c r="N6" s="1">
        <v>35.6</v>
      </c>
      <c r="O6" s="2">
        <f t="shared" si="1"/>
        <v>8.9</v>
      </c>
      <c r="P6" s="1">
        <v>1000</v>
      </c>
      <c r="Q6" s="1">
        <v>10.199999999999999</v>
      </c>
      <c r="R6" s="1" t="s">
        <v>99</v>
      </c>
      <c r="S6" s="1" t="s">
        <v>1403</v>
      </c>
      <c r="T6" s="1" t="s">
        <v>1458</v>
      </c>
      <c r="U6" s="1" t="s">
        <v>1459</v>
      </c>
      <c r="V6" s="14">
        <v>0.04</v>
      </c>
      <c r="W6" s="1"/>
      <c r="X6" s="1" t="s">
        <v>103</v>
      </c>
      <c r="Y6" s="1" t="s">
        <v>120</v>
      </c>
      <c r="Z6" s="1"/>
    </row>
    <row r="7" spans="1:26" ht="24.9" customHeight="1" x14ac:dyDescent="0.3">
      <c r="A7" s="3" t="s">
        <v>29</v>
      </c>
      <c r="B7" s="3" t="s">
        <v>1482</v>
      </c>
      <c r="C7" s="5">
        <v>46255</v>
      </c>
      <c r="D7" s="5">
        <v>46255</v>
      </c>
      <c r="E7" s="3" t="s">
        <v>1483</v>
      </c>
      <c r="F7" s="3">
        <v>6</v>
      </c>
      <c r="G7" s="3">
        <v>3400</v>
      </c>
      <c r="H7" s="3">
        <v>26.7</v>
      </c>
      <c r="I7" s="3">
        <v>4314</v>
      </c>
      <c r="J7" s="3">
        <v>4</v>
      </c>
      <c r="K7" s="4">
        <f t="shared" si="0"/>
        <v>26.703755215577189</v>
      </c>
      <c r="L7" s="3"/>
      <c r="M7" s="1">
        <v>17.2</v>
      </c>
      <c r="N7" s="1">
        <v>68.8</v>
      </c>
      <c r="O7" s="2">
        <f t="shared" si="1"/>
        <v>17.2</v>
      </c>
      <c r="P7" s="1">
        <v>700</v>
      </c>
      <c r="Q7" s="1">
        <v>12.7</v>
      </c>
      <c r="R7" s="1" t="s">
        <v>99</v>
      </c>
      <c r="S7" s="1" t="s">
        <v>1392</v>
      </c>
      <c r="T7" s="1" t="s">
        <v>1480</v>
      </c>
      <c r="U7" s="1"/>
      <c r="V7" s="1"/>
      <c r="W7" s="1"/>
      <c r="X7" s="1"/>
      <c r="Y7" s="1"/>
      <c r="Z7" s="1"/>
    </row>
    <row r="8" spans="1:26" ht="24.9" customHeight="1" x14ac:dyDescent="0.3">
      <c r="A8" s="3" t="s">
        <v>30</v>
      </c>
      <c r="B8" s="3" t="s">
        <v>1484</v>
      </c>
      <c r="C8" s="5">
        <v>46255</v>
      </c>
      <c r="D8" s="5">
        <v>46259</v>
      </c>
      <c r="E8" s="5" t="s">
        <v>1485</v>
      </c>
      <c r="F8" s="3">
        <v>6</v>
      </c>
      <c r="G8" s="3">
        <v>11000</v>
      </c>
      <c r="H8" s="3">
        <v>26.21</v>
      </c>
      <c r="I8" s="3">
        <v>4395</v>
      </c>
      <c r="J8" s="3">
        <v>4</v>
      </c>
      <c r="K8" s="4">
        <f t="shared" si="0"/>
        <v>26.211604095563139</v>
      </c>
      <c r="L8" s="3"/>
      <c r="M8" s="1">
        <v>16.399999999999999</v>
      </c>
      <c r="N8" s="1">
        <v>65.5</v>
      </c>
      <c r="O8" s="2">
        <f t="shared" si="1"/>
        <v>16.375</v>
      </c>
      <c r="P8" s="1">
        <v>700</v>
      </c>
      <c r="Q8" s="1">
        <v>12.7</v>
      </c>
      <c r="R8" s="1" t="s">
        <v>99</v>
      </c>
      <c r="S8" s="1" t="s">
        <v>1403</v>
      </c>
      <c r="T8" s="1" t="s">
        <v>1458</v>
      </c>
      <c r="U8" s="1" t="s">
        <v>1459</v>
      </c>
      <c r="V8" s="14">
        <v>0.04</v>
      </c>
      <c r="W8" s="1"/>
      <c r="X8" s="1" t="s">
        <v>103</v>
      </c>
      <c r="Y8" s="1" t="s">
        <v>120</v>
      </c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3482-44E5-4A37-98F4-82EAB7FFC012}">
  <sheetPr codeName="Arkusz5"/>
  <dimension ref="A1:Z59"/>
  <sheetViews>
    <sheetView topLeftCell="H1" workbookViewId="0">
      <selection activeCell="L8" sqref="L8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1125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1126</v>
      </c>
      <c r="C3" s="5">
        <v>46149</v>
      </c>
      <c r="D3" s="5">
        <v>46167</v>
      </c>
      <c r="E3" s="5" t="s">
        <v>1127</v>
      </c>
      <c r="F3" s="3">
        <v>4</v>
      </c>
      <c r="G3" s="3">
        <v>12500</v>
      </c>
      <c r="H3" s="3">
        <v>52.5</v>
      </c>
      <c r="I3" s="3">
        <v>548</v>
      </c>
      <c r="J3" s="3">
        <v>2</v>
      </c>
      <c r="K3" s="4">
        <f>(3600/(I3/8))*J3</f>
        <v>105.1094890510949</v>
      </c>
      <c r="L3" s="3"/>
      <c r="M3" s="1">
        <v>40.4</v>
      </c>
      <c r="N3" s="1">
        <v>81.3</v>
      </c>
      <c r="O3" s="2">
        <f>N3/J3</f>
        <v>40.65</v>
      </c>
      <c r="P3" s="1">
        <v>400</v>
      </c>
      <c r="Q3" s="1">
        <v>16.75</v>
      </c>
      <c r="R3" s="1" t="s">
        <v>92</v>
      </c>
      <c r="S3" s="6" t="s">
        <v>1017</v>
      </c>
      <c r="T3" s="17" t="s">
        <v>1128</v>
      </c>
      <c r="U3" s="1" t="s">
        <v>1129</v>
      </c>
      <c r="V3" s="14">
        <v>0.02</v>
      </c>
      <c r="W3" s="1" t="s">
        <v>103</v>
      </c>
      <c r="X3" s="1"/>
      <c r="Y3" s="1"/>
      <c r="Z3" s="1"/>
    </row>
    <row r="4" spans="1:26" ht="24.9" customHeight="1" x14ac:dyDescent="0.3">
      <c r="A4" s="3" t="s">
        <v>26</v>
      </c>
      <c r="B4" s="3" t="s">
        <v>1130</v>
      </c>
      <c r="C4" s="5">
        <v>46168</v>
      </c>
      <c r="D4" s="5">
        <v>46192</v>
      </c>
      <c r="E4" s="3" t="s">
        <v>1127</v>
      </c>
      <c r="F4" s="3">
        <v>4</v>
      </c>
      <c r="G4" s="3">
        <v>17500</v>
      </c>
      <c r="H4" s="3">
        <v>52.5</v>
      </c>
      <c r="I4" s="3">
        <v>548</v>
      </c>
      <c r="J4" s="3">
        <v>2</v>
      </c>
      <c r="K4" s="4">
        <f t="shared" ref="K4:K59" si="0">(3600/(I4/8))*J4</f>
        <v>105.1094890510949</v>
      </c>
      <c r="L4" s="3"/>
      <c r="M4" s="1">
        <v>40.4</v>
      </c>
      <c r="N4" s="1">
        <v>81.3</v>
      </c>
      <c r="O4" s="2">
        <f t="shared" ref="O4:O59" si="1">N4/J4</f>
        <v>40.65</v>
      </c>
      <c r="P4" s="1">
        <v>400</v>
      </c>
      <c r="Q4" s="1">
        <v>16.75</v>
      </c>
      <c r="R4" s="1" t="s">
        <v>92</v>
      </c>
      <c r="S4" s="6" t="s">
        <v>1045</v>
      </c>
      <c r="T4" s="17" t="s">
        <v>1128</v>
      </c>
      <c r="U4" s="1" t="s">
        <v>1131</v>
      </c>
      <c r="V4" s="14">
        <v>0.02</v>
      </c>
      <c r="W4" s="1"/>
      <c r="X4" s="1"/>
      <c r="Y4" s="1"/>
      <c r="Z4" s="1"/>
    </row>
    <row r="5" spans="1:26" ht="24.9" customHeight="1" x14ac:dyDescent="0.3">
      <c r="A5" s="3" t="s">
        <v>27</v>
      </c>
      <c r="B5" s="3" t="s">
        <v>1223</v>
      </c>
      <c r="C5" s="5">
        <v>46192</v>
      </c>
      <c r="D5" s="5">
        <v>46212</v>
      </c>
      <c r="E5" s="3" t="s">
        <v>1127</v>
      </c>
      <c r="F5" s="3">
        <v>4</v>
      </c>
      <c r="G5" s="3">
        <v>15000</v>
      </c>
      <c r="H5" s="3">
        <v>52.5</v>
      </c>
      <c r="I5" s="3">
        <v>548</v>
      </c>
      <c r="J5" s="3">
        <v>2</v>
      </c>
      <c r="K5" s="4">
        <f t="shared" si="0"/>
        <v>105.1094890510949</v>
      </c>
      <c r="L5" s="3"/>
      <c r="M5" s="1">
        <v>40.5</v>
      </c>
      <c r="N5" s="1">
        <v>83.6</v>
      </c>
      <c r="O5" s="2">
        <f t="shared" si="1"/>
        <v>41.8</v>
      </c>
      <c r="P5" s="1">
        <v>400</v>
      </c>
      <c r="Q5" s="1">
        <v>16.75</v>
      </c>
      <c r="R5" s="1" t="s">
        <v>92</v>
      </c>
      <c r="S5" s="1" t="s">
        <v>1174</v>
      </c>
      <c r="T5" s="17" t="s">
        <v>1128</v>
      </c>
      <c r="U5" s="1" t="s">
        <v>1224</v>
      </c>
      <c r="V5" s="14">
        <v>0.02</v>
      </c>
      <c r="W5" s="1"/>
      <c r="X5" s="1" t="s">
        <v>103</v>
      </c>
      <c r="Y5" s="1" t="s">
        <v>120</v>
      </c>
      <c r="Z5" s="1"/>
    </row>
    <row r="6" spans="1:26" ht="24.9" customHeight="1" x14ac:dyDescent="0.3">
      <c r="A6" s="3" t="s">
        <v>28</v>
      </c>
      <c r="B6" s="3"/>
      <c r="C6" s="3"/>
      <c r="D6" s="3"/>
      <c r="E6" s="3"/>
      <c r="F6" s="3"/>
      <c r="G6" s="3"/>
      <c r="H6" s="3"/>
      <c r="I6" s="3"/>
      <c r="J6" s="3"/>
      <c r="K6" s="4" t="e">
        <f t="shared" si="0"/>
        <v>#DIV/0!</v>
      </c>
      <c r="L6" s="3"/>
      <c r="M6" s="1"/>
      <c r="N6" s="1"/>
      <c r="O6" s="2" t="e">
        <f t="shared" si="1"/>
        <v>#DIV/0!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9" customHeight="1" x14ac:dyDescent="0.3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4" t="e">
        <f t="shared" si="0"/>
        <v>#DIV/0!</v>
      </c>
      <c r="L7" s="3"/>
      <c r="M7" s="1"/>
      <c r="N7" s="1"/>
      <c r="O7" s="2" t="e">
        <f t="shared" si="1"/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9" customHeight="1" x14ac:dyDescent="0.3">
      <c r="A8" s="3" t="s">
        <v>30</v>
      </c>
      <c r="B8" s="3"/>
      <c r="C8" s="5"/>
      <c r="D8" s="5"/>
      <c r="E8" s="5"/>
      <c r="F8" s="3"/>
      <c r="G8" s="3"/>
      <c r="H8" s="3"/>
      <c r="I8" s="3"/>
      <c r="J8" s="3"/>
      <c r="K8" s="4" t="e">
        <f t="shared" si="0"/>
        <v>#DIV/0!</v>
      </c>
      <c r="L8" s="3"/>
      <c r="M8" s="1"/>
      <c r="N8" s="1"/>
      <c r="O8" s="2" t="e">
        <f t="shared" si="1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2687-2606-4DCB-B45B-4C70DBA73777}">
  <sheetPr codeName="Arkusz6"/>
  <dimension ref="A1:Z59"/>
  <sheetViews>
    <sheetView workbookViewId="0">
      <selection activeCell="M25" sqref="M25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976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977</v>
      </c>
      <c r="C3" s="5">
        <v>46139</v>
      </c>
      <c r="D3" s="5">
        <v>46141</v>
      </c>
      <c r="E3" s="5" t="s">
        <v>980</v>
      </c>
      <c r="F3" s="12">
        <v>6</v>
      </c>
      <c r="G3" s="3">
        <v>10000</v>
      </c>
      <c r="H3" s="3">
        <v>25.82</v>
      </c>
      <c r="I3" s="3">
        <v>2230</v>
      </c>
      <c r="J3" s="3">
        <v>6</v>
      </c>
      <c r="K3" s="4">
        <f>(3600/(I3/8))*J3</f>
        <v>77.488789237668158</v>
      </c>
      <c r="L3" s="3"/>
      <c r="M3" s="1">
        <v>0.5</v>
      </c>
      <c r="N3" s="1">
        <v>8.1999999999999993</v>
      </c>
      <c r="O3" s="2">
        <f>N3/J3</f>
        <v>1.3666666666666665</v>
      </c>
      <c r="P3" s="1">
        <v>4000</v>
      </c>
      <c r="Q3" s="1">
        <v>2</v>
      </c>
      <c r="R3" s="20" t="s">
        <v>981</v>
      </c>
      <c r="S3" s="6" t="s">
        <v>818</v>
      </c>
      <c r="T3" s="11" t="s">
        <v>982</v>
      </c>
      <c r="U3" s="1" t="s">
        <v>983</v>
      </c>
      <c r="V3" s="14">
        <v>0.02</v>
      </c>
      <c r="W3" s="1" t="s">
        <v>103</v>
      </c>
      <c r="X3" s="1" t="s">
        <v>94</v>
      </c>
      <c r="Y3" s="1" t="s">
        <v>120</v>
      </c>
      <c r="Z3" s="1"/>
    </row>
    <row r="4" spans="1:26" ht="24.9" customHeight="1" x14ac:dyDescent="0.3">
      <c r="A4" s="3" t="s">
        <v>26</v>
      </c>
      <c r="B4" s="3" t="s">
        <v>978</v>
      </c>
      <c r="C4" s="5">
        <v>46139</v>
      </c>
      <c r="D4" s="5">
        <v>46141</v>
      </c>
      <c r="E4" s="3" t="s">
        <v>980</v>
      </c>
      <c r="F4" s="12">
        <v>6</v>
      </c>
      <c r="G4" s="3">
        <v>10000</v>
      </c>
      <c r="H4" s="3">
        <v>25.82</v>
      </c>
      <c r="I4" s="3">
        <v>2230</v>
      </c>
      <c r="J4" s="3">
        <v>6</v>
      </c>
      <c r="K4" s="4">
        <f t="shared" ref="K4:K59" si="0">(3600/(I4/8))*J4</f>
        <v>77.488789237668158</v>
      </c>
      <c r="L4" s="3"/>
      <c r="M4" s="1">
        <v>0.3</v>
      </c>
      <c r="N4" s="1">
        <v>8.1999999999999993</v>
      </c>
      <c r="O4" s="2">
        <f t="shared" ref="O4:O59" si="1">N4/J4</f>
        <v>1.3666666666666665</v>
      </c>
      <c r="P4" s="1">
        <v>8000</v>
      </c>
      <c r="Q4" s="1">
        <v>2.4</v>
      </c>
      <c r="R4" s="20" t="s">
        <v>981</v>
      </c>
      <c r="S4" s="6" t="s">
        <v>818</v>
      </c>
      <c r="T4" s="25" t="s">
        <v>982</v>
      </c>
      <c r="U4" s="1" t="s">
        <v>983</v>
      </c>
      <c r="V4" s="14">
        <v>0.02</v>
      </c>
      <c r="W4" s="1"/>
      <c r="X4" s="1" t="s">
        <v>94</v>
      </c>
      <c r="Y4" s="1" t="s">
        <v>120</v>
      </c>
      <c r="Z4" s="1"/>
    </row>
    <row r="5" spans="1:26" ht="24.9" customHeight="1" x14ac:dyDescent="0.3">
      <c r="A5" s="3" t="s">
        <v>27</v>
      </c>
      <c r="B5" s="3" t="s">
        <v>979</v>
      </c>
      <c r="C5" s="5">
        <v>46139</v>
      </c>
      <c r="D5" s="5">
        <v>46141</v>
      </c>
      <c r="E5" s="3" t="s">
        <v>980</v>
      </c>
      <c r="F5" s="12">
        <v>6</v>
      </c>
      <c r="G5" s="3">
        <v>10000</v>
      </c>
      <c r="H5" s="3">
        <v>25.82</v>
      </c>
      <c r="I5" s="3">
        <v>2230</v>
      </c>
      <c r="J5" s="3">
        <v>6</v>
      </c>
      <c r="K5" s="4">
        <f t="shared" si="0"/>
        <v>77.488789237668158</v>
      </c>
      <c r="L5" s="3"/>
      <c r="M5" s="1">
        <v>2.1</v>
      </c>
      <c r="N5" s="1">
        <v>8.1999999999999993</v>
      </c>
      <c r="O5" s="2">
        <f t="shared" si="1"/>
        <v>1.3666666666666665</v>
      </c>
      <c r="P5" s="1">
        <v>2000</v>
      </c>
      <c r="Q5" s="1">
        <v>5</v>
      </c>
      <c r="R5" s="1" t="s">
        <v>92</v>
      </c>
      <c r="S5" s="1" t="s">
        <v>818</v>
      </c>
      <c r="T5" s="25" t="s">
        <v>982</v>
      </c>
      <c r="U5" s="1" t="s">
        <v>983</v>
      </c>
      <c r="V5" s="14">
        <v>0.02</v>
      </c>
      <c r="W5" s="1"/>
      <c r="X5" s="1" t="s">
        <v>94</v>
      </c>
      <c r="Y5" s="1" t="s">
        <v>120</v>
      </c>
      <c r="Z5" s="1"/>
    </row>
    <row r="6" spans="1:26" ht="24.9" customHeight="1" x14ac:dyDescent="0.3">
      <c r="A6" s="3" t="s">
        <v>28</v>
      </c>
      <c r="B6" s="3" t="s">
        <v>1003</v>
      </c>
      <c r="C6" s="5">
        <v>46141</v>
      </c>
      <c r="D6" s="5">
        <v>46117</v>
      </c>
      <c r="E6" s="3" t="s">
        <v>1005</v>
      </c>
      <c r="F6" s="12">
        <v>6</v>
      </c>
      <c r="G6" s="3">
        <v>5000</v>
      </c>
      <c r="H6" s="3">
        <v>30.24</v>
      </c>
      <c r="I6" s="3">
        <v>952</v>
      </c>
      <c r="J6" s="3">
        <v>2</v>
      </c>
      <c r="K6" s="4">
        <f t="shared" si="0"/>
        <v>60.504201680672267</v>
      </c>
      <c r="L6" s="3">
        <v>320</v>
      </c>
      <c r="M6" s="1">
        <v>21.9</v>
      </c>
      <c r="N6" s="1">
        <v>21.9</v>
      </c>
      <c r="O6" s="2">
        <f t="shared" si="1"/>
        <v>10.95</v>
      </c>
      <c r="P6" s="1">
        <v>150</v>
      </c>
      <c r="Q6" s="1">
        <v>4.0999999999999996</v>
      </c>
      <c r="R6" s="1" t="s">
        <v>92</v>
      </c>
      <c r="S6" s="1" t="s">
        <v>817</v>
      </c>
      <c r="T6" s="11" t="s">
        <v>982</v>
      </c>
      <c r="U6" s="1" t="s">
        <v>983</v>
      </c>
      <c r="V6" s="14">
        <v>0.02</v>
      </c>
      <c r="W6" s="1" t="s">
        <v>94</v>
      </c>
      <c r="X6" s="1" t="s">
        <v>103</v>
      </c>
      <c r="Y6" s="1" t="s">
        <v>120</v>
      </c>
      <c r="Z6" s="1"/>
    </row>
    <row r="7" spans="1:26" ht="24.9" customHeight="1" x14ac:dyDescent="0.3">
      <c r="A7" s="3" t="s">
        <v>29</v>
      </c>
      <c r="B7" s="3" t="s">
        <v>1004</v>
      </c>
      <c r="C7" s="5">
        <v>46141</v>
      </c>
      <c r="D7" s="5">
        <v>46147</v>
      </c>
      <c r="E7" s="3" t="s">
        <v>1005</v>
      </c>
      <c r="F7" s="12">
        <v>6</v>
      </c>
      <c r="G7" s="3">
        <v>5000</v>
      </c>
      <c r="H7" s="3">
        <v>30.24</v>
      </c>
      <c r="I7" s="3">
        <v>952</v>
      </c>
      <c r="J7" s="3">
        <v>2</v>
      </c>
      <c r="K7" s="4">
        <f t="shared" si="0"/>
        <v>60.504201680672267</v>
      </c>
      <c r="L7" s="3">
        <v>15</v>
      </c>
      <c r="M7" s="1">
        <v>16.600000000000001</v>
      </c>
      <c r="N7" s="1">
        <v>16.600000000000001</v>
      </c>
      <c r="O7" s="2">
        <f t="shared" si="1"/>
        <v>8.3000000000000007</v>
      </c>
      <c r="P7" s="1">
        <v>215</v>
      </c>
      <c r="Q7" s="1">
        <v>4.4000000000000004</v>
      </c>
      <c r="R7" s="1" t="s">
        <v>92</v>
      </c>
      <c r="S7" s="1" t="s">
        <v>817</v>
      </c>
      <c r="T7" s="11" t="s">
        <v>982</v>
      </c>
      <c r="U7" s="1" t="s">
        <v>983</v>
      </c>
      <c r="V7" s="14">
        <v>0.02</v>
      </c>
      <c r="W7" s="1" t="s">
        <v>94</v>
      </c>
      <c r="X7" s="1" t="s">
        <v>103</v>
      </c>
      <c r="Y7" s="1" t="s">
        <v>120</v>
      </c>
      <c r="Z7" s="1"/>
    </row>
    <row r="8" spans="1:26" ht="24.9" customHeight="1" x14ac:dyDescent="0.3">
      <c r="A8" s="3" t="s">
        <v>30</v>
      </c>
      <c r="B8" s="3" t="s">
        <v>1031</v>
      </c>
      <c r="C8" s="5">
        <v>46155</v>
      </c>
      <c r="D8" s="5">
        <v>46160</v>
      </c>
      <c r="E8" s="5" t="s">
        <v>1032</v>
      </c>
      <c r="F8" s="12">
        <v>6</v>
      </c>
      <c r="G8" s="3">
        <v>5000</v>
      </c>
      <c r="H8" s="3">
        <v>34.25</v>
      </c>
      <c r="I8" s="3">
        <v>840</v>
      </c>
      <c r="J8" s="3">
        <v>1</v>
      </c>
      <c r="K8" s="4">
        <f t="shared" si="0"/>
        <v>34.285714285714285</v>
      </c>
      <c r="L8" s="3"/>
      <c r="M8" s="1">
        <v>17</v>
      </c>
      <c r="N8" s="1">
        <v>17</v>
      </c>
      <c r="O8" s="2">
        <f t="shared" si="1"/>
        <v>17</v>
      </c>
      <c r="P8" s="1">
        <v>250</v>
      </c>
      <c r="Q8" s="1">
        <v>5.25</v>
      </c>
      <c r="R8" s="1" t="s">
        <v>92</v>
      </c>
      <c r="S8" s="1" t="s">
        <v>1017</v>
      </c>
      <c r="T8" s="11" t="s">
        <v>1033</v>
      </c>
      <c r="U8" s="1"/>
      <c r="V8" s="1"/>
      <c r="W8" s="1" t="s">
        <v>103</v>
      </c>
      <c r="X8" s="1"/>
      <c r="Y8" s="1"/>
      <c r="Z8" s="1"/>
    </row>
    <row r="9" spans="1:26" ht="24.9" customHeight="1" x14ac:dyDescent="0.3">
      <c r="A9" s="3" t="s">
        <v>31</v>
      </c>
      <c r="B9" s="3" t="s">
        <v>1034</v>
      </c>
      <c r="C9" s="5">
        <v>46155</v>
      </c>
      <c r="D9" s="5">
        <v>46160</v>
      </c>
      <c r="E9" s="3" t="s">
        <v>1032</v>
      </c>
      <c r="F9" s="12">
        <v>6</v>
      </c>
      <c r="G9" s="3">
        <v>5000</v>
      </c>
      <c r="H9" s="3">
        <v>34.25</v>
      </c>
      <c r="I9" s="3">
        <v>840</v>
      </c>
      <c r="J9" s="3">
        <v>1</v>
      </c>
      <c r="K9" s="4">
        <f t="shared" si="0"/>
        <v>34.285714285714285</v>
      </c>
      <c r="L9" s="3"/>
      <c r="M9" s="1">
        <v>19.7</v>
      </c>
      <c r="N9" s="1">
        <v>38.5</v>
      </c>
      <c r="O9" s="2">
        <f t="shared" si="1"/>
        <v>38.5</v>
      </c>
      <c r="P9" s="1">
        <v>180</v>
      </c>
      <c r="Q9" s="1">
        <v>4.45</v>
      </c>
      <c r="R9" s="1" t="s">
        <v>92</v>
      </c>
      <c r="S9" s="1" t="s">
        <v>1017</v>
      </c>
      <c r="T9" s="11" t="s">
        <v>1033</v>
      </c>
      <c r="U9" s="1"/>
      <c r="V9" s="1"/>
      <c r="W9" s="1" t="s">
        <v>103</v>
      </c>
      <c r="X9" s="1"/>
      <c r="Y9" s="1"/>
      <c r="Z9" s="1"/>
    </row>
    <row r="10" spans="1:26" ht="24.9" customHeight="1" x14ac:dyDescent="0.3">
      <c r="A10" s="3" t="s">
        <v>32</v>
      </c>
      <c r="B10" s="3" t="s">
        <v>1043</v>
      </c>
      <c r="C10" s="5">
        <v>46148</v>
      </c>
      <c r="D10" s="5">
        <v>46154</v>
      </c>
      <c r="E10" s="3" t="s">
        <v>1044</v>
      </c>
      <c r="F10" s="12">
        <v>6</v>
      </c>
      <c r="G10" s="3">
        <v>5000</v>
      </c>
      <c r="H10" s="3">
        <v>45.17</v>
      </c>
      <c r="I10" s="3">
        <v>637</v>
      </c>
      <c r="J10" s="3">
        <v>1</v>
      </c>
      <c r="K10" s="4">
        <f t="shared" si="0"/>
        <v>45.211930926216638</v>
      </c>
      <c r="L10" s="3">
        <v>320</v>
      </c>
      <c r="M10" s="1">
        <v>24.5</v>
      </c>
      <c r="N10" s="1">
        <v>30.4</v>
      </c>
      <c r="O10" s="2">
        <f t="shared" si="1"/>
        <v>30.4</v>
      </c>
      <c r="P10" s="1">
        <v>150</v>
      </c>
      <c r="Q10" s="1">
        <v>4.5</v>
      </c>
      <c r="R10" s="1" t="s">
        <v>92</v>
      </c>
      <c r="S10" s="1" t="s">
        <v>1045</v>
      </c>
      <c r="T10" s="11" t="s">
        <v>1046</v>
      </c>
      <c r="U10" s="1"/>
      <c r="V10" s="1"/>
      <c r="W10" s="1" t="s">
        <v>94</v>
      </c>
      <c r="X10" s="1" t="s">
        <v>94</v>
      </c>
      <c r="Y10" s="1" t="s">
        <v>120</v>
      </c>
      <c r="Z10" s="1"/>
    </row>
    <row r="11" spans="1:26" ht="24.9" customHeight="1" x14ac:dyDescent="0.3">
      <c r="A11" s="3" t="s">
        <v>33</v>
      </c>
      <c r="B11" s="3" t="s">
        <v>1047</v>
      </c>
      <c r="C11" s="5">
        <v>46148</v>
      </c>
      <c r="D11" s="5">
        <v>46154</v>
      </c>
      <c r="E11" s="3" t="s">
        <v>1044</v>
      </c>
      <c r="F11" s="12">
        <v>6</v>
      </c>
      <c r="G11" s="3">
        <v>5000</v>
      </c>
      <c r="H11" s="3">
        <v>45.17</v>
      </c>
      <c r="I11" s="3">
        <v>637</v>
      </c>
      <c r="J11" s="3">
        <v>1</v>
      </c>
      <c r="K11" s="4">
        <f t="shared" si="0"/>
        <v>45.211930926216638</v>
      </c>
      <c r="L11" s="3">
        <v>320</v>
      </c>
      <c r="M11" s="1">
        <v>27.3</v>
      </c>
      <c r="N11" s="1">
        <v>33.200000000000003</v>
      </c>
      <c r="O11" s="2">
        <f t="shared" si="1"/>
        <v>33.200000000000003</v>
      </c>
      <c r="P11" s="1">
        <v>100</v>
      </c>
      <c r="Q11" s="1">
        <v>3.5</v>
      </c>
      <c r="R11" s="1" t="s">
        <v>92</v>
      </c>
      <c r="S11" s="1" t="s">
        <v>1045</v>
      </c>
      <c r="T11" s="11" t="s">
        <v>1046</v>
      </c>
      <c r="U11" s="1"/>
      <c r="V11" s="1"/>
      <c r="W11" s="1" t="s">
        <v>94</v>
      </c>
      <c r="X11" s="1" t="s">
        <v>94</v>
      </c>
      <c r="Y11" s="1" t="s">
        <v>120</v>
      </c>
      <c r="Z11" s="1"/>
    </row>
    <row r="12" spans="1:26" ht="24.9" customHeight="1" x14ac:dyDescent="0.3">
      <c r="A12" s="3" t="s">
        <v>34</v>
      </c>
      <c r="B12" s="3" t="s">
        <v>1317</v>
      </c>
      <c r="C12" s="5">
        <v>46218</v>
      </c>
      <c r="D12" s="5">
        <v>46220</v>
      </c>
      <c r="E12" s="3" t="s">
        <v>1316</v>
      </c>
      <c r="F12" s="12">
        <v>6</v>
      </c>
      <c r="G12" s="3">
        <v>12000</v>
      </c>
      <c r="H12" s="3">
        <v>25.86</v>
      </c>
      <c r="I12" s="3">
        <v>2230</v>
      </c>
      <c r="J12" s="3">
        <v>2</v>
      </c>
      <c r="K12" s="4">
        <f t="shared" si="0"/>
        <v>25.829596412556054</v>
      </c>
      <c r="L12" s="3">
        <v>1200</v>
      </c>
      <c r="M12" s="1">
        <v>1</v>
      </c>
      <c r="N12" s="1">
        <v>8.9</v>
      </c>
      <c r="O12" s="2">
        <f t="shared" si="1"/>
        <v>4.45</v>
      </c>
      <c r="P12" s="1">
        <v>8000</v>
      </c>
      <c r="Q12" s="1">
        <v>8.25</v>
      </c>
      <c r="R12" s="1" t="s">
        <v>92</v>
      </c>
      <c r="S12" s="1" t="s">
        <v>1252</v>
      </c>
      <c r="T12" s="11" t="s">
        <v>1046</v>
      </c>
      <c r="U12" s="1"/>
      <c r="V12" s="1"/>
      <c r="W12" s="1" t="s">
        <v>678</v>
      </c>
      <c r="X12" s="1"/>
      <c r="Y12" s="1"/>
      <c r="Z12" s="1"/>
    </row>
    <row r="13" spans="1:26" ht="24.9" customHeight="1" x14ac:dyDescent="0.3">
      <c r="A13" s="3" t="s">
        <v>35</v>
      </c>
      <c r="B13" s="3" t="s">
        <v>1318</v>
      </c>
      <c r="C13" s="5">
        <v>46218</v>
      </c>
      <c r="D13" s="5">
        <v>46220</v>
      </c>
      <c r="E13" s="3" t="s">
        <v>1316</v>
      </c>
      <c r="F13" s="12">
        <v>6</v>
      </c>
      <c r="G13" s="3">
        <v>13200</v>
      </c>
      <c r="H13" s="3">
        <v>25.86</v>
      </c>
      <c r="I13" s="3">
        <v>2230</v>
      </c>
      <c r="J13" s="3">
        <v>2</v>
      </c>
      <c r="K13" s="4">
        <f t="shared" si="0"/>
        <v>25.829596412556054</v>
      </c>
      <c r="L13" s="3"/>
      <c r="M13" s="1">
        <v>2.8</v>
      </c>
      <c r="N13" s="1">
        <v>8.9</v>
      </c>
      <c r="O13" s="2">
        <f t="shared" si="1"/>
        <v>4.45</v>
      </c>
      <c r="P13" s="1">
        <v>1700</v>
      </c>
      <c r="Q13" s="1">
        <v>5.05</v>
      </c>
      <c r="R13" s="1" t="s">
        <v>87</v>
      </c>
      <c r="S13" s="1" t="s">
        <v>1252</v>
      </c>
      <c r="T13" s="11" t="s">
        <v>1046</v>
      </c>
      <c r="U13" s="1"/>
      <c r="V13" s="1"/>
      <c r="W13" s="1" t="s">
        <v>678</v>
      </c>
      <c r="X13" s="1"/>
      <c r="Y13" s="1"/>
      <c r="Z13" s="1" t="s">
        <v>1340</v>
      </c>
    </row>
    <row r="14" spans="1:26" ht="24.9" customHeight="1" x14ac:dyDescent="0.3">
      <c r="A14" s="3" t="s">
        <v>36</v>
      </c>
      <c r="B14" s="3" t="s">
        <v>1031</v>
      </c>
      <c r="C14" s="5">
        <v>46223</v>
      </c>
      <c r="D14" s="5">
        <v>46226</v>
      </c>
      <c r="E14" s="3" t="s">
        <v>1342</v>
      </c>
      <c r="F14" s="12">
        <v>6</v>
      </c>
      <c r="G14" s="3">
        <v>5000</v>
      </c>
      <c r="H14" s="3">
        <v>35.549999999999997</v>
      </c>
      <c r="I14" s="3">
        <v>810</v>
      </c>
      <c r="J14" s="3">
        <v>1</v>
      </c>
      <c r="K14" s="4">
        <f t="shared" si="0"/>
        <v>35.555555555555557</v>
      </c>
      <c r="L14" s="3"/>
      <c r="M14" s="1">
        <v>17.100000000000001</v>
      </c>
      <c r="N14" s="1">
        <v>38.5</v>
      </c>
      <c r="O14" s="2">
        <f t="shared" si="1"/>
        <v>38.5</v>
      </c>
      <c r="P14" s="1">
        <v>250</v>
      </c>
      <c r="Q14" s="1">
        <v>5.25</v>
      </c>
      <c r="R14" s="1" t="s">
        <v>92</v>
      </c>
      <c r="S14" s="1" t="s">
        <v>1252</v>
      </c>
      <c r="T14" s="11" t="s">
        <v>1046</v>
      </c>
      <c r="U14" s="1"/>
      <c r="V14" s="1"/>
      <c r="W14" s="1" t="s">
        <v>94</v>
      </c>
      <c r="X14" s="1" t="s">
        <v>678</v>
      </c>
      <c r="Y14" s="1"/>
      <c r="Z14" s="1"/>
    </row>
    <row r="15" spans="1:26" ht="24.9" customHeight="1" x14ac:dyDescent="0.3">
      <c r="A15" s="3" t="s">
        <v>37</v>
      </c>
      <c r="B15" s="3" t="s">
        <v>1034</v>
      </c>
      <c r="C15" s="5">
        <v>46223</v>
      </c>
      <c r="D15" s="5">
        <v>46226</v>
      </c>
      <c r="E15" s="3" t="s">
        <v>1342</v>
      </c>
      <c r="F15" s="12">
        <v>6</v>
      </c>
      <c r="G15" s="3">
        <v>4680</v>
      </c>
      <c r="H15" s="3">
        <v>35.549999999999997</v>
      </c>
      <c r="I15" s="3">
        <v>810</v>
      </c>
      <c r="J15" s="3">
        <v>1</v>
      </c>
      <c r="K15" s="4">
        <f t="shared" si="0"/>
        <v>35.555555555555557</v>
      </c>
      <c r="L15" s="3">
        <v>23</v>
      </c>
      <c r="M15" s="1">
        <v>19.7</v>
      </c>
      <c r="N15" s="1">
        <v>38.5</v>
      </c>
      <c r="O15" s="2">
        <f t="shared" si="1"/>
        <v>38.5</v>
      </c>
      <c r="P15" s="1">
        <v>180</v>
      </c>
      <c r="Q15" s="1">
        <v>4.45</v>
      </c>
      <c r="R15" s="1" t="s">
        <v>92</v>
      </c>
      <c r="S15" s="1" t="s">
        <v>1252</v>
      </c>
      <c r="T15" s="11" t="s">
        <v>1046</v>
      </c>
      <c r="U15" s="1"/>
      <c r="V15" s="1"/>
      <c r="W15" s="1" t="s">
        <v>94</v>
      </c>
      <c r="X15" s="1" t="s">
        <v>678</v>
      </c>
      <c r="Y15" s="1"/>
      <c r="Z15" s="1"/>
    </row>
    <row r="16" spans="1:26" ht="24.9" customHeight="1" x14ac:dyDescent="0.3">
      <c r="A16" s="3" t="s">
        <v>38</v>
      </c>
      <c r="B16" s="3" t="s">
        <v>1043</v>
      </c>
      <c r="C16" s="5">
        <v>46226</v>
      </c>
      <c r="D16" s="5">
        <v>46233</v>
      </c>
      <c r="E16" s="3" t="s">
        <v>1360</v>
      </c>
      <c r="F16" s="12">
        <v>6</v>
      </c>
      <c r="G16" s="3">
        <v>4700</v>
      </c>
      <c r="H16" s="3">
        <v>44.31</v>
      </c>
      <c r="I16" s="3">
        <v>650</v>
      </c>
      <c r="J16" s="3">
        <v>1</v>
      </c>
      <c r="K16" s="4">
        <f t="shared" si="0"/>
        <v>44.307692307692307</v>
      </c>
      <c r="L16" s="3"/>
      <c r="M16" s="1">
        <v>24.5</v>
      </c>
      <c r="N16" s="1">
        <v>58.1</v>
      </c>
      <c r="O16" s="2">
        <f t="shared" si="1"/>
        <v>58.1</v>
      </c>
      <c r="P16" s="1">
        <v>150</v>
      </c>
      <c r="Q16" s="1">
        <v>4.5999999999999996</v>
      </c>
      <c r="R16" s="1" t="s">
        <v>92</v>
      </c>
      <c r="S16" s="1" t="s">
        <v>1270</v>
      </c>
      <c r="T16" s="11" t="s">
        <v>1046</v>
      </c>
      <c r="U16" s="1"/>
      <c r="V16" s="1"/>
      <c r="W16" s="1" t="s">
        <v>678</v>
      </c>
      <c r="X16" s="1"/>
      <c r="Y16" s="1"/>
      <c r="Z16" s="1"/>
    </row>
    <row r="17" spans="1:26" ht="24.9" customHeight="1" x14ac:dyDescent="0.3">
      <c r="A17" s="3" t="s">
        <v>39</v>
      </c>
      <c r="B17" s="3" t="s">
        <v>1047</v>
      </c>
      <c r="C17" s="5">
        <v>46226</v>
      </c>
      <c r="D17" s="5">
        <v>46233</v>
      </c>
      <c r="E17" s="3" t="s">
        <v>1360</v>
      </c>
      <c r="F17" s="12">
        <v>6</v>
      </c>
      <c r="G17" s="3">
        <v>5030</v>
      </c>
      <c r="H17" s="3">
        <v>44.31</v>
      </c>
      <c r="I17" s="3">
        <v>650</v>
      </c>
      <c r="J17" s="3">
        <v>1</v>
      </c>
      <c r="K17" s="4">
        <f t="shared" si="0"/>
        <v>44.307692307692307</v>
      </c>
      <c r="L17" s="3"/>
      <c r="M17" s="1">
        <v>27.7</v>
      </c>
      <c r="N17" s="1">
        <v>58.1</v>
      </c>
      <c r="O17" s="2">
        <f t="shared" si="1"/>
        <v>58.1</v>
      </c>
      <c r="P17" s="1">
        <v>100</v>
      </c>
      <c r="Q17" s="1">
        <v>3.5</v>
      </c>
      <c r="R17" s="1" t="s">
        <v>92</v>
      </c>
      <c r="S17" s="1" t="s">
        <v>1270</v>
      </c>
      <c r="T17" s="11" t="s">
        <v>1046</v>
      </c>
      <c r="U17" s="1"/>
      <c r="V17" s="1"/>
      <c r="W17" s="1" t="s">
        <v>678</v>
      </c>
      <c r="X17" s="1" t="s">
        <v>94</v>
      </c>
      <c r="Y17" s="1" t="s">
        <v>120</v>
      </c>
      <c r="Z17" s="1"/>
    </row>
    <row r="18" spans="1:26" ht="24.9" customHeight="1" x14ac:dyDescent="0.3">
      <c r="A18" s="3" t="s">
        <v>40</v>
      </c>
      <c r="B18" s="3" t="s">
        <v>1003</v>
      </c>
      <c r="C18" s="5">
        <v>46233</v>
      </c>
      <c r="D18" s="5">
        <v>46239</v>
      </c>
      <c r="E18" s="3" t="s">
        <v>1385</v>
      </c>
      <c r="F18" s="12">
        <v>6</v>
      </c>
      <c r="G18" s="3">
        <v>4820</v>
      </c>
      <c r="H18" s="3">
        <v>33.450000000000003</v>
      </c>
      <c r="I18" s="3">
        <v>860</v>
      </c>
      <c r="J18" s="3">
        <v>1</v>
      </c>
      <c r="K18" s="4">
        <f t="shared" si="0"/>
        <v>33.488372093023258</v>
      </c>
      <c r="L18" s="3"/>
      <c r="M18" s="1">
        <v>21.9</v>
      </c>
      <c r="N18" s="1">
        <v>42.2</v>
      </c>
      <c r="O18" s="2">
        <f t="shared" si="1"/>
        <v>42.2</v>
      </c>
      <c r="P18" s="1">
        <v>150</v>
      </c>
      <c r="Q18" s="1">
        <v>4.0999999999999996</v>
      </c>
      <c r="R18" s="1" t="s">
        <v>92</v>
      </c>
      <c r="S18" s="1" t="s">
        <v>1274</v>
      </c>
      <c r="T18" s="11" t="s">
        <v>1046</v>
      </c>
      <c r="U18" s="1" t="s">
        <v>1387</v>
      </c>
      <c r="V18" s="14">
        <v>0.02</v>
      </c>
      <c r="W18" s="1" t="s">
        <v>94</v>
      </c>
      <c r="X18" s="1" t="s">
        <v>94</v>
      </c>
      <c r="Y18" s="1" t="s">
        <v>120</v>
      </c>
      <c r="Z18" s="1"/>
    </row>
    <row r="19" spans="1:26" ht="24.9" customHeight="1" x14ac:dyDescent="0.3">
      <c r="A19" s="3" t="s">
        <v>41</v>
      </c>
      <c r="B19" s="3" t="s">
        <v>1004</v>
      </c>
      <c r="C19" s="5">
        <v>46233</v>
      </c>
      <c r="D19" s="3" t="s">
        <v>1404</v>
      </c>
      <c r="E19" s="3" t="s">
        <v>1385</v>
      </c>
      <c r="F19" s="12">
        <v>6</v>
      </c>
      <c r="G19" s="3">
        <v>5100</v>
      </c>
      <c r="H19" s="3">
        <v>33.450000000000003</v>
      </c>
      <c r="I19" s="3">
        <v>860</v>
      </c>
      <c r="J19" s="3">
        <v>1</v>
      </c>
      <c r="K19" s="4">
        <f t="shared" si="0"/>
        <v>33.488372093023258</v>
      </c>
      <c r="L19" s="3"/>
      <c r="M19" s="1">
        <v>16.5</v>
      </c>
      <c r="N19" s="1">
        <v>42.2</v>
      </c>
      <c r="O19" s="2">
        <f t="shared" si="1"/>
        <v>42.2</v>
      </c>
      <c r="P19" s="1">
        <v>150</v>
      </c>
      <c r="Q19" s="1">
        <v>4.0999999999999996</v>
      </c>
      <c r="R19" s="1" t="s">
        <v>92</v>
      </c>
      <c r="S19" s="1" t="s">
        <v>1274</v>
      </c>
      <c r="T19" s="11" t="s">
        <v>1046</v>
      </c>
      <c r="U19" s="1" t="s">
        <v>1387</v>
      </c>
      <c r="V19" s="14">
        <v>0.02</v>
      </c>
      <c r="W19" s="1" t="s">
        <v>94</v>
      </c>
      <c r="X19" s="1" t="s">
        <v>94</v>
      </c>
      <c r="Y19" s="1" t="s">
        <v>120</v>
      </c>
      <c r="Z19" s="1"/>
    </row>
    <row r="20" spans="1:26" ht="24.9" customHeight="1" x14ac:dyDescent="0.3">
      <c r="A20" s="3" t="s">
        <v>42</v>
      </c>
      <c r="B20" s="3" t="s">
        <v>977</v>
      </c>
      <c r="C20" s="5">
        <v>46246</v>
      </c>
      <c r="D20" s="5">
        <v>46251</v>
      </c>
      <c r="E20" s="3" t="s">
        <v>1431</v>
      </c>
      <c r="F20" s="12">
        <v>6</v>
      </c>
      <c r="G20" s="3">
        <v>8000</v>
      </c>
      <c r="H20" s="3">
        <v>34.35</v>
      </c>
      <c r="I20" s="3">
        <v>1676</v>
      </c>
      <c r="J20" s="3">
        <v>2</v>
      </c>
      <c r="K20" s="4">
        <f t="shared" si="0"/>
        <v>34.367541766109788</v>
      </c>
      <c r="L20" s="3"/>
      <c r="M20" s="1">
        <v>0.5</v>
      </c>
      <c r="N20" s="1">
        <v>8.3000000000000007</v>
      </c>
      <c r="O20" s="2">
        <f t="shared" si="1"/>
        <v>4.1500000000000004</v>
      </c>
      <c r="P20" s="1">
        <v>4000</v>
      </c>
      <c r="Q20" s="1">
        <v>2</v>
      </c>
      <c r="R20" s="11" t="s">
        <v>981</v>
      </c>
      <c r="S20" s="1" t="s">
        <v>1392</v>
      </c>
      <c r="T20" s="11" t="s">
        <v>1432</v>
      </c>
      <c r="U20" s="1" t="s">
        <v>1433</v>
      </c>
      <c r="V20" s="14">
        <v>0.02</v>
      </c>
      <c r="W20" s="1" t="s">
        <v>1068</v>
      </c>
      <c r="X20" s="1"/>
      <c r="Y20" s="1"/>
      <c r="Z20" s="1"/>
    </row>
    <row r="21" spans="1:26" ht="24.9" customHeight="1" x14ac:dyDescent="0.3">
      <c r="A21" s="3" t="s">
        <v>43</v>
      </c>
      <c r="B21" s="3" t="s">
        <v>978</v>
      </c>
      <c r="C21" s="5">
        <v>46246</v>
      </c>
      <c r="D21" s="5">
        <v>46251</v>
      </c>
      <c r="E21" s="3" t="s">
        <v>1431</v>
      </c>
      <c r="F21" s="12">
        <v>6</v>
      </c>
      <c r="G21" s="3">
        <v>9000</v>
      </c>
      <c r="H21" s="3">
        <v>34.35</v>
      </c>
      <c r="I21" s="3">
        <v>1676</v>
      </c>
      <c r="J21" s="3">
        <v>2</v>
      </c>
      <c r="K21" s="4">
        <f t="shared" si="0"/>
        <v>34.367541766109788</v>
      </c>
      <c r="L21" s="3"/>
      <c r="M21" s="1">
        <v>0.3</v>
      </c>
      <c r="N21" s="1">
        <v>8.3000000000000007</v>
      </c>
      <c r="O21" s="2">
        <f t="shared" si="1"/>
        <v>4.1500000000000004</v>
      </c>
      <c r="P21" s="1">
        <v>8000</v>
      </c>
      <c r="Q21" s="1">
        <v>2.4</v>
      </c>
      <c r="R21" s="11" t="s">
        <v>981</v>
      </c>
      <c r="S21" s="1" t="s">
        <v>1392</v>
      </c>
      <c r="T21" s="11" t="s">
        <v>1432</v>
      </c>
      <c r="U21" s="1" t="s">
        <v>1433</v>
      </c>
      <c r="V21" s="14">
        <v>0.02</v>
      </c>
      <c r="W21" s="1" t="s">
        <v>1068</v>
      </c>
      <c r="X21" s="1"/>
      <c r="Y21" s="1"/>
      <c r="Z21" s="1"/>
    </row>
    <row r="22" spans="1:26" ht="24.9" customHeight="1" x14ac:dyDescent="0.3">
      <c r="A22" s="3" t="s">
        <v>44</v>
      </c>
      <c r="B22" s="3" t="s">
        <v>979</v>
      </c>
      <c r="C22" s="5">
        <v>46246</v>
      </c>
      <c r="D22" s="5">
        <v>46251</v>
      </c>
      <c r="E22" s="3" t="s">
        <v>1431</v>
      </c>
      <c r="F22" s="12">
        <v>6</v>
      </c>
      <c r="G22" s="3">
        <v>9000</v>
      </c>
      <c r="H22" s="3">
        <v>34.35</v>
      </c>
      <c r="I22" s="3">
        <v>1676</v>
      </c>
      <c r="J22" s="3">
        <v>2</v>
      </c>
      <c r="K22" s="4">
        <f t="shared" si="0"/>
        <v>34.367541766109788</v>
      </c>
      <c r="L22" s="3"/>
      <c r="M22" s="1">
        <v>2.2000000000000002</v>
      </c>
      <c r="N22" s="1">
        <v>8.3000000000000007</v>
      </c>
      <c r="O22" s="2">
        <f t="shared" si="1"/>
        <v>4.1500000000000004</v>
      </c>
      <c r="P22" s="1">
        <v>2000</v>
      </c>
      <c r="Q22" s="1">
        <v>5</v>
      </c>
      <c r="R22" s="1" t="s">
        <v>92</v>
      </c>
      <c r="S22" s="1" t="s">
        <v>1392</v>
      </c>
      <c r="T22" s="11" t="s">
        <v>1432</v>
      </c>
      <c r="U22" s="1" t="s">
        <v>1433</v>
      </c>
      <c r="V22" s="14">
        <v>0.02</v>
      </c>
      <c r="W22" s="1" t="s">
        <v>1068</v>
      </c>
      <c r="X22" s="1"/>
      <c r="Y22" s="1"/>
      <c r="Z22" s="1"/>
    </row>
    <row r="23" spans="1:26" ht="24.9" customHeight="1" x14ac:dyDescent="0.3">
      <c r="A23" s="3" t="s">
        <v>45</v>
      </c>
      <c r="B23" s="3"/>
      <c r="C23" s="5"/>
      <c r="D23" s="3"/>
      <c r="E23" s="3"/>
      <c r="F23" s="12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5"/>
      <c r="D24" s="3"/>
      <c r="E24" s="3"/>
      <c r="F24" s="12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5"/>
      <c r="D25" s="3"/>
      <c r="E25" s="3"/>
      <c r="F25" s="12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5"/>
      <c r="D26" s="3"/>
      <c r="E26" s="3"/>
      <c r="F26" s="12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5"/>
      <c r="D27" s="3"/>
      <c r="E27" s="3"/>
      <c r="F27" s="12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12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12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12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12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12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12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12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12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B51D-1A07-4035-B984-C87F81AA800B}">
  <sheetPr codeName="Arkusz7"/>
  <dimension ref="A1:Z59"/>
  <sheetViews>
    <sheetView workbookViewId="0">
      <selection activeCell="B5" sqref="B5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954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955</v>
      </c>
      <c r="C3" s="5">
        <v>46134</v>
      </c>
      <c r="D3" s="5">
        <v>46136</v>
      </c>
      <c r="E3" s="5" t="s">
        <v>956</v>
      </c>
      <c r="F3" s="3">
        <v>5</v>
      </c>
      <c r="G3" s="3">
        <v>20000</v>
      </c>
      <c r="H3" s="3">
        <v>13.5</v>
      </c>
      <c r="I3" s="3">
        <v>4266</v>
      </c>
      <c r="J3" s="3">
        <v>2</v>
      </c>
      <c r="K3" s="4">
        <f>(3600/(I3/8))*J3</f>
        <v>13.502109704641351</v>
      </c>
      <c r="L3" s="3">
        <v>940</v>
      </c>
      <c r="M3" s="1">
        <v>6.5</v>
      </c>
      <c r="N3" s="1">
        <v>15.7</v>
      </c>
      <c r="O3" s="2">
        <f>N3/J3</f>
        <v>7.85</v>
      </c>
      <c r="P3" s="1">
        <v>600</v>
      </c>
      <c r="Q3" s="1">
        <v>4.5999999999999996</v>
      </c>
      <c r="R3" s="1" t="s">
        <v>92</v>
      </c>
      <c r="S3" s="6" t="s">
        <v>818</v>
      </c>
      <c r="T3" s="1" t="s">
        <v>957</v>
      </c>
      <c r="U3" s="1"/>
      <c r="V3" s="1"/>
      <c r="W3" s="1" t="s">
        <v>678</v>
      </c>
      <c r="X3" s="1"/>
      <c r="Y3" s="1"/>
      <c r="Z3" s="1"/>
    </row>
    <row r="4" spans="1:26" ht="24.9" customHeight="1" x14ac:dyDescent="0.3">
      <c r="A4" s="3" t="s">
        <v>26</v>
      </c>
      <c r="B4" s="3" t="s">
        <v>1406</v>
      </c>
      <c r="C4" s="5">
        <v>46239</v>
      </c>
      <c r="D4" s="5">
        <v>46241</v>
      </c>
      <c r="E4" s="3" t="s">
        <v>1407</v>
      </c>
      <c r="F4" s="3">
        <v>6</v>
      </c>
      <c r="G4" s="3">
        <v>40000</v>
      </c>
      <c r="H4" s="3">
        <v>14.47</v>
      </c>
      <c r="I4" s="3">
        <v>7960</v>
      </c>
      <c r="J4" s="3">
        <v>4</v>
      </c>
      <c r="K4" s="4">
        <f t="shared" ref="K4:K59" si="0">(3600/(I4/8))*J4</f>
        <v>14.472361809045227</v>
      </c>
      <c r="L4" s="3"/>
      <c r="M4" s="1">
        <v>6.4</v>
      </c>
      <c r="N4" s="1">
        <v>28.1</v>
      </c>
      <c r="O4" s="2">
        <f t="shared" ref="O4:O59" si="1">N4/J4</f>
        <v>7.0250000000000004</v>
      </c>
      <c r="P4" s="1">
        <v>600</v>
      </c>
      <c r="Q4" s="1">
        <v>4.5999999999999996</v>
      </c>
      <c r="R4" s="1" t="s">
        <v>92</v>
      </c>
      <c r="S4" s="6" t="s">
        <v>1392</v>
      </c>
      <c r="T4" s="1" t="s">
        <v>957</v>
      </c>
      <c r="U4" s="1"/>
      <c r="V4" s="1"/>
      <c r="W4" s="1"/>
      <c r="X4" s="1"/>
      <c r="Y4" s="1"/>
      <c r="Z4" s="1"/>
    </row>
    <row r="5" spans="1:26" ht="24.9" customHeight="1" x14ac:dyDescent="0.3">
      <c r="A5" s="3" t="s">
        <v>27</v>
      </c>
      <c r="B5" s="3" t="s">
        <v>1795</v>
      </c>
      <c r="C5" s="5">
        <v>46302</v>
      </c>
      <c r="D5" s="5">
        <v>46303</v>
      </c>
      <c r="E5" s="3" t="s">
        <v>1796</v>
      </c>
      <c r="F5" s="3">
        <v>3</v>
      </c>
      <c r="G5" s="3">
        <v>5100</v>
      </c>
      <c r="H5" s="3">
        <v>16.3</v>
      </c>
      <c r="I5" s="3">
        <v>1760</v>
      </c>
      <c r="J5" s="3">
        <v>1</v>
      </c>
      <c r="K5" s="4">
        <f t="shared" si="0"/>
        <v>16.363636363636363</v>
      </c>
      <c r="L5" s="3"/>
      <c r="M5" s="1">
        <v>8.5</v>
      </c>
      <c r="N5" s="1">
        <v>9.5</v>
      </c>
      <c r="O5" s="2">
        <f t="shared" si="1"/>
        <v>9.5</v>
      </c>
      <c r="P5" s="1">
        <v>600</v>
      </c>
      <c r="Q5" s="1">
        <v>5.8</v>
      </c>
      <c r="R5" s="1" t="s">
        <v>92</v>
      </c>
      <c r="S5" s="1" t="s">
        <v>1739</v>
      </c>
      <c r="T5" s="1" t="s">
        <v>1797</v>
      </c>
      <c r="U5" s="1"/>
      <c r="V5" s="1"/>
      <c r="W5" s="1" t="s">
        <v>103</v>
      </c>
      <c r="X5" s="1" t="s">
        <v>678</v>
      </c>
      <c r="Y5" s="1" t="s">
        <v>151</v>
      </c>
      <c r="Z5" s="1"/>
    </row>
    <row r="6" spans="1:26" ht="24.9" customHeight="1" x14ac:dyDescent="0.3">
      <c r="A6" s="3" t="s">
        <v>28</v>
      </c>
      <c r="B6" s="3" t="s">
        <v>1798</v>
      </c>
      <c r="C6" s="5">
        <v>46301</v>
      </c>
      <c r="D6" s="5">
        <v>46303</v>
      </c>
      <c r="E6" s="3" t="s">
        <v>1799</v>
      </c>
      <c r="F6" s="3">
        <v>4</v>
      </c>
      <c r="G6" s="3">
        <v>12000</v>
      </c>
      <c r="H6" s="3">
        <v>19.2</v>
      </c>
      <c r="I6" s="3">
        <v>3000</v>
      </c>
      <c r="J6" s="3">
        <v>2</v>
      </c>
      <c r="K6" s="4">
        <f t="shared" si="0"/>
        <v>19.2</v>
      </c>
      <c r="L6" s="3">
        <v>156</v>
      </c>
      <c r="M6" s="1">
        <v>6.8</v>
      </c>
      <c r="N6" s="1">
        <v>16.3</v>
      </c>
      <c r="O6" s="2">
        <f t="shared" si="1"/>
        <v>8.15</v>
      </c>
      <c r="P6" s="1">
        <v>600</v>
      </c>
      <c r="Q6" s="1">
        <v>4.7</v>
      </c>
      <c r="R6" s="1" t="s">
        <v>92</v>
      </c>
      <c r="S6" s="1" t="s">
        <v>1739</v>
      </c>
      <c r="T6" s="1" t="s">
        <v>1800</v>
      </c>
      <c r="U6" s="1"/>
      <c r="V6" s="1"/>
      <c r="W6" s="1" t="s">
        <v>103</v>
      </c>
      <c r="X6" s="1" t="s">
        <v>678</v>
      </c>
      <c r="Y6" s="1" t="s">
        <v>151</v>
      </c>
      <c r="Z6" s="1"/>
    </row>
    <row r="7" spans="1:26" ht="24.9" customHeight="1" x14ac:dyDescent="0.3">
      <c r="A7" s="3" t="s">
        <v>29</v>
      </c>
      <c r="B7" s="3" t="s">
        <v>1406</v>
      </c>
      <c r="C7" s="5">
        <v>46303</v>
      </c>
      <c r="D7" s="3"/>
      <c r="E7" s="3" t="s">
        <v>1810</v>
      </c>
      <c r="F7" s="3">
        <v>4</v>
      </c>
      <c r="G7" s="3"/>
      <c r="H7" s="3"/>
      <c r="I7" s="3"/>
      <c r="J7" s="3">
        <v>4</v>
      </c>
      <c r="K7" s="4" t="e">
        <f t="shared" si="0"/>
        <v>#DIV/0!</v>
      </c>
      <c r="L7" s="3"/>
      <c r="M7" s="1">
        <v>6.6</v>
      </c>
      <c r="N7" s="1">
        <v>29.9</v>
      </c>
      <c r="O7" s="2">
        <f t="shared" si="1"/>
        <v>7.4749999999999996</v>
      </c>
      <c r="P7" s="1">
        <v>600</v>
      </c>
      <c r="Q7" s="1">
        <v>4.5999999999999996</v>
      </c>
      <c r="R7" s="1" t="s">
        <v>92</v>
      </c>
      <c r="S7" s="1" t="s">
        <v>1739</v>
      </c>
      <c r="T7" s="1" t="s">
        <v>1800</v>
      </c>
      <c r="U7" s="1"/>
      <c r="V7" s="1"/>
      <c r="W7" s="1" t="s">
        <v>678</v>
      </c>
      <c r="X7" s="1"/>
      <c r="Y7" s="1"/>
      <c r="Z7" s="1"/>
    </row>
    <row r="8" spans="1:26" ht="24.9" customHeight="1" x14ac:dyDescent="0.3">
      <c r="A8" s="3" t="s">
        <v>30</v>
      </c>
      <c r="B8" s="3"/>
      <c r="C8" s="5"/>
      <c r="D8" s="5"/>
      <c r="E8" s="5"/>
      <c r="F8" s="3"/>
      <c r="G8" s="3"/>
      <c r="H8" s="3"/>
      <c r="I8" s="3"/>
      <c r="J8" s="3"/>
      <c r="K8" s="4" t="e">
        <f t="shared" si="0"/>
        <v>#DIV/0!</v>
      </c>
      <c r="L8" s="3"/>
      <c r="M8" s="1"/>
      <c r="N8" s="1"/>
      <c r="O8" s="2" t="e">
        <f t="shared" si="1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DA94-3432-4A0B-8FEC-EDB6C23B87C3}">
  <sheetPr codeName="Arkusz8"/>
  <dimension ref="A1:Z59"/>
  <sheetViews>
    <sheetView workbookViewId="0">
      <selection activeCell="B5" sqref="B5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/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859</v>
      </c>
      <c r="C3" s="5">
        <v>46119</v>
      </c>
      <c r="D3" s="5">
        <v>46122</v>
      </c>
      <c r="E3" s="5" t="s">
        <v>860</v>
      </c>
      <c r="F3" s="3">
        <v>5</v>
      </c>
      <c r="G3" s="3">
        <v>20000</v>
      </c>
      <c r="H3" s="3">
        <v>25.04</v>
      </c>
      <c r="I3" s="3">
        <v>2300</v>
      </c>
      <c r="J3" s="3">
        <v>2</v>
      </c>
      <c r="K3" s="4">
        <f>(3600/(I3/8))*J3</f>
        <v>25.043478260869566</v>
      </c>
      <c r="L3" s="3"/>
      <c r="M3" s="1">
        <v>5.7</v>
      </c>
      <c r="N3" s="1">
        <v>13.8</v>
      </c>
      <c r="O3" s="2">
        <f>N3/J3</f>
        <v>6.9</v>
      </c>
      <c r="P3" s="1">
        <v>1000</v>
      </c>
      <c r="Q3" s="1">
        <v>6.25</v>
      </c>
      <c r="R3" s="1" t="s">
        <v>87</v>
      </c>
      <c r="S3" s="6" t="s">
        <v>818</v>
      </c>
      <c r="T3" s="1" t="s">
        <v>861</v>
      </c>
      <c r="U3" s="1"/>
      <c r="V3" s="1"/>
      <c r="W3" s="1" t="s">
        <v>103</v>
      </c>
      <c r="X3" s="1" t="s">
        <v>678</v>
      </c>
      <c r="Y3" s="1" t="s">
        <v>120</v>
      </c>
      <c r="Z3" s="1"/>
    </row>
    <row r="4" spans="1:26" ht="24.9" customHeight="1" x14ac:dyDescent="0.3">
      <c r="A4" s="3" t="s">
        <v>26</v>
      </c>
      <c r="B4" s="3" t="s">
        <v>892</v>
      </c>
      <c r="C4" s="5">
        <v>46124</v>
      </c>
      <c r="D4" s="5">
        <v>46127</v>
      </c>
      <c r="E4" s="3" t="s">
        <v>893</v>
      </c>
      <c r="F4" s="3">
        <v>5</v>
      </c>
      <c r="G4" s="3">
        <v>50100</v>
      </c>
      <c r="H4" s="3">
        <v>30.95</v>
      </c>
      <c r="I4" s="3">
        <v>6513</v>
      </c>
      <c r="J4" s="3">
        <v>7</v>
      </c>
      <c r="K4" s="4">
        <f t="shared" ref="K4:K59" si="0">(3600/(I4/8))*J4</f>
        <v>30.953477660064486</v>
      </c>
      <c r="L4" s="3"/>
      <c r="M4" s="1">
        <v>4.4000000000000004</v>
      </c>
      <c r="N4" s="1">
        <v>30.7</v>
      </c>
      <c r="O4" s="2">
        <f t="shared" ref="O4:O59" si="1">N4/J4</f>
        <v>4.3857142857142852</v>
      </c>
      <c r="P4" s="1">
        <v>330</v>
      </c>
      <c r="Q4" s="1">
        <v>15.1</v>
      </c>
      <c r="R4" s="1" t="s">
        <v>92</v>
      </c>
      <c r="S4" s="6" t="s">
        <v>818</v>
      </c>
      <c r="T4" s="11" t="s">
        <v>915</v>
      </c>
      <c r="U4" s="1" t="s">
        <v>894</v>
      </c>
      <c r="V4" s="1"/>
      <c r="W4" s="1" t="s">
        <v>895</v>
      </c>
      <c r="X4" s="1"/>
      <c r="Y4" s="1"/>
      <c r="Z4" s="1"/>
    </row>
    <row r="5" spans="1:26" ht="24.9" customHeight="1" x14ac:dyDescent="0.3">
      <c r="A5" s="3" t="s">
        <v>27</v>
      </c>
      <c r="B5" s="3"/>
      <c r="C5" s="3"/>
      <c r="D5" s="3"/>
      <c r="E5" s="3"/>
      <c r="F5" s="3"/>
      <c r="G5" s="3"/>
      <c r="H5" s="3"/>
      <c r="I5" s="3"/>
      <c r="J5" s="3"/>
      <c r="K5" s="4" t="e">
        <f t="shared" si="0"/>
        <v>#DIV/0!</v>
      </c>
      <c r="L5" s="3"/>
      <c r="M5" s="1"/>
      <c r="N5" s="1"/>
      <c r="O5" s="2" t="e">
        <f t="shared" si="1"/>
        <v>#DIV/0!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9" customHeight="1" x14ac:dyDescent="0.3">
      <c r="A6" s="3" t="s">
        <v>28</v>
      </c>
      <c r="B6" s="3"/>
      <c r="C6" s="3"/>
      <c r="D6" s="3"/>
      <c r="E6" s="3"/>
      <c r="F6" s="3"/>
      <c r="G6" s="3"/>
      <c r="H6" s="3"/>
      <c r="I6" s="3"/>
      <c r="J6" s="3"/>
      <c r="K6" s="4" t="e">
        <f t="shared" si="0"/>
        <v>#DIV/0!</v>
      </c>
      <c r="L6" s="3"/>
      <c r="M6" s="1"/>
      <c r="N6" s="1"/>
      <c r="O6" s="2" t="e">
        <f t="shared" si="1"/>
        <v>#DIV/0!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9" customHeight="1" x14ac:dyDescent="0.3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4" t="e">
        <f t="shared" si="0"/>
        <v>#DIV/0!</v>
      </c>
      <c r="L7" s="3"/>
      <c r="M7" s="1"/>
      <c r="N7" s="1"/>
      <c r="O7" s="2" t="e">
        <f t="shared" si="1"/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9" customHeight="1" x14ac:dyDescent="0.3">
      <c r="A8" s="3" t="s">
        <v>30</v>
      </c>
      <c r="B8" s="3"/>
      <c r="C8" s="5"/>
      <c r="D8" s="5"/>
      <c r="E8" s="5"/>
      <c r="F8" s="3"/>
      <c r="G8" s="3"/>
      <c r="H8" s="3"/>
      <c r="I8" s="3"/>
      <c r="J8" s="3"/>
      <c r="K8" s="4" t="e">
        <f t="shared" si="0"/>
        <v>#DIV/0!</v>
      </c>
      <c r="L8" s="3"/>
      <c r="M8" s="1"/>
      <c r="N8" s="1"/>
      <c r="O8" s="2" t="e">
        <f t="shared" si="1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F406-B3B1-4995-BA13-041BF4189142}">
  <sheetPr codeName="Arkusz9"/>
  <dimension ref="A1:Z59"/>
  <sheetViews>
    <sheetView topLeftCell="A7" workbookViewId="0">
      <selection activeCell="V19" sqref="V19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/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316</v>
      </c>
      <c r="C3" s="5">
        <v>46072</v>
      </c>
      <c r="D3" s="5">
        <v>46076</v>
      </c>
      <c r="E3" s="5" t="s">
        <v>317</v>
      </c>
      <c r="F3" s="3">
        <v>1</v>
      </c>
      <c r="G3" s="3">
        <v>105000</v>
      </c>
      <c r="H3" s="3">
        <v>28.3</v>
      </c>
      <c r="I3" s="3">
        <v>1017</v>
      </c>
      <c r="J3" s="3">
        <v>32</v>
      </c>
      <c r="K3" s="4">
        <f>(3600/(I3/8))*J3</f>
        <v>906.19469026548677</v>
      </c>
      <c r="L3" s="3">
        <v>9656</v>
      </c>
      <c r="M3" s="1">
        <v>1.4</v>
      </c>
      <c r="N3" s="1">
        <v>48.5</v>
      </c>
      <c r="O3" s="2">
        <f>N3/J3</f>
        <v>1.515625</v>
      </c>
      <c r="P3" s="1" t="s">
        <v>318</v>
      </c>
      <c r="Q3" s="1">
        <v>30</v>
      </c>
      <c r="R3" s="1" t="s">
        <v>99</v>
      </c>
      <c r="S3" s="6" t="s">
        <v>243</v>
      </c>
      <c r="T3" s="11" t="s">
        <v>319</v>
      </c>
      <c r="U3" s="1" t="s">
        <v>174</v>
      </c>
      <c r="V3" s="14">
        <v>0.01</v>
      </c>
      <c r="W3" s="1" t="s">
        <v>315</v>
      </c>
      <c r="X3" s="1"/>
      <c r="Y3" s="1"/>
      <c r="Z3" s="1"/>
    </row>
    <row r="4" spans="1:26" ht="24.9" customHeight="1" x14ac:dyDescent="0.3">
      <c r="A4" s="3" t="s">
        <v>26</v>
      </c>
      <c r="B4" s="3" t="s">
        <v>322</v>
      </c>
      <c r="C4" s="5">
        <v>46076</v>
      </c>
      <c r="D4" s="5">
        <v>46079</v>
      </c>
      <c r="E4" s="3" t="s">
        <v>317</v>
      </c>
      <c r="F4" s="3">
        <v>1</v>
      </c>
      <c r="G4" s="3">
        <v>201000</v>
      </c>
      <c r="H4" s="3">
        <v>28.1</v>
      </c>
      <c r="I4" s="3">
        <v>1025</v>
      </c>
      <c r="J4" s="3">
        <v>32</v>
      </c>
      <c r="K4" s="4">
        <f t="shared" ref="K4:K59" si="0">(3600/(I4/8))*J4</f>
        <v>899.1219512195122</v>
      </c>
      <c r="L4" s="3">
        <v>6616</v>
      </c>
      <c r="M4" s="1">
        <v>1.4</v>
      </c>
      <c r="N4" s="1">
        <v>48.5</v>
      </c>
      <c r="O4" s="2">
        <f t="shared" ref="O4:O59" si="1">N4/J4</f>
        <v>1.515625</v>
      </c>
      <c r="P4" s="1" t="s">
        <v>318</v>
      </c>
      <c r="Q4" s="1">
        <v>30</v>
      </c>
      <c r="R4" s="1" t="s">
        <v>99</v>
      </c>
      <c r="S4" s="6" t="s">
        <v>237</v>
      </c>
      <c r="T4" s="1" t="s">
        <v>323</v>
      </c>
      <c r="U4" s="1" t="s">
        <v>324</v>
      </c>
      <c r="V4" s="14">
        <v>0.01</v>
      </c>
      <c r="W4" s="1" t="s">
        <v>103</v>
      </c>
      <c r="X4" s="1"/>
      <c r="Y4" s="1"/>
      <c r="Z4" s="1"/>
    </row>
    <row r="5" spans="1:26" ht="24.9" customHeight="1" x14ac:dyDescent="0.3">
      <c r="A5" s="3" t="s">
        <v>27</v>
      </c>
      <c r="B5" s="3" t="s">
        <v>320</v>
      </c>
      <c r="C5" s="5">
        <v>46073</v>
      </c>
      <c r="D5" s="5">
        <v>46079</v>
      </c>
      <c r="E5" s="3" t="s">
        <v>321</v>
      </c>
      <c r="F5" s="3">
        <v>2</v>
      </c>
      <c r="G5" s="3">
        <v>300000</v>
      </c>
      <c r="H5" s="3">
        <v>21.8</v>
      </c>
      <c r="I5" s="3">
        <v>1321</v>
      </c>
      <c r="J5" s="3">
        <v>32</v>
      </c>
      <c r="K5" s="4">
        <f t="shared" si="0"/>
        <v>697.65329295987885</v>
      </c>
      <c r="L5" s="3">
        <v>9552</v>
      </c>
      <c r="M5" s="1">
        <v>1.3</v>
      </c>
      <c r="N5" s="1">
        <v>47.7</v>
      </c>
      <c r="O5" s="2">
        <f t="shared" si="1"/>
        <v>1.4906250000000001</v>
      </c>
      <c r="P5" s="1" t="s">
        <v>318</v>
      </c>
      <c r="Q5" s="1">
        <v>30</v>
      </c>
      <c r="R5" s="1" t="s">
        <v>99</v>
      </c>
      <c r="S5" s="1" t="s">
        <v>243</v>
      </c>
      <c r="T5" s="19" t="s">
        <v>319</v>
      </c>
      <c r="U5" s="1" t="s">
        <v>174</v>
      </c>
      <c r="V5" s="14">
        <v>0.01</v>
      </c>
      <c r="W5" s="1" t="s">
        <v>315</v>
      </c>
      <c r="X5" s="1"/>
      <c r="Y5" s="1"/>
      <c r="Z5" s="1"/>
    </row>
    <row r="6" spans="1:26" ht="24.9" customHeight="1" x14ac:dyDescent="0.3">
      <c r="A6" s="3" t="s">
        <v>28</v>
      </c>
      <c r="B6" s="3" t="s">
        <v>656</v>
      </c>
      <c r="C6" s="5">
        <v>46080</v>
      </c>
      <c r="D6" s="5">
        <v>46085</v>
      </c>
      <c r="E6" s="3" t="s">
        <v>657</v>
      </c>
      <c r="F6" s="3">
        <v>5</v>
      </c>
      <c r="G6" s="3">
        <v>60000</v>
      </c>
      <c r="H6" s="3">
        <v>20.43</v>
      </c>
      <c r="I6" s="3">
        <v>1409</v>
      </c>
      <c r="J6" s="3">
        <v>8</v>
      </c>
      <c r="K6" s="4">
        <f t="shared" si="0"/>
        <v>163.52022711142655</v>
      </c>
      <c r="L6" s="3">
        <v>9840</v>
      </c>
      <c r="M6" s="1">
        <v>1.9</v>
      </c>
      <c r="N6" s="1">
        <v>16.7</v>
      </c>
      <c r="O6" s="2">
        <f t="shared" si="1"/>
        <v>2.0874999999999999</v>
      </c>
      <c r="P6" s="1" t="s">
        <v>658</v>
      </c>
      <c r="Q6" s="1">
        <v>28</v>
      </c>
      <c r="R6" s="1" t="s">
        <v>99</v>
      </c>
      <c r="S6" s="1" t="s">
        <v>243</v>
      </c>
      <c r="T6" s="1" t="s">
        <v>323</v>
      </c>
      <c r="U6" s="1" t="s">
        <v>324</v>
      </c>
      <c r="V6" s="14">
        <v>0.01</v>
      </c>
      <c r="W6" s="1" t="s">
        <v>103</v>
      </c>
      <c r="X6" s="1"/>
      <c r="Y6" s="1"/>
      <c r="Z6" s="1"/>
    </row>
    <row r="7" spans="1:26" ht="24.9" customHeight="1" x14ac:dyDescent="0.3">
      <c r="A7" s="3" t="s">
        <v>29</v>
      </c>
      <c r="B7" s="3" t="s">
        <v>1119</v>
      </c>
      <c r="C7" s="5">
        <v>46164</v>
      </c>
      <c r="D7" s="5">
        <v>46167</v>
      </c>
      <c r="E7" s="3" t="s">
        <v>1120</v>
      </c>
      <c r="F7" s="3">
        <v>8</v>
      </c>
      <c r="G7" s="3">
        <v>142500</v>
      </c>
      <c r="H7" s="3">
        <v>21.2</v>
      </c>
      <c r="I7" s="3">
        <v>73471</v>
      </c>
      <c r="J7" s="3">
        <v>32</v>
      </c>
      <c r="K7" s="4">
        <f t="shared" si="0"/>
        <v>12.543724734929429</v>
      </c>
      <c r="L7" s="3"/>
      <c r="M7" s="1">
        <v>1.3</v>
      </c>
      <c r="N7" s="1">
        <v>53</v>
      </c>
      <c r="O7" s="2">
        <f t="shared" si="1"/>
        <v>1.65625</v>
      </c>
      <c r="P7" s="1" t="s">
        <v>318</v>
      </c>
      <c r="Q7" s="1">
        <v>30</v>
      </c>
      <c r="R7" s="1" t="s">
        <v>99</v>
      </c>
      <c r="S7" s="1" t="s">
        <v>1017</v>
      </c>
      <c r="T7" s="19" t="s">
        <v>319</v>
      </c>
      <c r="U7" s="1" t="s">
        <v>174</v>
      </c>
      <c r="V7" s="14">
        <v>0.01</v>
      </c>
      <c r="W7" s="1" t="s">
        <v>94</v>
      </c>
      <c r="X7" s="1" t="s">
        <v>678</v>
      </c>
      <c r="Y7" s="1" t="s">
        <v>120</v>
      </c>
      <c r="Z7" s="1"/>
    </row>
    <row r="8" spans="1:26" ht="24.9" customHeight="1" x14ac:dyDescent="0.3">
      <c r="A8" s="3" t="s">
        <v>30</v>
      </c>
      <c r="B8" s="3" t="s">
        <v>1121</v>
      </c>
      <c r="C8" s="5">
        <v>46167</v>
      </c>
      <c r="D8" s="5">
        <v>46168</v>
      </c>
      <c r="E8" s="5" t="s">
        <v>1122</v>
      </c>
      <c r="F8" s="3">
        <v>8</v>
      </c>
      <c r="G8" s="3">
        <v>160000</v>
      </c>
      <c r="H8" s="3">
        <v>19</v>
      </c>
      <c r="I8" s="3">
        <v>48505</v>
      </c>
      <c r="J8" s="3">
        <v>32</v>
      </c>
      <c r="K8" s="4">
        <f t="shared" si="0"/>
        <v>19.000103082156478</v>
      </c>
      <c r="L8" s="3"/>
      <c r="M8" s="1">
        <v>2.1</v>
      </c>
      <c r="N8" s="1">
        <v>79.900000000000006</v>
      </c>
      <c r="O8" s="2">
        <f t="shared" si="1"/>
        <v>2.4968750000000002</v>
      </c>
      <c r="P8" s="1" t="s">
        <v>1123</v>
      </c>
      <c r="Q8" s="1"/>
      <c r="R8" s="1" t="s">
        <v>99</v>
      </c>
      <c r="S8" s="1" t="s">
        <v>1045</v>
      </c>
      <c r="T8" s="19" t="s">
        <v>319</v>
      </c>
      <c r="U8" s="1" t="s">
        <v>174</v>
      </c>
      <c r="V8" s="14">
        <v>0.01</v>
      </c>
      <c r="W8" s="1" t="s">
        <v>1124</v>
      </c>
      <c r="X8" s="1" t="s">
        <v>678</v>
      </c>
      <c r="Y8" s="1" t="s">
        <v>120</v>
      </c>
      <c r="Z8" s="1"/>
    </row>
    <row r="9" spans="1:26" ht="24.9" customHeight="1" x14ac:dyDescent="0.3">
      <c r="A9" s="3" t="s">
        <v>31</v>
      </c>
      <c r="B9" s="3" t="s">
        <v>1119</v>
      </c>
      <c r="C9" s="5">
        <v>46199</v>
      </c>
      <c r="D9" s="5">
        <v>46204</v>
      </c>
      <c r="E9" s="3" t="s">
        <v>1248</v>
      </c>
      <c r="F9" s="3" t="s">
        <v>1249</v>
      </c>
      <c r="G9" s="3">
        <v>260000</v>
      </c>
      <c r="H9" s="3">
        <v>20.100000000000001</v>
      </c>
      <c r="I9" s="3">
        <v>45850</v>
      </c>
      <c r="J9" s="3">
        <v>32</v>
      </c>
      <c r="K9" s="4">
        <f t="shared" si="0"/>
        <v>20.100327153762269</v>
      </c>
      <c r="L9" s="3"/>
      <c r="M9" s="1">
        <v>1.3</v>
      </c>
      <c r="N9" s="1">
        <v>48.2</v>
      </c>
      <c r="O9" s="2">
        <f t="shared" si="1"/>
        <v>1.5062500000000001</v>
      </c>
      <c r="P9" s="1" t="s">
        <v>318</v>
      </c>
      <c r="Q9" s="1"/>
      <c r="R9" s="1" t="s">
        <v>99</v>
      </c>
      <c r="S9" s="1" t="s">
        <v>1156</v>
      </c>
      <c r="T9" s="19" t="s">
        <v>319</v>
      </c>
      <c r="U9" s="1" t="s">
        <v>174</v>
      </c>
      <c r="V9" s="14">
        <v>0.01</v>
      </c>
      <c r="W9" s="1"/>
      <c r="X9" s="1"/>
      <c r="Y9" s="1"/>
      <c r="Z9" s="1"/>
    </row>
    <row r="10" spans="1:26" ht="24.9" customHeight="1" x14ac:dyDescent="0.3">
      <c r="A10" s="3" t="s">
        <v>32</v>
      </c>
      <c r="B10" s="3" t="s">
        <v>1121</v>
      </c>
      <c r="C10" s="5">
        <v>46217</v>
      </c>
      <c r="D10" s="5">
        <v>46219</v>
      </c>
      <c r="E10" s="3" t="s">
        <v>1308</v>
      </c>
      <c r="F10" s="3">
        <v>7</v>
      </c>
      <c r="G10" s="3">
        <v>247000</v>
      </c>
      <c r="H10" s="3">
        <v>20.6</v>
      </c>
      <c r="I10" s="3">
        <v>5592</v>
      </c>
      <c r="J10" s="3">
        <v>32</v>
      </c>
      <c r="K10" s="4">
        <f t="shared" si="0"/>
        <v>164.8068669527897</v>
      </c>
      <c r="L10" s="3"/>
      <c r="M10" s="1">
        <v>2.2000000000000002</v>
      </c>
      <c r="N10" s="1">
        <v>79.2</v>
      </c>
      <c r="O10" s="2">
        <f t="shared" si="1"/>
        <v>2.4750000000000001</v>
      </c>
      <c r="P10" s="1" t="s">
        <v>1123</v>
      </c>
      <c r="Q10" s="1"/>
      <c r="R10" s="1" t="s">
        <v>99</v>
      </c>
      <c r="S10" s="1" t="s">
        <v>1252</v>
      </c>
      <c r="T10" s="19" t="s">
        <v>319</v>
      </c>
      <c r="U10" s="1" t="s">
        <v>174</v>
      </c>
      <c r="V10" s="14">
        <v>0.01</v>
      </c>
      <c r="W10" s="1" t="s">
        <v>94</v>
      </c>
      <c r="X10" s="1" t="s">
        <v>678</v>
      </c>
      <c r="Y10" s="1" t="s">
        <v>120</v>
      </c>
      <c r="Z10" s="1"/>
    </row>
    <row r="11" spans="1:26" ht="24.9" customHeight="1" x14ac:dyDescent="0.3">
      <c r="A11" s="3" t="s">
        <v>33</v>
      </c>
      <c r="B11" s="3" t="s">
        <v>1714</v>
      </c>
      <c r="C11" s="5">
        <v>46288</v>
      </c>
      <c r="D11" s="5">
        <v>46294</v>
      </c>
      <c r="E11" s="3" t="s">
        <v>1715</v>
      </c>
      <c r="F11" s="3">
        <v>2</v>
      </c>
      <c r="G11" s="3">
        <v>292000</v>
      </c>
      <c r="H11" s="3">
        <v>21.8</v>
      </c>
      <c r="I11" s="3">
        <v>42275</v>
      </c>
      <c r="J11" s="3">
        <v>32</v>
      </c>
      <c r="K11" s="4">
        <f t="shared" si="0"/>
        <v>21.800118273211119</v>
      </c>
      <c r="L11" s="3"/>
      <c r="M11" s="1">
        <v>1.8</v>
      </c>
      <c r="N11" s="1">
        <v>63</v>
      </c>
      <c r="O11" s="2">
        <f t="shared" si="1"/>
        <v>1.96875</v>
      </c>
      <c r="P11" s="1" t="s">
        <v>318</v>
      </c>
      <c r="Q11" s="1"/>
      <c r="R11" s="1" t="s">
        <v>99</v>
      </c>
      <c r="S11" s="1" t="s">
        <v>1533</v>
      </c>
      <c r="T11" s="19" t="s">
        <v>319</v>
      </c>
      <c r="U11" s="1" t="s">
        <v>174</v>
      </c>
      <c r="V11" s="14">
        <v>0.01</v>
      </c>
      <c r="W11" s="1" t="s">
        <v>670</v>
      </c>
      <c r="X11" s="1"/>
      <c r="Y11" s="1"/>
      <c r="Z11" s="1"/>
    </row>
    <row r="12" spans="1:26" ht="24.9" customHeight="1" x14ac:dyDescent="0.3">
      <c r="A12" s="3" t="s">
        <v>34</v>
      </c>
      <c r="B12" s="3" t="s">
        <v>1121</v>
      </c>
      <c r="C12" s="5">
        <v>46300</v>
      </c>
      <c r="D12" s="5">
        <v>46304</v>
      </c>
      <c r="E12" s="3" t="s">
        <v>1746</v>
      </c>
      <c r="F12" s="3">
        <v>1</v>
      </c>
      <c r="G12" s="3">
        <v>310000</v>
      </c>
      <c r="H12" s="3">
        <v>23.3</v>
      </c>
      <c r="I12" s="3">
        <v>39550</v>
      </c>
      <c r="J12" s="3">
        <v>32</v>
      </c>
      <c r="K12" s="4">
        <f t="shared" si="0"/>
        <v>23.302149178255373</v>
      </c>
      <c r="L12" s="3">
        <v>12099</v>
      </c>
      <c r="M12" s="1">
        <v>2.2000000000000002</v>
      </c>
      <c r="N12" s="1">
        <v>77.599999999999994</v>
      </c>
      <c r="O12" s="2">
        <f t="shared" si="1"/>
        <v>2.4249999999999998</v>
      </c>
      <c r="P12" s="1" t="s">
        <v>1123</v>
      </c>
      <c r="Q12" s="1"/>
      <c r="R12" s="1" t="s">
        <v>99</v>
      </c>
      <c r="S12" s="1" t="s">
        <v>1739</v>
      </c>
      <c r="T12" s="19" t="s">
        <v>319</v>
      </c>
      <c r="U12" s="1" t="s">
        <v>174</v>
      </c>
      <c r="V12" s="14">
        <v>0.01</v>
      </c>
      <c r="W12" s="1" t="s">
        <v>1747</v>
      </c>
      <c r="X12" s="1" t="s">
        <v>678</v>
      </c>
      <c r="Y12" s="1" t="s">
        <v>151</v>
      </c>
      <c r="Z12" s="1"/>
    </row>
    <row r="13" spans="1:26" ht="24.9" customHeight="1" x14ac:dyDescent="0.3">
      <c r="A13" s="3" t="s">
        <v>35</v>
      </c>
      <c r="B13" s="3" t="s">
        <v>1119</v>
      </c>
      <c r="C13" s="5">
        <v>46289</v>
      </c>
      <c r="D13" s="5">
        <v>46300</v>
      </c>
      <c r="E13" s="3" t="s">
        <v>1790</v>
      </c>
      <c r="F13" s="3">
        <v>1</v>
      </c>
      <c r="G13" s="3">
        <v>405000</v>
      </c>
      <c r="H13" s="3">
        <v>20</v>
      </c>
      <c r="I13" s="3">
        <v>46080</v>
      </c>
      <c r="J13" s="3">
        <v>32</v>
      </c>
      <c r="K13" s="4">
        <f t="shared" si="0"/>
        <v>20</v>
      </c>
      <c r="L13" s="3"/>
      <c r="M13" s="1">
        <v>1.3</v>
      </c>
      <c r="N13" s="1">
        <v>48.5</v>
      </c>
      <c r="O13" s="2">
        <f t="shared" si="1"/>
        <v>1.515625</v>
      </c>
      <c r="P13" s="1" t="s">
        <v>318</v>
      </c>
      <c r="Q13" s="1"/>
      <c r="R13" s="1" t="s">
        <v>99</v>
      </c>
      <c r="S13" s="1" t="s">
        <v>1533</v>
      </c>
      <c r="T13" s="19" t="s">
        <v>319</v>
      </c>
      <c r="U13" s="1" t="s">
        <v>174</v>
      </c>
      <c r="V13" s="14">
        <v>0.01</v>
      </c>
      <c r="W13" s="1" t="s">
        <v>1124</v>
      </c>
      <c r="X13" s="1" t="s">
        <v>94</v>
      </c>
      <c r="Y13" s="1"/>
      <c r="Z13" s="1"/>
    </row>
    <row r="14" spans="1:26" ht="24.9" customHeight="1" x14ac:dyDescent="0.3">
      <c r="A14" s="3" t="s">
        <v>36</v>
      </c>
      <c r="B14" s="3" t="s">
        <v>1791</v>
      </c>
      <c r="C14" s="5">
        <v>46294</v>
      </c>
      <c r="D14" s="5">
        <v>46300</v>
      </c>
      <c r="E14" s="3" t="s">
        <v>1792</v>
      </c>
      <c r="F14" s="3">
        <v>2</v>
      </c>
      <c r="G14" s="3">
        <v>290000</v>
      </c>
      <c r="H14" s="3">
        <v>21.3</v>
      </c>
      <c r="I14" s="3">
        <v>43300</v>
      </c>
      <c r="J14" s="3">
        <v>32</v>
      </c>
      <c r="K14" s="4">
        <f t="shared" si="0"/>
        <v>21.284064665127019</v>
      </c>
      <c r="L14" s="3"/>
      <c r="M14" s="1">
        <v>1.4</v>
      </c>
      <c r="N14" s="1">
        <v>52.3</v>
      </c>
      <c r="O14" s="2">
        <f t="shared" si="1"/>
        <v>1.6343749999999999</v>
      </c>
      <c r="P14" s="1" t="s">
        <v>318</v>
      </c>
      <c r="Q14" s="1"/>
      <c r="R14" s="1" t="s">
        <v>99</v>
      </c>
      <c r="S14" s="1" t="s">
        <v>1533</v>
      </c>
      <c r="T14" s="1" t="s">
        <v>1793</v>
      </c>
      <c r="U14" s="1" t="s">
        <v>324</v>
      </c>
      <c r="V14" s="14">
        <v>0.01</v>
      </c>
      <c r="W14" s="1" t="s">
        <v>94</v>
      </c>
      <c r="X14" s="1" t="s">
        <v>94</v>
      </c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DAB5-2E6C-49A6-A906-96B62ABFBA06}">
  <sheetPr codeName="Arkusz10"/>
  <dimension ref="A1:Z59"/>
  <sheetViews>
    <sheetView workbookViewId="0">
      <selection activeCell="M12" sqref="M12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/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304</v>
      </c>
      <c r="C3" s="5">
        <v>46063</v>
      </c>
      <c r="D3" s="5">
        <v>46069</v>
      </c>
      <c r="E3" s="5" t="s">
        <v>305</v>
      </c>
      <c r="F3" s="3">
        <v>2</v>
      </c>
      <c r="G3" s="3">
        <v>4096</v>
      </c>
      <c r="H3" s="3">
        <v>54.3</v>
      </c>
      <c r="I3" s="3">
        <v>530</v>
      </c>
      <c r="J3" s="3">
        <v>1</v>
      </c>
      <c r="K3" s="4">
        <f>(3600/(I3/8))*J3</f>
        <v>54.339622641509436</v>
      </c>
      <c r="L3" s="3"/>
      <c r="M3" s="1">
        <v>166</v>
      </c>
      <c r="N3" s="1">
        <v>175.3</v>
      </c>
      <c r="O3" s="2">
        <f>N3/J3</f>
        <v>175.3</v>
      </c>
      <c r="P3" s="1">
        <v>512</v>
      </c>
      <c r="Q3" s="1"/>
      <c r="R3" s="19" t="s">
        <v>306</v>
      </c>
      <c r="S3" s="6" t="s">
        <v>243</v>
      </c>
      <c r="T3" s="1" t="s">
        <v>307</v>
      </c>
      <c r="U3" s="1"/>
      <c r="V3" s="1"/>
      <c r="W3" s="1" t="s">
        <v>94</v>
      </c>
      <c r="X3" s="1" t="s">
        <v>94</v>
      </c>
      <c r="Y3" s="1" t="s">
        <v>120</v>
      </c>
      <c r="Z3" s="1"/>
    </row>
    <row r="4" spans="1:26" ht="24.9" customHeight="1" x14ac:dyDescent="0.3">
      <c r="A4" s="3" t="s">
        <v>26</v>
      </c>
      <c r="B4" s="3" t="s">
        <v>304</v>
      </c>
      <c r="C4" s="5">
        <v>46129</v>
      </c>
      <c r="D4" s="5">
        <v>46133</v>
      </c>
      <c r="E4" s="3" t="s">
        <v>922</v>
      </c>
      <c r="F4" s="3">
        <v>2</v>
      </c>
      <c r="G4" s="3">
        <v>4096</v>
      </c>
      <c r="H4" s="3">
        <v>52.3</v>
      </c>
      <c r="I4" s="3">
        <v>550</v>
      </c>
      <c r="J4" s="3">
        <v>1</v>
      </c>
      <c r="K4" s="4">
        <f t="shared" ref="K4:K59" si="0">(3600/(I4/8))*J4</f>
        <v>52.363636363636367</v>
      </c>
      <c r="L4" s="3"/>
      <c r="M4" s="1">
        <v>169.9</v>
      </c>
      <c r="N4" s="1">
        <v>169.9</v>
      </c>
      <c r="O4" s="2">
        <f t="shared" ref="O4:O59" si="1">N4/J4</f>
        <v>169.9</v>
      </c>
      <c r="P4" s="1">
        <v>512</v>
      </c>
      <c r="Q4" s="1"/>
      <c r="R4" s="19" t="s">
        <v>306</v>
      </c>
      <c r="S4" s="6" t="s">
        <v>818</v>
      </c>
      <c r="T4" s="1" t="s">
        <v>307</v>
      </c>
      <c r="U4" s="1"/>
      <c r="V4" s="1"/>
      <c r="W4" s="1" t="s">
        <v>94</v>
      </c>
      <c r="X4" s="1"/>
      <c r="Y4" s="1"/>
      <c r="Z4" s="1"/>
    </row>
    <row r="5" spans="1:26" ht="24.9" customHeight="1" x14ac:dyDescent="0.3">
      <c r="A5" s="3" t="s">
        <v>27</v>
      </c>
      <c r="B5" s="3" t="s">
        <v>304</v>
      </c>
      <c r="C5" s="5">
        <v>46133</v>
      </c>
      <c r="D5" s="5">
        <v>46142</v>
      </c>
      <c r="E5" s="3" t="s">
        <v>949</v>
      </c>
      <c r="F5" s="3">
        <v>2</v>
      </c>
      <c r="G5" s="3">
        <v>11264</v>
      </c>
      <c r="H5" s="3">
        <v>53.3</v>
      </c>
      <c r="I5" s="3">
        <v>540</v>
      </c>
      <c r="J5" s="3">
        <v>1</v>
      </c>
      <c r="K5" s="4">
        <f t="shared" si="0"/>
        <v>53.333333333333336</v>
      </c>
      <c r="L5" s="3"/>
      <c r="M5" s="1">
        <v>169.9</v>
      </c>
      <c r="N5" s="1">
        <v>169.9</v>
      </c>
      <c r="O5" s="2">
        <f t="shared" si="1"/>
        <v>169.9</v>
      </c>
      <c r="P5" s="1">
        <v>512</v>
      </c>
      <c r="Q5" s="1"/>
      <c r="R5" s="19" t="s">
        <v>306</v>
      </c>
      <c r="S5" s="1" t="s">
        <v>818</v>
      </c>
      <c r="T5" s="1" t="s">
        <v>307</v>
      </c>
      <c r="U5" s="1"/>
      <c r="V5" s="1"/>
      <c r="W5" s="1"/>
      <c r="X5" s="1" t="s">
        <v>678</v>
      </c>
      <c r="Y5" s="1" t="s">
        <v>120</v>
      </c>
      <c r="Z5" s="1"/>
    </row>
    <row r="6" spans="1:26" ht="24.9" customHeight="1" x14ac:dyDescent="0.3">
      <c r="A6" s="3" t="s">
        <v>28</v>
      </c>
      <c r="B6" s="3" t="s">
        <v>1015</v>
      </c>
      <c r="C6" s="5">
        <v>46146</v>
      </c>
      <c r="D6" s="5">
        <v>46148</v>
      </c>
      <c r="E6" s="3" t="s">
        <v>1016</v>
      </c>
      <c r="F6" s="3">
        <v>8</v>
      </c>
      <c r="G6" s="3">
        <v>4224</v>
      </c>
      <c r="H6" s="3">
        <v>33.299999999999997</v>
      </c>
      <c r="I6" s="3">
        <v>864</v>
      </c>
      <c r="J6" s="3">
        <v>1</v>
      </c>
      <c r="K6" s="4">
        <f t="shared" si="0"/>
        <v>33.333333333333336</v>
      </c>
      <c r="L6" s="3">
        <v>94</v>
      </c>
      <c r="M6" s="1">
        <v>99</v>
      </c>
      <c r="N6" s="1">
        <v>104.4</v>
      </c>
      <c r="O6" s="2">
        <f t="shared" si="1"/>
        <v>104.4</v>
      </c>
      <c r="P6" s="1">
        <v>264</v>
      </c>
      <c r="Q6" s="1"/>
      <c r="R6" s="1" t="s">
        <v>306</v>
      </c>
      <c r="S6" s="1" t="s">
        <v>1017</v>
      </c>
      <c r="T6" s="1" t="s">
        <v>1018</v>
      </c>
      <c r="U6" s="1"/>
      <c r="V6" s="1"/>
      <c r="W6" s="1" t="s">
        <v>103</v>
      </c>
      <c r="X6" s="1" t="s">
        <v>94</v>
      </c>
      <c r="Y6" s="1" t="s">
        <v>120</v>
      </c>
      <c r="Z6" s="1"/>
    </row>
    <row r="7" spans="1:26" ht="24.9" customHeight="1" x14ac:dyDescent="0.3">
      <c r="A7" s="3" t="s">
        <v>29</v>
      </c>
      <c r="B7" s="3" t="s">
        <v>1051</v>
      </c>
      <c r="C7" s="5">
        <v>46148</v>
      </c>
      <c r="D7" s="5">
        <v>46150</v>
      </c>
      <c r="E7" s="3" t="s">
        <v>1052</v>
      </c>
      <c r="F7" s="3">
        <v>8</v>
      </c>
      <c r="G7" s="3">
        <v>3168</v>
      </c>
      <c r="H7" s="3">
        <v>33.200000000000003</v>
      </c>
      <c r="I7" s="3">
        <v>867</v>
      </c>
      <c r="J7" s="3">
        <v>1</v>
      </c>
      <c r="K7" s="4">
        <f t="shared" si="0"/>
        <v>33.217993079584772</v>
      </c>
      <c r="L7" s="3"/>
      <c r="M7" s="1">
        <v>142.6</v>
      </c>
      <c r="N7" s="1">
        <v>147.80000000000001</v>
      </c>
      <c r="O7" s="2">
        <f t="shared" si="1"/>
        <v>147.80000000000001</v>
      </c>
      <c r="P7" s="1">
        <v>264</v>
      </c>
      <c r="Q7" s="1"/>
      <c r="R7" s="1" t="s">
        <v>306</v>
      </c>
      <c r="S7" s="1" t="s">
        <v>1017</v>
      </c>
      <c r="T7" s="1" t="s">
        <v>1018</v>
      </c>
      <c r="U7" s="1"/>
      <c r="V7" s="1"/>
      <c r="W7" s="1" t="s">
        <v>94</v>
      </c>
      <c r="X7" s="1"/>
      <c r="Y7" s="1"/>
      <c r="Z7" s="1"/>
    </row>
    <row r="8" spans="1:26" ht="24.9" customHeight="1" x14ac:dyDescent="0.3">
      <c r="A8" s="3" t="s">
        <v>30</v>
      </c>
      <c r="B8" s="3" t="s">
        <v>1212</v>
      </c>
      <c r="C8" s="5">
        <v>46189</v>
      </c>
      <c r="D8" s="5">
        <v>46195</v>
      </c>
      <c r="E8" s="5" t="s">
        <v>1213</v>
      </c>
      <c r="F8" s="3">
        <v>7</v>
      </c>
      <c r="G8" s="3">
        <v>5040</v>
      </c>
      <c r="H8" s="3">
        <v>41</v>
      </c>
      <c r="I8" s="3">
        <v>702</v>
      </c>
      <c r="J8" s="3">
        <v>1</v>
      </c>
      <c r="K8" s="4">
        <f t="shared" si="0"/>
        <v>41.025641025641029</v>
      </c>
      <c r="L8" s="3">
        <v>2</v>
      </c>
      <c r="M8" s="1">
        <v>238.5</v>
      </c>
      <c r="N8" s="1"/>
      <c r="O8" s="2">
        <f t="shared" si="1"/>
        <v>0</v>
      </c>
      <c r="P8" s="1">
        <v>140</v>
      </c>
      <c r="Q8" s="1"/>
      <c r="R8" s="1" t="s">
        <v>306</v>
      </c>
      <c r="S8" s="1" t="s">
        <v>1156</v>
      </c>
      <c r="T8" s="1" t="s">
        <v>748</v>
      </c>
      <c r="U8" s="1"/>
      <c r="V8" s="1"/>
      <c r="W8" s="1" t="s">
        <v>1068</v>
      </c>
      <c r="X8" s="1" t="s">
        <v>94</v>
      </c>
      <c r="Y8" s="1" t="s">
        <v>120</v>
      </c>
      <c r="Z8" s="1"/>
    </row>
    <row r="9" spans="1:26" ht="24.9" customHeight="1" x14ac:dyDescent="0.3">
      <c r="A9" s="3" t="s">
        <v>31</v>
      </c>
      <c r="B9" s="3" t="s">
        <v>1228</v>
      </c>
      <c r="C9" s="5">
        <v>46195</v>
      </c>
      <c r="D9" s="5">
        <v>46202</v>
      </c>
      <c r="E9" s="3" t="s">
        <v>1229</v>
      </c>
      <c r="F9" s="3">
        <v>7</v>
      </c>
      <c r="G9" s="3">
        <v>5040</v>
      </c>
      <c r="H9" s="3">
        <v>45.6</v>
      </c>
      <c r="I9" s="3">
        <v>630</v>
      </c>
      <c r="J9" s="3">
        <v>1</v>
      </c>
      <c r="K9" s="4">
        <f t="shared" si="0"/>
        <v>45.714285714285715</v>
      </c>
      <c r="L9" s="3"/>
      <c r="M9" s="1">
        <v>286.7</v>
      </c>
      <c r="N9" s="1">
        <v>287.8</v>
      </c>
      <c r="O9" s="2">
        <f t="shared" si="1"/>
        <v>287.8</v>
      </c>
      <c r="P9" s="1">
        <v>120</v>
      </c>
      <c r="Q9" s="1"/>
      <c r="R9" s="1" t="s">
        <v>306</v>
      </c>
      <c r="S9" s="1" t="s">
        <v>1162</v>
      </c>
      <c r="T9" s="1" t="s">
        <v>748</v>
      </c>
      <c r="U9" s="1"/>
      <c r="V9" s="1"/>
      <c r="W9" s="1" t="s">
        <v>94</v>
      </c>
      <c r="X9" s="1" t="s">
        <v>94</v>
      </c>
      <c r="Y9" s="1" t="s">
        <v>120</v>
      </c>
      <c r="Z9" s="1"/>
    </row>
    <row r="10" spans="1:26" ht="24.9" customHeight="1" x14ac:dyDescent="0.3">
      <c r="A10" s="3" t="s">
        <v>32</v>
      </c>
      <c r="B10" s="3" t="s">
        <v>1246</v>
      </c>
      <c r="C10" s="5">
        <v>46202</v>
      </c>
      <c r="D10" s="5">
        <v>46205</v>
      </c>
      <c r="E10" s="3" t="s">
        <v>1247</v>
      </c>
      <c r="F10" s="3">
        <v>7</v>
      </c>
      <c r="G10" s="3">
        <v>5040</v>
      </c>
      <c r="H10" s="3">
        <v>41.4</v>
      </c>
      <c r="I10" s="3">
        <v>695</v>
      </c>
      <c r="J10" s="3">
        <v>1</v>
      </c>
      <c r="K10" s="4">
        <f t="shared" si="0"/>
        <v>41.438848920863308</v>
      </c>
      <c r="L10" s="3"/>
      <c r="M10" s="1">
        <v>222.5</v>
      </c>
      <c r="N10" s="1">
        <v>222.5</v>
      </c>
      <c r="O10" s="2">
        <f t="shared" si="1"/>
        <v>222.5</v>
      </c>
      <c r="P10" s="1">
        <v>192</v>
      </c>
      <c r="Q10" s="1"/>
      <c r="R10" s="1" t="s">
        <v>306</v>
      </c>
      <c r="S10" s="1" t="s">
        <v>1174</v>
      </c>
      <c r="T10" s="1" t="s">
        <v>748</v>
      </c>
      <c r="U10" s="1"/>
      <c r="V10" s="1"/>
      <c r="W10" s="1" t="s">
        <v>94</v>
      </c>
      <c r="X10" s="1"/>
      <c r="Y10" s="1"/>
      <c r="Z10" s="1"/>
    </row>
    <row r="11" spans="1:26" ht="24.9" customHeight="1" x14ac:dyDescent="0.3">
      <c r="A11" s="3" t="s">
        <v>33</v>
      </c>
      <c r="B11" s="3" t="s">
        <v>1266</v>
      </c>
      <c r="C11" s="5">
        <v>46176</v>
      </c>
      <c r="D11" s="5">
        <v>46206</v>
      </c>
      <c r="E11" s="3" t="s">
        <v>1267</v>
      </c>
      <c r="F11" s="3">
        <v>7</v>
      </c>
      <c r="G11" s="3">
        <v>2000</v>
      </c>
      <c r="H11" s="3">
        <v>27.2</v>
      </c>
      <c r="I11" s="3">
        <v>1058</v>
      </c>
      <c r="J11" s="3">
        <v>1</v>
      </c>
      <c r="K11" s="4">
        <f t="shared" si="0"/>
        <v>27.221172022684311</v>
      </c>
      <c r="L11" s="3"/>
      <c r="M11" s="1">
        <v>112</v>
      </c>
      <c r="N11" s="1">
        <v>117.2</v>
      </c>
      <c r="O11" s="2">
        <f t="shared" si="1"/>
        <v>117.2</v>
      </c>
      <c r="P11" s="1">
        <v>40</v>
      </c>
      <c r="Q11" s="1">
        <v>5.5</v>
      </c>
      <c r="R11" s="1" t="s">
        <v>99</v>
      </c>
      <c r="S11" s="1" t="s">
        <v>1252</v>
      </c>
      <c r="T11" s="1" t="s">
        <v>748</v>
      </c>
      <c r="U11" s="1"/>
      <c r="V11" s="1"/>
      <c r="W11" s="1" t="s">
        <v>90</v>
      </c>
      <c r="X11" s="1"/>
      <c r="Y11" s="1"/>
      <c r="Z11" s="1"/>
    </row>
    <row r="12" spans="1:26" ht="24.9" customHeight="1" x14ac:dyDescent="0.3">
      <c r="A12" s="3" t="s">
        <v>34</v>
      </c>
      <c r="B12" s="3" t="s">
        <v>304</v>
      </c>
      <c r="C12" s="5">
        <v>46252</v>
      </c>
      <c r="D12" s="5">
        <v>46258</v>
      </c>
      <c r="E12" s="3" t="s">
        <v>1460</v>
      </c>
      <c r="F12" s="3">
        <v>1</v>
      </c>
      <c r="G12" s="3">
        <v>4096</v>
      </c>
      <c r="H12" s="3">
        <v>45.9</v>
      </c>
      <c r="I12" s="3">
        <v>627</v>
      </c>
      <c r="J12" s="3">
        <v>1</v>
      </c>
      <c r="K12" s="4">
        <f t="shared" si="0"/>
        <v>45.933014354066984</v>
      </c>
      <c r="L12" s="3">
        <v>103</v>
      </c>
      <c r="M12" s="1">
        <v>172.6</v>
      </c>
      <c r="N12" s="1">
        <v>172.6</v>
      </c>
      <c r="O12" s="2">
        <f t="shared" si="1"/>
        <v>172.6</v>
      </c>
      <c r="P12" s="1">
        <v>512</v>
      </c>
      <c r="Q12" s="1"/>
      <c r="R12" s="1" t="s">
        <v>306</v>
      </c>
      <c r="S12" s="1" t="s">
        <v>1392</v>
      </c>
      <c r="T12" s="1" t="s">
        <v>1018</v>
      </c>
      <c r="U12" s="1"/>
      <c r="V12" s="1"/>
      <c r="W12" s="1" t="s">
        <v>103</v>
      </c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0812-1375-4890-8D80-F62BDBFF5A9C}">
  <sheetPr codeName="Arkusz11"/>
  <dimension ref="A1:Z59"/>
  <sheetViews>
    <sheetView workbookViewId="0">
      <selection activeCell="I19" sqref="I19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/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271</v>
      </c>
      <c r="C3" s="5">
        <v>46058</v>
      </c>
      <c r="D3" s="5">
        <v>46070</v>
      </c>
      <c r="E3" s="5" t="s">
        <v>272</v>
      </c>
      <c r="F3" s="3">
        <v>6</v>
      </c>
      <c r="G3" s="3">
        <v>80000</v>
      </c>
      <c r="H3" s="3">
        <v>21.15</v>
      </c>
      <c r="I3" s="3">
        <v>1361</v>
      </c>
      <c r="J3" s="3">
        <v>4</v>
      </c>
      <c r="K3" s="4">
        <f>(3600/(I3/8))*J3</f>
        <v>84.643644379132994</v>
      </c>
      <c r="L3" s="3"/>
      <c r="M3" s="1">
        <v>6.1</v>
      </c>
      <c r="N3" s="1">
        <v>28.6</v>
      </c>
      <c r="O3" s="2">
        <f>N3/J3</f>
        <v>7.15</v>
      </c>
      <c r="P3" s="1">
        <v>1800</v>
      </c>
      <c r="Q3" s="1">
        <v>11.75</v>
      </c>
      <c r="R3" s="1" t="s">
        <v>92</v>
      </c>
      <c r="S3" s="6" t="s">
        <v>243</v>
      </c>
      <c r="T3" s="1" t="s">
        <v>273</v>
      </c>
      <c r="U3" s="1" t="s">
        <v>274</v>
      </c>
      <c r="V3" s="1"/>
      <c r="W3" s="1" t="s">
        <v>103</v>
      </c>
      <c r="X3" s="1"/>
      <c r="Y3" s="1"/>
      <c r="Z3" s="1"/>
    </row>
    <row r="4" spans="1:26" ht="24.9" customHeight="1" x14ac:dyDescent="0.3">
      <c r="A4" s="3" t="s">
        <v>26</v>
      </c>
      <c r="B4" s="3" t="s">
        <v>271</v>
      </c>
      <c r="C4" s="5">
        <v>46070</v>
      </c>
      <c r="D4" s="5">
        <v>46080</v>
      </c>
      <c r="E4" s="3" t="s">
        <v>303</v>
      </c>
      <c r="F4" s="3">
        <v>6</v>
      </c>
      <c r="G4" s="3">
        <v>80000</v>
      </c>
      <c r="H4" s="3">
        <v>21.15</v>
      </c>
      <c r="I4" s="3">
        <v>1361</v>
      </c>
      <c r="J4" s="3">
        <v>4</v>
      </c>
      <c r="K4" s="4">
        <f t="shared" ref="K4:K59" si="0">(3600/(I4/8))*J4</f>
        <v>84.643644379132994</v>
      </c>
      <c r="L4" s="3">
        <v>3500</v>
      </c>
      <c r="M4" s="1">
        <v>6.1</v>
      </c>
      <c r="N4" s="1">
        <v>28.6</v>
      </c>
      <c r="O4" s="2">
        <f t="shared" ref="O4:O59" si="1">N4/J4</f>
        <v>7.15</v>
      </c>
      <c r="P4" s="1">
        <v>1800</v>
      </c>
      <c r="Q4" s="1">
        <v>11.75</v>
      </c>
      <c r="R4" s="1" t="s">
        <v>92</v>
      </c>
      <c r="S4" s="6" t="s">
        <v>237</v>
      </c>
      <c r="T4" s="1" t="s">
        <v>273</v>
      </c>
      <c r="U4" s="1" t="s">
        <v>274</v>
      </c>
      <c r="V4" s="1"/>
      <c r="W4" s="1"/>
      <c r="X4" s="1" t="s">
        <v>94</v>
      </c>
      <c r="Y4" s="1"/>
      <c r="Z4" s="1"/>
    </row>
    <row r="5" spans="1:26" ht="24.9" customHeight="1" x14ac:dyDescent="0.3">
      <c r="A5" s="3" t="s">
        <v>27</v>
      </c>
      <c r="B5" s="3" t="s">
        <v>271</v>
      </c>
      <c r="C5" s="5">
        <v>46080</v>
      </c>
      <c r="D5" s="5">
        <v>46084</v>
      </c>
      <c r="E5" s="3" t="s">
        <v>653</v>
      </c>
      <c r="F5" s="3">
        <v>6</v>
      </c>
      <c r="G5" s="3">
        <v>20000</v>
      </c>
      <c r="H5" s="3">
        <v>21.52</v>
      </c>
      <c r="I5" s="3">
        <v>1338</v>
      </c>
      <c r="J5" s="3">
        <v>4</v>
      </c>
      <c r="K5" s="4">
        <f t="shared" si="0"/>
        <v>86.098654708520186</v>
      </c>
      <c r="L5" s="3"/>
      <c r="M5" s="1">
        <v>6.1</v>
      </c>
      <c r="N5" s="1">
        <v>28.6</v>
      </c>
      <c r="O5" s="2">
        <f t="shared" si="1"/>
        <v>7.15</v>
      </c>
      <c r="P5" s="1">
        <v>1800</v>
      </c>
      <c r="Q5" s="1">
        <v>11.75</v>
      </c>
      <c r="R5" s="1" t="s">
        <v>92</v>
      </c>
      <c r="S5" s="1" t="s">
        <v>650</v>
      </c>
      <c r="T5" s="1" t="s">
        <v>273</v>
      </c>
      <c r="U5" s="1" t="s">
        <v>274</v>
      </c>
      <c r="V5" s="1"/>
      <c r="W5" s="1" t="s">
        <v>103</v>
      </c>
      <c r="X5" s="1"/>
      <c r="Y5" s="1"/>
      <c r="Z5" s="1"/>
    </row>
    <row r="6" spans="1:26" ht="24.9" customHeight="1" x14ac:dyDescent="0.3">
      <c r="A6" s="3" t="s">
        <v>28</v>
      </c>
      <c r="B6" s="3" t="s">
        <v>654</v>
      </c>
      <c r="C6" s="5">
        <v>46080</v>
      </c>
      <c r="D6" s="5">
        <v>46084</v>
      </c>
      <c r="E6" s="3" t="s">
        <v>653</v>
      </c>
      <c r="F6" s="3">
        <v>6</v>
      </c>
      <c r="G6" s="3">
        <v>5000</v>
      </c>
      <c r="H6" s="3">
        <v>21.52</v>
      </c>
      <c r="I6" s="3">
        <v>1338</v>
      </c>
      <c r="J6" s="3">
        <v>1</v>
      </c>
      <c r="K6" s="4">
        <f t="shared" si="0"/>
        <v>21.524663677130047</v>
      </c>
      <c r="L6" s="3"/>
      <c r="M6" s="1">
        <v>6.1</v>
      </c>
      <c r="N6" s="1">
        <v>28.6</v>
      </c>
      <c r="O6" s="2">
        <f t="shared" si="1"/>
        <v>28.6</v>
      </c>
      <c r="P6" s="1">
        <v>1800</v>
      </c>
      <c r="Q6" s="1">
        <v>11.75</v>
      </c>
      <c r="R6" s="1" t="s">
        <v>92</v>
      </c>
      <c r="S6" s="1" t="s">
        <v>650</v>
      </c>
      <c r="T6" s="1" t="s">
        <v>273</v>
      </c>
      <c r="U6" s="1" t="s">
        <v>274</v>
      </c>
      <c r="V6" s="1"/>
      <c r="W6" s="1" t="s">
        <v>103</v>
      </c>
      <c r="X6" s="1" t="s">
        <v>679</v>
      </c>
      <c r="Y6" s="1"/>
      <c r="Z6" s="1"/>
    </row>
    <row r="7" spans="1:26" ht="24.9" customHeight="1" x14ac:dyDescent="0.3">
      <c r="A7" s="3" t="s">
        <v>29</v>
      </c>
      <c r="B7" s="3" t="s">
        <v>675</v>
      </c>
      <c r="C7" s="5">
        <v>46084</v>
      </c>
      <c r="D7" s="5">
        <v>46090</v>
      </c>
      <c r="E7" s="3" t="s">
        <v>676</v>
      </c>
      <c r="F7" s="3">
        <v>6</v>
      </c>
      <c r="G7" s="3">
        <v>10000</v>
      </c>
      <c r="H7" s="3">
        <v>21.44</v>
      </c>
      <c r="I7" s="3">
        <v>1343</v>
      </c>
      <c r="J7" s="3">
        <v>6</v>
      </c>
      <c r="K7" s="4">
        <f t="shared" si="0"/>
        <v>128.66716306775874</v>
      </c>
      <c r="L7" s="3">
        <v>356</v>
      </c>
      <c r="M7" s="1">
        <v>6.1</v>
      </c>
      <c r="N7" s="1">
        <v>41.7</v>
      </c>
      <c r="O7" s="2">
        <f t="shared" si="1"/>
        <v>6.95</v>
      </c>
      <c r="P7" s="1">
        <v>1800</v>
      </c>
      <c r="Q7" s="1">
        <v>11.75</v>
      </c>
      <c r="R7" s="1" t="s">
        <v>92</v>
      </c>
      <c r="S7" s="1" t="s">
        <v>664</v>
      </c>
      <c r="T7" s="1" t="s">
        <v>273</v>
      </c>
      <c r="U7" s="1" t="s">
        <v>274</v>
      </c>
      <c r="V7" s="1"/>
      <c r="W7" s="1" t="s">
        <v>678</v>
      </c>
      <c r="X7" s="1"/>
      <c r="Y7" s="1"/>
      <c r="Z7" s="1"/>
    </row>
    <row r="8" spans="1:26" ht="24.9" customHeight="1" x14ac:dyDescent="0.3">
      <c r="A8" s="3" t="s">
        <v>30</v>
      </c>
      <c r="B8" s="3" t="s">
        <v>677</v>
      </c>
      <c r="C8" s="5">
        <v>46084</v>
      </c>
      <c r="D8" s="5">
        <v>46090</v>
      </c>
      <c r="E8" s="5" t="s">
        <v>676</v>
      </c>
      <c r="F8" s="3">
        <v>6</v>
      </c>
      <c r="G8" s="3">
        <v>10000</v>
      </c>
      <c r="H8" s="3">
        <v>21.44</v>
      </c>
      <c r="I8" s="3">
        <v>1343</v>
      </c>
      <c r="J8" s="3">
        <v>6</v>
      </c>
      <c r="K8" s="4">
        <f t="shared" si="0"/>
        <v>128.66716306775874</v>
      </c>
      <c r="L8" s="3">
        <v>356</v>
      </c>
      <c r="M8" s="1">
        <v>6.1</v>
      </c>
      <c r="N8" s="1">
        <v>41.7</v>
      </c>
      <c r="O8" s="2">
        <f t="shared" si="1"/>
        <v>6.95</v>
      </c>
      <c r="P8" s="1">
        <v>1800</v>
      </c>
      <c r="Q8" s="1">
        <v>11.75</v>
      </c>
      <c r="R8" s="1" t="s">
        <v>92</v>
      </c>
      <c r="S8" s="1" t="s">
        <v>664</v>
      </c>
      <c r="T8" s="1" t="s">
        <v>273</v>
      </c>
      <c r="U8" s="1" t="s">
        <v>274</v>
      </c>
      <c r="V8" s="1"/>
      <c r="W8" s="1"/>
      <c r="X8" s="1"/>
      <c r="Y8" s="1"/>
      <c r="Z8" s="1"/>
    </row>
    <row r="9" spans="1:26" ht="24.9" customHeight="1" x14ac:dyDescent="0.3">
      <c r="A9" s="3" t="s">
        <v>31</v>
      </c>
      <c r="B9" s="3" t="s">
        <v>271</v>
      </c>
      <c r="C9" s="5">
        <v>46084</v>
      </c>
      <c r="D9" s="5">
        <v>46090</v>
      </c>
      <c r="E9" s="3" t="s">
        <v>676</v>
      </c>
      <c r="F9" s="3">
        <v>6</v>
      </c>
      <c r="G9" s="3">
        <v>39600</v>
      </c>
      <c r="H9" s="3">
        <v>21.44</v>
      </c>
      <c r="I9" s="3">
        <v>1343</v>
      </c>
      <c r="J9" s="3">
        <v>6</v>
      </c>
      <c r="K9" s="4">
        <f t="shared" si="0"/>
        <v>128.66716306775874</v>
      </c>
      <c r="L9" s="3">
        <v>356</v>
      </c>
      <c r="M9" s="1">
        <v>6.1</v>
      </c>
      <c r="N9" s="1">
        <v>41.7</v>
      </c>
      <c r="O9" s="2">
        <f t="shared" si="1"/>
        <v>6.95</v>
      </c>
      <c r="P9" s="1">
        <v>1800</v>
      </c>
      <c r="Q9" s="1">
        <v>11.75</v>
      </c>
      <c r="R9" s="1" t="s">
        <v>92</v>
      </c>
      <c r="S9" s="1" t="s">
        <v>664</v>
      </c>
      <c r="T9" s="1" t="s">
        <v>273</v>
      </c>
      <c r="U9" s="1" t="s">
        <v>274</v>
      </c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 t="s">
        <v>707</v>
      </c>
      <c r="C10" s="5">
        <v>46091</v>
      </c>
      <c r="D10" s="5">
        <v>46094</v>
      </c>
      <c r="E10" s="3" t="s">
        <v>708</v>
      </c>
      <c r="F10" s="3">
        <v>6</v>
      </c>
      <c r="G10" s="3">
        <v>5000</v>
      </c>
      <c r="H10" s="3">
        <v>32.08</v>
      </c>
      <c r="I10" s="3">
        <v>897</v>
      </c>
      <c r="J10" s="3">
        <v>2</v>
      </c>
      <c r="K10" s="4">
        <f t="shared" si="0"/>
        <v>64.214046822742475</v>
      </c>
      <c r="L10" s="3"/>
      <c r="M10" s="1">
        <v>9.6999999999999993</v>
      </c>
      <c r="N10" s="1">
        <v>20</v>
      </c>
      <c r="O10" s="2">
        <f t="shared" si="1"/>
        <v>10</v>
      </c>
      <c r="P10" s="1">
        <v>1300</v>
      </c>
      <c r="Q10" s="1">
        <v>13.1</v>
      </c>
      <c r="R10" s="1" t="s">
        <v>92</v>
      </c>
      <c r="S10" s="1" t="s">
        <v>650</v>
      </c>
      <c r="T10" s="1" t="s">
        <v>710</v>
      </c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 t="s">
        <v>709</v>
      </c>
      <c r="C11" s="5">
        <v>46091</v>
      </c>
      <c r="D11" s="5">
        <v>46094</v>
      </c>
      <c r="E11" s="3" t="s">
        <v>708</v>
      </c>
      <c r="F11" s="3">
        <v>6</v>
      </c>
      <c r="G11" s="3">
        <v>5000</v>
      </c>
      <c r="H11" s="3">
        <v>32.08</v>
      </c>
      <c r="I11" s="3">
        <v>897</v>
      </c>
      <c r="J11" s="3">
        <v>2</v>
      </c>
      <c r="K11" s="4">
        <f t="shared" si="0"/>
        <v>64.214046822742475</v>
      </c>
      <c r="L11" s="3"/>
      <c r="M11" s="1">
        <v>9.6999999999999993</v>
      </c>
      <c r="N11" s="1">
        <v>20</v>
      </c>
      <c r="O11" s="2">
        <f t="shared" si="1"/>
        <v>10</v>
      </c>
      <c r="P11" s="1">
        <v>1300</v>
      </c>
      <c r="Q11" s="1">
        <v>13.1</v>
      </c>
      <c r="R11" s="1" t="s">
        <v>92</v>
      </c>
      <c r="S11" s="1" t="s">
        <v>650</v>
      </c>
      <c r="T11" s="1" t="s">
        <v>710</v>
      </c>
      <c r="U11" s="1"/>
      <c r="V11" s="1"/>
      <c r="W11" s="1"/>
      <c r="X11" s="1" t="s">
        <v>678</v>
      </c>
      <c r="Y11" s="1" t="s">
        <v>120</v>
      </c>
      <c r="Z11" s="1"/>
    </row>
    <row r="12" spans="1:26" ht="24.9" customHeight="1" x14ac:dyDescent="0.3">
      <c r="A12" s="3" t="s">
        <v>34</v>
      </c>
      <c r="B12" s="3" t="s">
        <v>950</v>
      </c>
      <c r="C12" s="5">
        <v>46133</v>
      </c>
      <c r="D12" s="5">
        <v>46136</v>
      </c>
      <c r="E12" s="3" t="s">
        <v>951</v>
      </c>
      <c r="F12" s="3">
        <v>4</v>
      </c>
      <c r="G12" s="3">
        <v>5000</v>
      </c>
      <c r="H12" s="3">
        <v>30.9</v>
      </c>
      <c r="I12" s="3">
        <v>932</v>
      </c>
      <c r="J12" s="3">
        <v>2</v>
      </c>
      <c r="K12" s="4">
        <f t="shared" si="0"/>
        <v>61.802575107296136</v>
      </c>
      <c r="L12" s="3"/>
      <c r="M12" s="1">
        <v>7.1</v>
      </c>
      <c r="N12" s="1">
        <v>15.4</v>
      </c>
      <c r="O12" s="2">
        <f t="shared" si="1"/>
        <v>7.7</v>
      </c>
      <c r="P12" s="1">
        <v>2200</v>
      </c>
      <c r="Q12" s="1">
        <v>15.1</v>
      </c>
      <c r="R12" s="1" t="s">
        <v>92</v>
      </c>
      <c r="S12" s="1" t="s">
        <v>818</v>
      </c>
      <c r="T12" s="1" t="s">
        <v>952</v>
      </c>
      <c r="U12" s="1"/>
      <c r="V12" s="1"/>
      <c r="W12" s="1" t="s">
        <v>678</v>
      </c>
      <c r="X12" s="1"/>
      <c r="Y12" s="1"/>
      <c r="Z12" s="1"/>
    </row>
    <row r="13" spans="1:26" ht="24.9" customHeight="1" x14ac:dyDescent="0.3">
      <c r="A13" s="3" t="s">
        <v>35</v>
      </c>
      <c r="B13" s="3" t="s">
        <v>953</v>
      </c>
      <c r="C13" s="5">
        <v>46133</v>
      </c>
      <c r="D13" s="5">
        <v>46136</v>
      </c>
      <c r="E13" s="3" t="s">
        <v>951</v>
      </c>
      <c r="F13" s="3">
        <v>4</v>
      </c>
      <c r="G13" s="3">
        <v>5000</v>
      </c>
      <c r="H13" s="3">
        <v>30.9</v>
      </c>
      <c r="I13" s="3">
        <v>932</v>
      </c>
      <c r="J13" s="3">
        <v>2</v>
      </c>
      <c r="K13" s="4">
        <f t="shared" si="0"/>
        <v>61.802575107296136</v>
      </c>
      <c r="L13" s="3"/>
      <c r="M13" s="1">
        <v>8.4</v>
      </c>
      <c r="N13" s="1">
        <v>15.4</v>
      </c>
      <c r="O13" s="2">
        <f t="shared" si="1"/>
        <v>7.7</v>
      </c>
      <c r="P13" s="1">
        <v>1600</v>
      </c>
      <c r="Q13" s="1">
        <v>13.2</v>
      </c>
      <c r="R13" s="1" t="s">
        <v>92</v>
      </c>
      <c r="S13" s="1" t="s">
        <v>818</v>
      </c>
      <c r="T13" s="1" t="s">
        <v>952</v>
      </c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11" t="s">
        <v>1218</v>
      </c>
      <c r="C14" s="5">
        <v>46190</v>
      </c>
      <c r="D14" s="5">
        <v>46196</v>
      </c>
      <c r="E14" s="3" t="s">
        <v>1220</v>
      </c>
      <c r="F14" s="3">
        <v>3</v>
      </c>
      <c r="G14" s="3">
        <v>10000</v>
      </c>
      <c r="H14" s="3">
        <v>34.4</v>
      </c>
      <c r="I14" s="3">
        <v>1674</v>
      </c>
      <c r="J14" s="3">
        <v>2</v>
      </c>
      <c r="K14" s="4">
        <f t="shared" si="0"/>
        <v>34.408602150537632</v>
      </c>
      <c r="L14" s="3">
        <v>169</v>
      </c>
      <c r="M14" s="1">
        <v>9.6999999999999993</v>
      </c>
      <c r="N14" s="1">
        <v>20</v>
      </c>
      <c r="O14" s="2">
        <f t="shared" si="1"/>
        <v>10</v>
      </c>
      <c r="P14" s="1">
        <v>1300</v>
      </c>
      <c r="Q14" s="1">
        <v>13.2</v>
      </c>
      <c r="R14" s="1" t="s">
        <v>92</v>
      </c>
      <c r="S14" s="1" t="s">
        <v>1156</v>
      </c>
      <c r="T14" s="11" t="s">
        <v>1219</v>
      </c>
      <c r="U14" s="1" t="s">
        <v>274</v>
      </c>
      <c r="V14" s="1"/>
      <c r="W14" s="1" t="s">
        <v>678</v>
      </c>
      <c r="X14" s="1" t="s">
        <v>94</v>
      </c>
      <c r="Y14" s="1" t="s">
        <v>120</v>
      </c>
      <c r="Z14" s="1"/>
    </row>
    <row r="15" spans="1:26" ht="24.9" customHeight="1" x14ac:dyDescent="0.3">
      <c r="A15" s="3" t="s">
        <v>37</v>
      </c>
      <c r="B15" s="3" t="s">
        <v>271</v>
      </c>
      <c r="C15" s="5">
        <v>46224</v>
      </c>
      <c r="D15" s="5">
        <v>46225</v>
      </c>
      <c r="E15" s="3" t="s">
        <v>1343</v>
      </c>
      <c r="F15" s="3">
        <v>3</v>
      </c>
      <c r="G15" s="3">
        <v>20000</v>
      </c>
      <c r="H15" s="3">
        <v>19.399999999999999</v>
      </c>
      <c r="I15" s="3">
        <v>2234</v>
      </c>
      <c r="J15" s="3">
        <v>4</v>
      </c>
      <c r="K15" s="4">
        <f t="shared" si="0"/>
        <v>51.566696508504926</v>
      </c>
      <c r="L15" s="3"/>
      <c r="M15" s="1">
        <v>6.1</v>
      </c>
      <c r="N15" s="1">
        <v>34.700000000000003</v>
      </c>
      <c r="O15" s="2">
        <f t="shared" si="1"/>
        <v>8.6750000000000007</v>
      </c>
      <c r="P15" s="1">
        <v>1800</v>
      </c>
      <c r="Q15" s="1">
        <v>11.75</v>
      </c>
      <c r="R15" s="1" t="s">
        <v>92</v>
      </c>
      <c r="S15" s="1" t="s">
        <v>1252</v>
      </c>
      <c r="T15" s="1" t="s">
        <v>273</v>
      </c>
      <c r="U15" s="1" t="s">
        <v>274</v>
      </c>
      <c r="V15" s="14">
        <v>0.01</v>
      </c>
      <c r="W15" s="1" t="s">
        <v>94</v>
      </c>
      <c r="X15" s="1" t="s">
        <v>678</v>
      </c>
      <c r="Y15" s="1"/>
      <c r="Z15" s="1"/>
    </row>
    <row r="16" spans="1:26" ht="24.9" customHeight="1" x14ac:dyDescent="0.3">
      <c r="A16" s="3" t="s">
        <v>38</v>
      </c>
      <c r="B16" s="3" t="s">
        <v>654</v>
      </c>
      <c r="C16" s="5">
        <v>46224</v>
      </c>
      <c r="D16" s="5">
        <v>46225</v>
      </c>
      <c r="E16" s="3" t="s">
        <v>1343</v>
      </c>
      <c r="F16" s="3">
        <v>3</v>
      </c>
      <c r="G16" s="3">
        <v>5000</v>
      </c>
      <c r="H16" s="3">
        <v>19.399999999999999</v>
      </c>
      <c r="I16" s="3">
        <v>558</v>
      </c>
      <c r="J16" s="3">
        <v>1</v>
      </c>
      <c r="K16" s="4">
        <f t="shared" si="0"/>
        <v>51.612903225806448</v>
      </c>
      <c r="L16" s="3"/>
      <c r="M16" s="1">
        <v>6.1</v>
      </c>
      <c r="N16" s="1">
        <v>34.700000000000003</v>
      </c>
      <c r="O16" s="2">
        <f t="shared" si="1"/>
        <v>34.700000000000003</v>
      </c>
      <c r="P16" s="1">
        <v>1800</v>
      </c>
      <c r="Q16" s="1">
        <v>11.75</v>
      </c>
      <c r="R16" s="1" t="s">
        <v>92</v>
      </c>
      <c r="S16" s="1" t="s">
        <v>1252</v>
      </c>
      <c r="T16" s="1" t="s">
        <v>273</v>
      </c>
      <c r="U16" s="1" t="s">
        <v>274</v>
      </c>
      <c r="V16" s="14">
        <v>0.01</v>
      </c>
      <c r="W16" s="1" t="s">
        <v>94</v>
      </c>
      <c r="X16" s="1" t="s">
        <v>678</v>
      </c>
      <c r="Y16" s="1"/>
      <c r="Z16" s="1"/>
    </row>
    <row r="17" spans="1:26" ht="24.9" customHeight="1" x14ac:dyDescent="0.3">
      <c r="A17" s="3" t="s">
        <v>39</v>
      </c>
      <c r="B17" s="17" t="s">
        <v>1497</v>
      </c>
      <c r="C17" s="5">
        <v>46260</v>
      </c>
      <c r="D17" s="5">
        <v>46272</v>
      </c>
      <c r="E17" s="3" t="s">
        <v>1498</v>
      </c>
      <c r="F17" s="3">
        <v>6</v>
      </c>
      <c r="G17" s="3">
        <v>80000</v>
      </c>
      <c r="H17" s="3">
        <v>21.8</v>
      </c>
      <c r="I17" s="3">
        <v>6600</v>
      </c>
      <c r="J17" s="3">
        <v>5</v>
      </c>
      <c r="K17" s="4">
        <f t="shared" si="0"/>
        <v>21.818181818181817</v>
      </c>
      <c r="L17" s="3"/>
      <c r="M17" s="1">
        <v>6.1</v>
      </c>
      <c r="N17" s="1">
        <v>35.299999999999997</v>
      </c>
      <c r="O17" s="2">
        <f t="shared" si="1"/>
        <v>7.06</v>
      </c>
      <c r="P17" s="1">
        <v>1800</v>
      </c>
      <c r="Q17" s="1">
        <v>11.8</v>
      </c>
      <c r="R17" s="1" t="s">
        <v>92</v>
      </c>
      <c r="S17" s="1" t="s">
        <v>1392</v>
      </c>
      <c r="T17" s="1" t="s">
        <v>273</v>
      </c>
      <c r="U17" s="1" t="s">
        <v>274</v>
      </c>
      <c r="V17" s="14">
        <v>0.01</v>
      </c>
      <c r="W17" s="1" t="s">
        <v>103</v>
      </c>
      <c r="X17" s="1"/>
      <c r="Y17" s="1"/>
      <c r="Z17" s="1"/>
    </row>
    <row r="18" spans="1:26" ht="24.9" customHeight="1" x14ac:dyDescent="0.3">
      <c r="A18" s="3" t="s">
        <v>40</v>
      </c>
      <c r="B18" s="3" t="s">
        <v>1499</v>
      </c>
      <c r="C18" s="5">
        <v>46260</v>
      </c>
      <c r="D18" s="5">
        <v>46272</v>
      </c>
      <c r="E18" s="3" t="s">
        <v>1498</v>
      </c>
      <c r="F18" s="3">
        <v>6</v>
      </c>
      <c r="G18" s="3">
        <v>20000</v>
      </c>
      <c r="H18" s="3">
        <v>21.8</v>
      </c>
      <c r="I18" s="3">
        <v>6600</v>
      </c>
      <c r="J18" s="3">
        <v>5</v>
      </c>
      <c r="K18" s="4">
        <f t="shared" si="0"/>
        <v>21.818181818181817</v>
      </c>
      <c r="L18" s="3"/>
      <c r="M18" s="1">
        <v>6.2</v>
      </c>
      <c r="N18" s="1">
        <v>35.299999999999997</v>
      </c>
      <c r="O18" s="2">
        <f t="shared" si="1"/>
        <v>7.06</v>
      </c>
      <c r="P18" s="1">
        <v>1800</v>
      </c>
      <c r="Q18" s="1">
        <v>11.8</v>
      </c>
      <c r="R18" s="1" t="s">
        <v>92</v>
      </c>
      <c r="S18" s="1" t="s">
        <v>1392</v>
      </c>
      <c r="T18" s="1" t="s">
        <v>273</v>
      </c>
      <c r="U18" s="1" t="s">
        <v>274</v>
      </c>
      <c r="V18" s="14">
        <v>0.01</v>
      </c>
      <c r="W18" s="1" t="s">
        <v>103</v>
      </c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D5F0-683B-4A62-915B-04F9C5A54E3F}">
  <sheetPr codeName="Arkusz12"/>
  <dimension ref="A1:Z79"/>
  <sheetViews>
    <sheetView topLeftCell="B51" workbookViewId="0">
      <selection activeCell="T65" sqref="T65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246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247</v>
      </c>
      <c r="C3" s="5">
        <v>46055</v>
      </c>
      <c r="D3" s="5">
        <v>46057</v>
      </c>
      <c r="E3" s="5" t="s">
        <v>248</v>
      </c>
      <c r="F3" s="3">
        <v>5</v>
      </c>
      <c r="G3" s="3">
        <v>5100</v>
      </c>
      <c r="H3" s="3">
        <v>28.04</v>
      </c>
      <c r="I3" s="3">
        <v>1027</v>
      </c>
      <c r="J3" s="3">
        <v>2</v>
      </c>
      <c r="K3" s="4">
        <f>(3600/(I3/8))*J3</f>
        <v>56.085686465433298</v>
      </c>
      <c r="L3" s="3"/>
      <c r="M3" s="1">
        <v>10.5</v>
      </c>
      <c r="N3" s="1">
        <v>20.3</v>
      </c>
      <c r="O3" s="2">
        <f>N3/J3</f>
        <v>10.15</v>
      </c>
      <c r="P3" s="1">
        <v>400</v>
      </c>
      <c r="Q3" s="1">
        <v>4.5</v>
      </c>
      <c r="R3" s="1" t="s">
        <v>87</v>
      </c>
      <c r="S3" s="6" t="s">
        <v>243</v>
      </c>
      <c r="T3" s="11" t="s">
        <v>267</v>
      </c>
      <c r="U3" s="1"/>
      <c r="V3" s="1"/>
      <c r="W3" s="1" t="s">
        <v>94</v>
      </c>
      <c r="X3" s="1"/>
      <c r="Y3" s="1"/>
      <c r="Z3" s="1"/>
    </row>
    <row r="4" spans="1:26" ht="24.9" customHeight="1" x14ac:dyDescent="0.3">
      <c r="A4" s="3" t="s">
        <v>26</v>
      </c>
      <c r="B4" s="3" t="s">
        <v>268</v>
      </c>
      <c r="C4" s="5">
        <v>46058</v>
      </c>
      <c r="D4" s="5">
        <v>46058</v>
      </c>
      <c r="E4" s="3" t="s">
        <v>269</v>
      </c>
      <c r="F4" s="3">
        <v>5</v>
      </c>
      <c r="G4" s="3">
        <v>4000</v>
      </c>
      <c r="H4" s="3">
        <v>28.74</v>
      </c>
      <c r="I4" s="3">
        <v>1002</v>
      </c>
      <c r="J4" s="3">
        <v>2</v>
      </c>
      <c r="K4" s="4">
        <f t="shared" ref="K4:K52" si="0">(3600/(I4/8))*J4</f>
        <v>57.485029940119759</v>
      </c>
      <c r="L4" s="3"/>
      <c r="M4" s="1">
        <v>9.6</v>
      </c>
      <c r="N4" s="1">
        <v>20.8</v>
      </c>
      <c r="O4" s="2">
        <f t="shared" ref="O4:O56" si="1">N4/J4</f>
        <v>10.4</v>
      </c>
      <c r="P4" s="1">
        <v>400</v>
      </c>
      <c r="Q4" s="1">
        <v>4.5</v>
      </c>
      <c r="R4" s="1" t="s">
        <v>87</v>
      </c>
      <c r="S4" s="6" t="s">
        <v>237</v>
      </c>
      <c r="T4" s="1" t="s">
        <v>270</v>
      </c>
      <c r="U4" s="1"/>
      <c r="V4" s="1"/>
      <c r="W4" s="1" t="s">
        <v>94</v>
      </c>
      <c r="X4" s="1"/>
      <c r="Y4" s="1"/>
      <c r="Z4" s="1"/>
    </row>
    <row r="5" spans="1:26" ht="24.9" customHeight="1" x14ac:dyDescent="0.3">
      <c r="A5" s="3" t="s">
        <v>27</v>
      </c>
      <c r="B5" s="3" t="s">
        <v>275</v>
      </c>
      <c r="C5" s="5">
        <v>46059</v>
      </c>
      <c r="D5" s="5">
        <v>46062</v>
      </c>
      <c r="E5" s="3" t="s">
        <v>276</v>
      </c>
      <c r="F5" s="3">
        <v>5</v>
      </c>
      <c r="G5" s="3">
        <v>3200</v>
      </c>
      <c r="H5" s="3">
        <v>29.3</v>
      </c>
      <c r="I5" s="3">
        <v>982</v>
      </c>
      <c r="J5" s="3">
        <v>2</v>
      </c>
      <c r="K5" s="4">
        <f t="shared" si="0"/>
        <v>58.655804480651732</v>
      </c>
      <c r="L5" s="3"/>
      <c r="M5" s="1">
        <v>10.4</v>
      </c>
      <c r="N5" s="1">
        <v>22</v>
      </c>
      <c r="O5" s="2">
        <f t="shared" si="1"/>
        <v>11</v>
      </c>
      <c r="P5" s="1">
        <v>400</v>
      </c>
      <c r="Q5" s="1">
        <v>4.5</v>
      </c>
      <c r="R5" s="1" t="s">
        <v>87</v>
      </c>
      <c r="S5" s="1" t="s">
        <v>250</v>
      </c>
      <c r="T5" s="19" t="s">
        <v>267</v>
      </c>
      <c r="U5" s="1"/>
      <c r="V5" s="1"/>
      <c r="W5" s="1"/>
      <c r="X5" s="1" t="s">
        <v>103</v>
      </c>
      <c r="Y5" s="1" t="s">
        <v>120</v>
      </c>
      <c r="Z5" s="1"/>
    </row>
    <row r="6" spans="1:26" ht="24.9" customHeight="1" x14ac:dyDescent="0.3">
      <c r="A6" s="3" t="s">
        <v>28</v>
      </c>
      <c r="B6" s="3" t="s">
        <v>743</v>
      </c>
      <c r="C6" s="5">
        <v>46100</v>
      </c>
      <c r="D6" s="5">
        <v>46105</v>
      </c>
      <c r="E6" s="3" t="s">
        <v>744</v>
      </c>
      <c r="F6" s="3">
        <v>6</v>
      </c>
      <c r="G6" s="3"/>
      <c r="H6" s="3">
        <v>18.37</v>
      </c>
      <c r="I6" s="3">
        <v>1567</v>
      </c>
      <c r="J6" s="3">
        <v>2</v>
      </c>
      <c r="K6" s="4">
        <f t="shared" si="0"/>
        <v>36.758136566687938</v>
      </c>
      <c r="L6" s="3"/>
      <c r="M6" s="1">
        <v>5.0999999999999996</v>
      </c>
      <c r="N6" s="1">
        <v>11.8</v>
      </c>
      <c r="O6" s="2">
        <f t="shared" si="1"/>
        <v>5.9</v>
      </c>
      <c r="P6" s="1">
        <v>800</v>
      </c>
      <c r="Q6" s="1">
        <v>4.3499999999999996</v>
      </c>
      <c r="R6" s="1" t="s">
        <v>87</v>
      </c>
      <c r="S6" s="1" t="s">
        <v>650</v>
      </c>
      <c r="T6" s="1" t="s">
        <v>745</v>
      </c>
      <c r="U6" s="1"/>
      <c r="V6" s="1"/>
      <c r="W6" s="1"/>
      <c r="X6" s="1"/>
      <c r="Y6" s="1"/>
      <c r="Z6" s="1"/>
    </row>
    <row r="7" spans="1:26" ht="24.9" customHeight="1" x14ac:dyDescent="0.3">
      <c r="A7" s="3" t="s">
        <v>29</v>
      </c>
      <c r="B7" s="3" t="s">
        <v>746</v>
      </c>
      <c r="C7" s="3" t="s">
        <v>757</v>
      </c>
      <c r="D7" s="5">
        <v>46105</v>
      </c>
      <c r="E7" s="3" t="s">
        <v>747</v>
      </c>
      <c r="F7" s="3">
        <v>7</v>
      </c>
      <c r="G7" s="3">
        <v>3250</v>
      </c>
      <c r="H7" s="3">
        <v>30.3</v>
      </c>
      <c r="I7" s="3">
        <v>950</v>
      </c>
      <c r="J7" s="3">
        <v>1</v>
      </c>
      <c r="K7" s="4">
        <f t="shared" si="0"/>
        <v>30.315789473684209</v>
      </c>
      <c r="L7" s="3"/>
      <c r="M7" s="1">
        <v>150</v>
      </c>
      <c r="N7" s="1"/>
      <c r="O7" s="2">
        <v>150</v>
      </c>
      <c r="P7" s="1">
        <v>130</v>
      </c>
      <c r="Q7" s="1"/>
      <c r="R7" s="1" t="s">
        <v>99</v>
      </c>
      <c r="S7" s="1" t="s">
        <v>650</v>
      </c>
      <c r="T7" s="1" t="s">
        <v>748</v>
      </c>
      <c r="U7" s="1"/>
      <c r="V7" s="1"/>
      <c r="W7" s="1" t="s">
        <v>103</v>
      </c>
      <c r="X7" s="1" t="s">
        <v>94</v>
      </c>
      <c r="Y7" s="1" t="s">
        <v>120</v>
      </c>
      <c r="Z7" s="1"/>
    </row>
    <row r="8" spans="1:26" ht="24.9" customHeight="1" x14ac:dyDescent="0.3">
      <c r="A8" s="3" t="s">
        <v>30</v>
      </c>
      <c r="B8" s="3" t="s">
        <v>758</v>
      </c>
      <c r="C8" s="5">
        <v>46106</v>
      </c>
      <c r="D8" s="5">
        <v>46106</v>
      </c>
      <c r="E8" s="5" t="s">
        <v>759</v>
      </c>
      <c r="F8" s="3">
        <v>7</v>
      </c>
      <c r="G8" s="3">
        <v>1500</v>
      </c>
      <c r="H8" s="3">
        <v>38.200000000000003</v>
      </c>
      <c r="I8" s="3">
        <v>753</v>
      </c>
      <c r="J8" s="3">
        <v>2</v>
      </c>
      <c r="K8" s="4">
        <f t="shared" si="0"/>
        <v>76.494023904382473</v>
      </c>
      <c r="L8" s="3">
        <v>38</v>
      </c>
      <c r="M8" s="1">
        <v>52.5</v>
      </c>
      <c r="N8" s="1">
        <v>109</v>
      </c>
      <c r="O8" s="2">
        <f t="shared" si="1"/>
        <v>54.5</v>
      </c>
      <c r="P8" s="1">
        <v>550</v>
      </c>
      <c r="Q8" s="1">
        <v>29.9</v>
      </c>
      <c r="R8" s="1" t="s">
        <v>99</v>
      </c>
      <c r="S8" s="1" t="s">
        <v>650</v>
      </c>
      <c r="T8" s="1" t="s">
        <v>748</v>
      </c>
      <c r="U8" s="1"/>
      <c r="V8" s="1"/>
      <c r="W8" s="1" t="s">
        <v>103</v>
      </c>
      <c r="X8" s="1" t="s">
        <v>94</v>
      </c>
      <c r="Y8" s="1" t="s">
        <v>120</v>
      </c>
      <c r="Z8" s="1"/>
    </row>
    <row r="9" spans="1:26" ht="24.9" customHeight="1" x14ac:dyDescent="0.3">
      <c r="A9" s="3" t="s">
        <v>31</v>
      </c>
      <c r="B9" s="3" t="s">
        <v>760</v>
      </c>
      <c r="C9" s="5">
        <v>46107</v>
      </c>
      <c r="D9" s="5">
        <v>46107</v>
      </c>
      <c r="E9" s="3" t="s">
        <v>761</v>
      </c>
      <c r="F9" s="3">
        <v>7</v>
      </c>
      <c r="G9" s="3">
        <v>1500</v>
      </c>
      <c r="H9" s="3">
        <v>37.200000000000003</v>
      </c>
      <c r="I9" s="3">
        <v>768</v>
      </c>
      <c r="J9" s="3">
        <v>2</v>
      </c>
      <c r="K9" s="4">
        <f t="shared" si="0"/>
        <v>75</v>
      </c>
      <c r="L9" s="3"/>
      <c r="M9" s="1">
        <v>23.2</v>
      </c>
      <c r="N9" s="1">
        <v>50.5</v>
      </c>
      <c r="O9" s="2">
        <f t="shared" si="1"/>
        <v>25.25</v>
      </c>
      <c r="P9" s="1">
        <v>1500</v>
      </c>
      <c r="Q9" s="1">
        <v>385.8</v>
      </c>
      <c r="R9" s="1" t="s">
        <v>99</v>
      </c>
      <c r="S9" s="1" t="s">
        <v>650</v>
      </c>
      <c r="T9" s="1" t="s">
        <v>748</v>
      </c>
      <c r="U9" s="1"/>
      <c r="V9" s="1"/>
      <c r="W9" s="1" t="s">
        <v>678</v>
      </c>
      <c r="X9" s="1" t="s">
        <v>94</v>
      </c>
      <c r="Y9" s="1" t="s">
        <v>120</v>
      </c>
      <c r="Z9" s="1"/>
    </row>
    <row r="10" spans="1:26" ht="24.9" customHeight="1" x14ac:dyDescent="0.3">
      <c r="A10" s="3" t="s">
        <v>32</v>
      </c>
      <c r="B10" s="3" t="s">
        <v>762</v>
      </c>
      <c r="C10" s="5">
        <v>46106</v>
      </c>
      <c r="D10" s="5">
        <v>46106</v>
      </c>
      <c r="E10" s="3" t="s">
        <v>763</v>
      </c>
      <c r="F10" s="3">
        <v>6</v>
      </c>
      <c r="G10" s="3">
        <v>1000</v>
      </c>
      <c r="H10" s="3">
        <v>32.25</v>
      </c>
      <c r="I10" s="3">
        <v>892</v>
      </c>
      <c r="J10" s="3">
        <v>2</v>
      </c>
      <c r="K10" s="4">
        <f t="shared" si="0"/>
        <v>64.573991031390136</v>
      </c>
      <c r="L10" s="3"/>
      <c r="M10" s="1">
        <v>6.6</v>
      </c>
      <c r="N10" s="1">
        <v>16.3</v>
      </c>
      <c r="O10" s="2">
        <f t="shared" si="1"/>
        <v>8.15</v>
      </c>
      <c r="P10" s="1">
        <v>500</v>
      </c>
      <c r="Q10" s="1">
        <v>3.6</v>
      </c>
      <c r="R10" s="1" t="s">
        <v>87</v>
      </c>
      <c r="S10" s="1" t="s">
        <v>650</v>
      </c>
      <c r="T10" s="17" t="s">
        <v>133</v>
      </c>
      <c r="U10" s="1" t="s">
        <v>647</v>
      </c>
      <c r="V10" s="14">
        <v>0.02</v>
      </c>
      <c r="W10" s="1" t="s">
        <v>678</v>
      </c>
      <c r="X10" s="1"/>
      <c r="Y10" s="1"/>
      <c r="Z10" s="1"/>
    </row>
    <row r="11" spans="1:26" ht="24.9" customHeight="1" x14ac:dyDescent="0.3">
      <c r="A11" s="3" t="s">
        <v>33</v>
      </c>
      <c r="B11" s="3" t="s">
        <v>764</v>
      </c>
      <c r="C11" s="5">
        <v>46106</v>
      </c>
      <c r="D11" s="5">
        <v>46106</v>
      </c>
      <c r="E11" s="3" t="s">
        <v>763</v>
      </c>
      <c r="F11" s="3">
        <v>6</v>
      </c>
      <c r="G11" s="3">
        <v>1000</v>
      </c>
      <c r="H11" s="3">
        <v>32.25</v>
      </c>
      <c r="I11" s="3">
        <v>892</v>
      </c>
      <c r="J11" s="3">
        <v>2</v>
      </c>
      <c r="K11" s="4">
        <f t="shared" si="0"/>
        <v>64.573991031390136</v>
      </c>
      <c r="L11" s="3"/>
      <c r="M11" s="1">
        <v>6.6</v>
      </c>
      <c r="N11" s="1">
        <v>16.3</v>
      </c>
      <c r="O11" s="2">
        <f t="shared" si="1"/>
        <v>8.15</v>
      </c>
      <c r="P11" s="1">
        <v>500</v>
      </c>
      <c r="Q11" s="1">
        <v>3.6</v>
      </c>
      <c r="R11" s="1" t="s">
        <v>87</v>
      </c>
      <c r="S11" s="1" t="s">
        <v>664</v>
      </c>
      <c r="T11" s="17" t="s">
        <v>133</v>
      </c>
      <c r="U11" s="1" t="s">
        <v>342</v>
      </c>
      <c r="V11" s="14">
        <v>0.02</v>
      </c>
      <c r="W11" s="1"/>
      <c r="X11" s="1"/>
      <c r="Y11" s="1"/>
      <c r="Z11" s="1"/>
    </row>
    <row r="12" spans="1:26" ht="24.9" customHeight="1" x14ac:dyDescent="0.3">
      <c r="A12" s="3" t="s">
        <v>34</v>
      </c>
      <c r="B12" s="3" t="s">
        <v>777</v>
      </c>
      <c r="C12" s="5">
        <v>46106</v>
      </c>
      <c r="D12" s="5">
        <v>46107</v>
      </c>
      <c r="E12" s="3" t="s">
        <v>763</v>
      </c>
      <c r="F12" s="3">
        <v>6</v>
      </c>
      <c r="G12" s="3">
        <v>1000</v>
      </c>
      <c r="H12" s="3">
        <v>32.25</v>
      </c>
      <c r="I12" s="3">
        <v>896</v>
      </c>
      <c r="J12" s="3">
        <v>2</v>
      </c>
      <c r="K12" s="4">
        <f t="shared" si="0"/>
        <v>64.285714285714292</v>
      </c>
      <c r="L12" s="3"/>
      <c r="M12" s="1">
        <v>6.6</v>
      </c>
      <c r="N12" s="1">
        <v>16.3</v>
      </c>
      <c r="O12" s="2">
        <f t="shared" si="1"/>
        <v>8.15</v>
      </c>
      <c r="P12" s="1">
        <v>500</v>
      </c>
      <c r="Q12" s="1">
        <v>3.6</v>
      </c>
      <c r="R12" s="1" t="s">
        <v>87</v>
      </c>
      <c r="S12" s="1" t="s">
        <v>662</v>
      </c>
      <c r="T12" s="17" t="s">
        <v>133</v>
      </c>
      <c r="U12" s="1" t="s">
        <v>344</v>
      </c>
      <c r="V12" s="14">
        <v>0.02</v>
      </c>
      <c r="W12" s="1"/>
      <c r="X12" s="1"/>
      <c r="Y12" s="1"/>
      <c r="Z12" s="1"/>
    </row>
    <row r="13" spans="1:26" ht="24.9" customHeight="1" x14ac:dyDescent="0.3">
      <c r="A13" s="3" t="s">
        <v>35</v>
      </c>
      <c r="B13" s="3" t="s">
        <v>778</v>
      </c>
      <c r="C13" s="5">
        <v>46107</v>
      </c>
      <c r="D13" s="5">
        <v>46107</v>
      </c>
      <c r="E13" s="3" t="s">
        <v>763</v>
      </c>
      <c r="F13" s="3">
        <v>6</v>
      </c>
      <c r="G13" s="3">
        <v>1000</v>
      </c>
      <c r="H13" s="3">
        <v>32.25</v>
      </c>
      <c r="I13" s="3">
        <v>896</v>
      </c>
      <c r="J13" s="3">
        <v>2</v>
      </c>
      <c r="K13" s="4">
        <f t="shared" si="0"/>
        <v>64.285714285714292</v>
      </c>
      <c r="L13" s="3"/>
      <c r="M13" s="1">
        <v>6.6</v>
      </c>
      <c r="N13" s="1">
        <v>16.3</v>
      </c>
      <c r="O13" s="2">
        <f t="shared" si="1"/>
        <v>8.15</v>
      </c>
      <c r="P13" s="1">
        <v>500</v>
      </c>
      <c r="Q13" s="1">
        <v>3.6</v>
      </c>
      <c r="R13" s="1" t="s">
        <v>87</v>
      </c>
      <c r="S13" s="1" t="s">
        <v>672</v>
      </c>
      <c r="T13" s="17" t="s">
        <v>133</v>
      </c>
      <c r="U13" s="1" t="s">
        <v>334</v>
      </c>
      <c r="V13" s="14">
        <v>0.02</v>
      </c>
      <c r="W13" s="1"/>
      <c r="X13" s="1"/>
      <c r="Y13" s="1"/>
      <c r="Z13" s="1"/>
    </row>
    <row r="14" spans="1:26" ht="24.9" customHeight="1" x14ac:dyDescent="0.3">
      <c r="A14" s="3" t="s">
        <v>36</v>
      </c>
      <c r="B14" s="3" t="s">
        <v>779</v>
      </c>
      <c r="C14" s="5">
        <v>46107</v>
      </c>
      <c r="D14" s="5">
        <v>46108</v>
      </c>
      <c r="E14" s="3" t="s">
        <v>763</v>
      </c>
      <c r="F14" s="3">
        <v>6</v>
      </c>
      <c r="G14" s="3">
        <v>6000</v>
      </c>
      <c r="H14" s="3">
        <v>32.25</v>
      </c>
      <c r="I14" s="3">
        <v>896</v>
      </c>
      <c r="J14" s="3">
        <v>2</v>
      </c>
      <c r="K14" s="4">
        <f t="shared" si="0"/>
        <v>64.285714285714292</v>
      </c>
      <c r="L14" s="3"/>
      <c r="M14" s="1">
        <v>6.6</v>
      </c>
      <c r="N14" s="1">
        <v>16.3</v>
      </c>
      <c r="O14" s="2">
        <f t="shared" si="1"/>
        <v>8.15</v>
      </c>
      <c r="P14" s="1">
        <v>500</v>
      </c>
      <c r="Q14" s="1">
        <v>3.6</v>
      </c>
      <c r="R14" s="1" t="s">
        <v>87</v>
      </c>
      <c r="S14" s="1" t="s">
        <v>674</v>
      </c>
      <c r="T14" s="17" t="s">
        <v>133</v>
      </c>
      <c r="U14" s="1" t="s">
        <v>780</v>
      </c>
      <c r="V14" s="14">
        <v>0.02</v>
      </c>
      <c r="W14" s="1"/>
      <c r="X14" s="1"/>
      <c r="Y14" s="1"/>
      <c r="Z14" s="1"/>
    </row>
    <row r="15" spans="1:26" ht="24.9" customHeight="1" x14ac:dyDescent="0.3">
      <c r="A15" s="3" t="s">
        <v>37</v>
      </c>
      <c r="B15" s="3" t="s">
        <v>781</v>
      </c>
      <c r="C15" s="5">
        <v>46108</v>
      </c>
      <c r="D15" s="5">
        <v>46108</v>
      </c>
      <c r="E15" s="3" t="s">
        <v>763</v>
      </c>
      <c r="F15" s="3">
        <v>6</v>
      </c>
      <c r="G15" s="3">
        <v>1000</v>
      </c>
      <c r="H15" s="3">
        <v>32.25</v>
      </c>
      <c r="I15" s="3">
        <v>896</v>
      </c>
      <c r="J15" s="3">
        <v>2</v>
      </c>
      <c r="K15" s="4">
        <f t="shared" si="0"/>
        <v>64.285714285714292</v>
      </c>
      <c r="L15" s="3"/>
      <c r="M15" s="1">
        <v>6.6</v>
      </c>
      <c r="N15" s="1">
        <v>16.3</v>
      </c>
      <c r="O15" s="2">
        <f t="shared" si="1"/>
        <v>8.15</v>
      </c>
      <c r="P15" s="1">
        <v>500</v>
      </c>
      <c r="Q15" s="1">
        <v>3.6</v>
      </c>
      <c r="R15" s="1" t="s">
        <v>87</v>
      </c>
      <c r="S15" s="1" t="s">
        <v>693</v>
      </c>
      <c r="T15" s="17" t="s">
        <v>133</v>
      </c>
      <c r="U15" s="1" t="s">
        <v>782</v>
      </c>
      <c r="V15" s="14">
        <v>0.02</v>
      </c>
      <c r="W15" s="1"/>
      <c r="X15" s="1"/>
      <c r="Y15" s="1"/>
      <c r="Z15" s="1"/>
    </row>
    <row r="16" spans="1:26" ht="24.9" customHeight="1" x14ac:dyDescent="0.3">
      <c r="A16" s="3" t="s">
        <v>38</v>
      </c>
      <c r="B16" s="3" t="s">
        <v>783</v>
      </c>
      <c r="C16" s="5">
        <v>46111</v>
      </c>
      <c r="D16" s="5">
        <v>46111</v>
      </c>
      <c r="E16" s="3" t="s">
        <v>763</v>
      </c>
      <c r="F16" s="3">
        <v>6</v>
      </c>
      <c r="G16" s="3">
        <v>1500</v>
      </c>
      <c r="H16" s="3">
        <v>32.25</v>
      </c>
      <c r="I16" s="3">
        <v>896</v>
      </c>
      <c r="J16" s="3">
        <v>2</v>
      </c>
      <c r="K16" s="4">
        <f t="shared" si="0"/>
        <v>64.285714285714292</v>
      </c>
      <c r="L16" s="3"/>
      <c r="M16" s="1">
        <v>6.6</v>
      </c>
      <c r="N16" s="1">
        <v>16.3</v>
      </c>
      <c r="O16" s="2">
        <f t="shared" si="1"/>
        <v>8.15</v>
      </c>
      <c r="P16" s="1">
        <v>500</v>
      </c>
      <c r="Q16" s="1">
        <v>3.6</v>
      </c>
      <c r="R16" s="1" t="s">
        <v>87</v>
      </c>
      <c r="S16" s="1" t="s">
        <v>784</v>
      </c>
      <c r="T16" s="17" t="s">
        <v>133</v>
      </c>
      <c r="U16" s="1" t="s">
        <v>193</v>
      </c>
      <c r="V16" s="14">
        <v>0.02</v>
      </c>
      <c r="W16" s="1"/>
      <c r="X16" s="1"/>
      <c r="Y16" s="1"/>
      <c r="Z16" s="1"/>
    </row>
    <row r="17" spans="1:26" ht="24.9" customHeight="1" x14ac:dyDescent="0.3">
      <c r="A17" s="3" t="s">
        <v>39</v>
      </c>
      <c r="B17" s="3" t="s">
        <v>882</v>
      </c>
      <c r="C17" s="5">
        <v>46122</v>
      </c>
      <c r="D17" s="5">
        <v>46126</v>
      </c>
      <c r="E17" s="3" t="s">
        <v>883</v>
      </c>
      <c r="F17" s="3">
        <v>6</v>
      </c>
      <c r="G17" s="3">
        <v>63000</v>
      </c>
      <c r="H17" s="3">
        <v>17.29</v>
      </c>
      <c r="I17" s="3">
        <v>11660</v>
      </c>
      <c r="J17" s="3">
        <v>7</v>
      </c>
      <c r="K17" s="4">
        <f t="shared" si="0"/>
        <v>17.289879931389365</v>
      </c>
      <c r="L17" s="3"/>
      <c r="M17" s="1">
        <v>2.2999999999999998</v>
      </c>
      <c r="N17" s="1">
        <v>17.899999999999999</v>
      </c>
      <c r="O17" s="2">
        <f t="shared" si="1"/>
        <v>2.5571428571428569</v>
      </c>
      <c r="P17" s="1">
        <v>9500</v>
      </c>
      <c r="Q17" s="1">
        <v>24</v>
      </c>
      <c r="R17" s="1" t="s">
        <v>92</v>
      </c>
      <c r="S17" s="1" t="s">
        <v>818</v>
      </c>
      <c r="T17" s="1" t="s">
        <v>884</v>
      </c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 t="s">
        <v>896</v>
      </c>
      <c r="C18" s="5">
        <v>46122</v>
      </c>
      <c r="D18" s="5">
        <v>46126</v>
      </c>
      <c r="E18" s="3" t="s">
        <v>897</v>
      </c>
      <c r="F18" s="3">
        <v>8</v>
      </c>
      <c r="G18" s="3">
        <v>5500</v>
      </c>
      <c r="H18" s="3">
        <v>31.3</v>
      </c>
      <c r="I18" s="3">
        <v>920</v>
      </c>
      <c r="J18" s="3">
        <v>1</v>
      </c>
      <c r="K18" s="4">
        <f t="shared" si="0"/>
        <v>31.304347826086957</v>
      </c>
      <c r="L18" s="3"/>
      <c r="M18" s="1">
        <v>104.5</v>
      </c>
      <c r="N18" s="1">
        <v>104.5</v>
      </c>
      <c r="O18" s="2">
        <f t="shared" si="1"/>
        <v>104.5</v>
      </c>
      <c r="P18" s="1">
        <v>150</v>
      </c>
      <c r="Q18" s="1">
        <v>17.5</v>
      </c>
      <c r="R18" s="1" t="s">
        <v>99</v>
      </c>
      <c r="S18" s="1" t="s">
        <v>818</v>
      </c>
      <c r="T18" s="1" t="s">
        <v>267</v>
      </c>
      <c r="U18" s="1"/>
      <c r="V18" s="1"/>
      <c r="W18" s="1" t="s">
        <v>103</v>
      </c>
      <c r="X18" s="1" t="s">
        <v>678</v>
      </c>
      <c r="Y18" s="1" t="s">
        <v>151</v>
      </c>
      <c r="Z18" s="1"/>
    </row>
    <row r="19" spans="1:26" ht="24.9" customHeight="1" x14ac:dyDescent="0.3">
      <c r="A19" s="3" t="s">
        <v>41</v>
      </c>
      <c r="B19" s="3" t="s">
        <v>910</v>
      </c>
      <c r="C19" s="5">
        <v>46126</v>
      </c>
      <c r="D19" s="5">
        <v>46128</v>
      </c>
      <c r="E19" s="3" t="s">
        <v>911</v>
      </c>
      <c r="F19" s="3">
        <v>8</v>
      </c>
      <c r="G19" s="3">
        <v>5515</v>
      </c>
      <c r="H19" s="3">
        <v>33.1</v>
      </c>
      <c r="I19" s="3">
        <v>870</v>
      </c>
      <c r="J19" s="3">
        <v>1</v>
      </c>
      <c r="K19" s="4">
        <f t="shared" si="0"/>
        <v>33.103448275862071</v>
      </c>
      <c r="L19" s="3">
        <v>190</v>
      </c>
      <c r="M19" s="1">
        <v>127</v>
      </c>
      <c r="N19" s="1">
        <v>127</v>
      </c>
      <c r="O19" s="2">
        <f t="shared" si="1"/>
        <v>127</v>
      </c>
      <c r="P19" s="1">
        <v>130</v>
      </c>
      <c r="Q19" s="1">
        <v>19.5</v>
      </c>
      <c r="R19" s="1" t="s">
        <v>99</v>
      </c>
      <c r="S19" s="1" t="s">
        <v>817</v>
      </c>
      <c r="T19" s="1" t="s">
        <v>748</v>
      </c>
      <c r="U19" s="1"/>
      <c r="V19" s="1"/>
      <c r="W19" s="1" t="s">
        <v>678</v>
      </c>
      <c r="X19" s="1"/>
      <c r="Y19" s="1"/>
      <c r="Z19" s="1"/>
    </row>
    <row r="20" spans="1:26" ht="24.9" customHeight="1" x14ac:dyDescent="0.3">
      <c r="A20" s="3" t="s">
        <v>42</v>
      </c>
      <c r="B20" s="11" t="s">
        <v>958</v>
      </c>
      <c r="C20" s="5">
        <v>46134</v>
      </c>
      <c r="D20" s="5">
        <v>46139</v>
      </c>
      <c r="E20" s="3" t="s">
        <v>959</v>
      </c>
      <c r="F20" s="3">
        <v>2</v>
      </c>
      <c r="G20" s="3">
        <v>6500</v>
      </c>
      <c r="H20" s="3">
        <v>31.1</v>
      </c>
      <c r="I20" s="3">
        <v>920</v>
      </c>
      <c r="J20" s="3">
        <v>1</v>
      </c>
      <c r="K20" s="4">
        <f t="shared" si="0"/>
        <v>31.304347826086957</v>
      </c>
      <c r="L20" s="3">
        <v>121</v>
      </c>
      <c r="M20" s="1">
        <v>42.9</v>
      </c>
      <c r="N20" s="1">
        <v>46.1</v>
      </c>
      <c r="O20" s="2">
        <f t="shared" si="1"/>
        <v>46.1</v>
      </c>
      <c r="P20" s="1">
        <v>114</v>
      </c>
      <c r="Q20" s="1">
        <v>5.85</v>
      </c>
      <c r="R20" s="1" t="s">
        <v>124</v>
      </c>
      <c r="S20" s="1" t="s">
        <v>818</v>
      </c>
      <c r="T20" s="1" t="s">
        <v>960</v>
      </c>
      <c r="U20" s="1"/>
      <c r="V20" s="1"/>
      <c r="W20" s="1" t="s">
        <v>103</v>
      </c>
      <c r="X20" s="1" t="s">
        <v>103</v>
      </c>
      <c r="Y20" s="1" t="s">
        <v>120</v>
      </c>
      <c r="Z20" s="1" t="s">
        <v>972</v>
      </c>
    </row>
    <row r="21" spans="1:26" ht="24.9" customHeight="1" x14ac:dyDescent="0.3">
      <c r="A21" s="3" t="s">
        <v>43</v>
      </c>
      <c r="B21" s="11" t="s">
        <v>969</v>
      </c>
      <c r="C21" s="5">
        <v>46139</v>
      </c>
      <c r="D21" s="5">
        <v>46139</v>
      </c>
      <c r="E21" s="3" t="s">
        <v>974</v>
      </c>
      <c r="F21" s="3">
        <v>2</v>
      </c>
      <c r="G21" s="3">
        <v>759</v>
      </c>
      <c r="H21" s="3">
        <v>31</v>
      </c>
      <c r="I21" s="3">
        <v>116</v>
      </c>
      <c r="J21" s="3">
        <v>1</v>
      </c>
      <c r="K21" s="4">
        <f t="shared" si="0"/>
        <v>248.27586206896552</v>
      </c>
      <c r="L21" s="3">
        <v>219</v>
      </c>
      <c r="M21" s="1">
        <v>43.4</v>
      </c>
      <c r="N21" s="1">
        <v>34.4</v>
      </c>
      <c r="O21" s="2">
        <f t="shared" si="1"/>
        <v>34.4</v>
      </c>
      <c r="P21" s="1">
        <v>114</v>
      </c>
      <c r="Q21" s="1">
        <v>5.85</v>
      </c>
      <c r="R21" s="1" t="s">
        <v>124</v>
      </c>
      <c r="S21" s="1" t="s">
        <v>817</v>
      </c>
      <c r="T21" s="1" t="s">
        <v>970</v>
      </c>
      <c r="U21" s="1" t="s">
        <v>971</v>
      </c>
      <c r="V21" s="14">
        <v>0.02</v>
      </c>
      <c r="W21" s="1" t="s">
        <v>103</v>
      </c>
      <c r="X21" s="1"/>
      <c r="Y21" s="1"/>
      <c r="Z21" s="1"/>
    </row>
    <row r="22" spans="1:26" ht="24.9" customHeight="1" x14ac:dyDescent="0.3">
      <c r="A22" s="3" t="s">
        <v>44</v>
      </c>
      <c r="B22" s="11" t="s">
        <v>973</v>
      </c>
      <c r="C22" s="5">
        <v>46136</v>
      </c>
      <c r="D22" s="5">
        <v>46140</v>
      </c>
      <c r="E22" s="3" t="s">
        <v>975</v>
      </c>
      <c r="F22" s="3">
        <v>2</v>
      </c>
      <c r="G22" s="3">
        <v>6510</v>
      </c>
      <c r="H22" s="3">
        <v>24.89</v>
      </c>
      <c r="I22" s="3">
        <v>1157</v>
      </c>
      <c r="J22" s="3">
        <v>1</v>
      </c>
      <c r="K22" s="4">
        <f t="shared" si="0"/>
        <v>24.891961970613657</v>
      </c>
      <c r="L22" s="3"/>
      <c r="M22" s="1">
        <v>25.6</v>
      </c>
      <c r="N22" s="1">
        <v>32.200000000000003</v>
      </c>
      <c r="O22" s="2">
        <f t="shared" si="1"/>
        <v>32.200000000000003</v>
      </c>
      <c r="P22" s="1">
        <v>70</v>
      </c>
      <c r="Q22" s="1">
        <v>2.65</v>
      </c>
      <c r="R22" s="1" t="s">
        <v>92</v>
      </c>
      <c r="S22" s="1" t="s">
        <v>818</v>
      </c>
      <c r="T22" s="1" t="s">
        <v>748</v>
      </c>
      <c r="U22" s="1"/>
      <c r="V22" s="1"/>
      <c r="W22" s="1" t="s">
        <v>94</v>
      </c>
      <c r="X22" s="1" t="s">
        <v>103</v>
      </c>
      <c r="Y22" s="1" t="s">
        <v>120</v>
      </c>
      <c r="Z22" s="1"/>
    </row>
    <row r="23" spans="1:26" ht="24.9" customHeight="1" x14ac:dyDescent="0.3">
      <c r="A23" s="3" t="s">
        <v>45</v>
      </c>
      <c r="B23" s="3" t="s">
        <v>987</v>
      </c>
      <c r="C23" s="5">
        <v>46139</v>
      </c>
      <c r="D23" s="5">
        <v>46156</v>
      </c>
      <c r="E23" s="3" t="s">
        <v>988</v>
      </c>
      <c r="F23" s="3">
        <v>2</v>
      </c>
      <c r="G23" s="3">
        <v>17000</v>
      </c>
      <c r="H23" s="3">
        <v>39.6</v>
      </c>
      <c r="I23" s="3">
        <v>720</v>
      </c>
      <c r="J23" s="3">
        <v>1</v>
      </c>
      <c r="K23" s="4">
        <f t="shared" si="0"/>
        <v>40</v>
      </c>
      <c r="L23" s="3"/>
      <c r="M23" s="1">
        <v>96.2</v>
      </c>
      <c r="N23" s="1">
        <v>96.2</v>
      </c>
      <c r="O23" s="2">
        <f t="shared" si="1"/>
        <v>96.2</v>
      </c>
      <c r="P23" s="1">
        <v>150</v>
      </c>
      <c r="Q23" s="1">
        <v>15.5</v>
      </c>
      <c r="R23" s="1" t="s">
        <v>99</v>
      </c>
      <c r="S23" s="1" t="s">
        <v>818</v>
      </c>
      <c r="T23" s="3" t="s">
        <v>989</v>
      </c>
      <c r="U23" s="11" t="s">
        <v>990</v>
      </c>
      <c r="V23" s="1"/>
      <c r="W23" s="1" t="s">
        <v>678</v>
      </c>
      <c r="X23" s="1"/>
      <c r="Y23" s="1"/>
      <c r="Z23" s="1"/>
    </row>
    <row r="24" spans="1:26" ht="24.9" customHeight="1" x14ac:dyDescent="0.3">
      <c r="A24" s="3" t="s">
        <v>46</v>
      </c>
      <c r="B24" s="11" t="s">
        <v>991</v>
      </c>
      <c r="C24" s="5">
        <v>46139</v>
      </c>
      <c r="D24" s="5">
        <v>46150</v>
      </c>
      <c r="E24" s="3" t="s">
        <v>992</v>
      </c>
      <c r="F24" s="3">
        <v>3</v>
      </c>
      <c r="G24" s="3">
        <v>17040</v>
      </c>
      <c r="H24" s="3">
        <v>31.2</v>
      </c>
      <c r="I24" s="3">
        <v>923</v>
      </c>
      <c r="J24" s="3">
        <v>1</v>
      </c>
      <c r="K24" s="4">
        <f t="shared" si="0"/>
        <v>31.202600216684722</v>
      </c>
      <c r="L24" s="3"/>
      <c r="M24" s="1">
        <v>100</v>
      </c>
      <c r="N24" s="1">
        <v>100</v>
      </c>
      <c r="O24" s="2">
        <f t="shared" si="1"/>
        <v>100</v>
      </c>
      <c r="P24" s="1">
        <v>80</v>
      </c>
      <c r="Q24" s="1">
        <v>8.5</v>
      </c>
      <c r="R24" s="1" t="s">
        <v>92</v>
      </c>
      <c r="S24" s="1" t="s">
        <v>818</v>
      </c>
      <c r="T24" s="1" t="s">
        <v>748</v>
      </c>
      <c r="U24" s="1"/>
      <c r="V24" s="1"/>
      <c r="W24" s="1"/>
      <c r="X24" s="1" t="s">
        <v>94</v>
      </c>
      <c r="Y24" s="1" t="s">
        <v>120</v>
      </c>
      <c r="Z24" s="1"/>
    </row>
    <row r="25" spans="1:26" ht="24.9" customHeight="1" x14ac:dyDescent="0.3">
      <c r="A25" s="3" t="s">
        <v>47</v>
      </c>
      <c r="B25" s="11" t="s">
        <v>996</v>
      </c>
      <c r="C25" s="5">
        <v>46140</v>
      </c>
      <c r="D25" s="5">
        <v>46141</v>
      </c>
      <c r="E25" s="3" t="s">
        <v>997</v>
      </c>
      <c r="F25" s="3">
        <v>5</v>
      </c>
      <c r="G25" s="3">
        <v>3040</v>
      </c>
      <c r="H25" s="3">
        <v>25.2</v>
      </c>
      <c r="I25" s="3">
        <v>1152</v>
      </c>
      <c r="J25" s="3">
        <v>1</v>
      </c>
      <c r="K25" s="4">
        <f t="shared" si="0"/>
        <v>25</v>
      </c>
      <c r="L25" s="3"/>
      <c r="M25" s="1">
        <v>25.2</v>
      </c>
      <c r="N25" s="1">
        <v>30.3</v>
      </c>
      <c r="O25" s="2">
        <f t="shared" si="1"/>
        <v>30.3</v>
      </c>
      <c r="P25" s="1">
        <v>80</v>
      </c>
      <c r="Q25" s="1">
        <v>2.5499999999999998</v>
      </c>
      <c r="R25" s="1" t="s">
        <v>92</v>
      </c>
      <c r="S25" s="1" t="s">
        <v>818</v>
      </c>
      <c r="T25" s="1" t="s">
        <v>748</v>
      </c>
      <c r="U25" s="1"/>
      <c r="V25" s="1"/>
      <c r="W25" s="1" t="s">
        <v>103</v>
      </c>
      <c r="X25" s="1"/>
      <c r="Y25" s="1"/>
      <c r="Z25" s="1"/>
    </row>
    <row r="26" spans="1:26" ht="24.9" customHeight="1" x14ac:dyDescent="0.3">
      <c r="A26" s="3" t="s">
        <v>48</v>
      </c>
      <c r="B26" s="11" t="s">
        <v>1008</v>
      </c>
      <c r="C26" s="5">
        <v>46141</v>
      </c>
      <c r="D26" s="5">
        <v>46146</v>
      </c>
      <c r="E26" s="3" t="s">
        <v>1009</v>
      </c>
      <c r="F26" s="3">
        <v>5</v>
      </c>
      <c r="G26" s="3">
        <v>4300</v>
      </c>
      <c r="H26" s="3">
        <v>25.14</v>
      </c>
      <c r="I26" s="3">
        <v>1145</v>
      </c>
      <c r="J26" s="3">
        <v>1</v>
      </c>
      <c r="K26" s="4">
        <f t="shared" si="0"/>
        <v>25.152838427947597</v>
      </c>
      <c r="L26" s="3"/>
      <c r="M26" s="1">
        <v>26</v>
      </c>
      <c r="N26" s="1">
        <v>31.2</v>
      </c>
      <c r="O26" s="2">
        <f t="shared" si="1"/>
        <v>31.2</v>
      </c>
      <c r="P26" s="1">
        <v>80</v>
      </c>
      <c r="Q26" s="1">
        <v>2.65</v>
      </c>
      <c r="R26" s="1" t="s">
        <v>92</v>
      </c>
      <c r="S26" s="1" t="s">
        <v>818</v>
      </c>
      <c r="T26" s="1" t="s">
        <v>748</v>
      </c>
      <c r="U26" s="1"/>
      <c r="V26" s="1"/>
      <c r="W26" s="1"/>
      <c r="X26" s="1" t="s">
        <v>1014</v>
      </c>
      <c r="Y26" s="1" t="s">
        <v>120</v>
      </c>
      <c r="Z26" s="1"/>
    </row>
    <row r="27" spans="1:26" ht="24.9" customHeight="1" x14ac:dyDescent="0.3">
      <c r="A27" s="3" t="s">
        <v>49</v>
      </c>
      <c r="B27" s="11" t="s">
        <v>1039</v>
      </c>
      <c r="C27" s="5">
        <v>46146</v>
      </c>
      <c r="D27" s="5">
        <v>46147</v>
      </c>
      <c r="E27" s="3" t="s">
        <v>1040</v>
      </c>
      <c r="F27" s="3">
        <v>5</v>
      </c>
      <c r="G27" s="3">
        <v>4320</v>
      </c>
      <c r="H27" s="3">
        <v>21.28</v>
      </c>
      <c r="I27" s="3">
        <v>1353</v>
      </c>
      <c r="J27" s="3">
        <v>1</v>
      </c>
      <c r="K27" s="4">
        <f t="shared" si="0"/>
        <v>21.286031042128602</v>
      </c>
      <c r="L27" s="3"/>
      <c r="M27" s="1">
        <v>86</v>
      </c>
      <c r="N27" s="1">
        <v>86</v>
      </c>
      <c r="O27" s="2">
        <f t="shared" si="1"/>
        <v>86</v>
      </c>
      <c r="P27" s="1">
        <v>80</v>
      </c>
      <c r="Q27" s="1">
        <v>3.65</v>
      </c>
      <c r="R27" s="1" t="s">
        <v>92</v>
      </c>
      <c r="S27" s="1" t="s">
        <v>817</v>
      </c>
      <c r="T27" s="1" t="s">
        <v>748</v>
      </c>
      <c r="U27" s="1"/>
      <c r="V27" s="1"/>
      <c r="W27" s="1" t="s">
        <v>678</v>
      </c>
      <c r="X27" s="1" t="s">
        <v>94</v>
      </c>
      <c r="Y27" s="1" t="s">
        <v>120</v>
      </c>
      <c r="Z27" s="1"/>
    </row>
    <row r="28" spans="1:26" ht="24.9" customHeight="1" x14ac:dyDescent="0.3">
      <c r="A28" s="3" t="s">
        <v>50</v>
      </c>
      <c r="B28" s="11" t="s">
        <v>1041</v>
      </c>
      <c r="C28" s="5">
        <v>46148</v>
      </c>
      <c r="D28" s="5">
        <v>46150</v>
      </c>
      <c r="E28" s="3" t="s">
        <v>1042</v>
      </c>
      <c r="F28" s="3">
        <v>5</v>
      </c>
      <c r="G28" s="3">
        <v>5625</v>
      </c>
      <c r="H28" s="3">
        <v>21.22</v>
      </c>
      <c r="I28" s="3">
        <v>1357</v>
      </c>
      <c r="J28" s="3">
        <v>1</v>
      </c>
      <c r="K28" s="4">
        <f t="shared" si="0"/>
        <v>21.223286661753868</v>
      </c>
      <c r="L28" s="3"/>
      <c r="M28" s="1">
        <v>79.2</v>
      </c>
      <c r="N28" s="1">
        <v>79.2</v>
      </c>
      <c r="O28" s="2">
        <f t="shared" si="1"/>
        <v>79.2</v>
      </c>
      <c r="P28" s="1">
        <v>90</v>
      </c>
      <c r="Q28" s="1">
        <v>7.6</v>
      </c>
      <c r="R28" s="1" t="s">
        <v>92</v>
      </c>
      <c r="S28" s="1" t="s">
        <v>1017</v>
      </c>
      <c r="T28" s="1" t="s">
        <v>748</v>
      </c>
      <c r="U28" s="1"/>
      <c r="V28" s="1"/>
      <c r="W28" s="1" t="s">
        <v>103</v>
      </c>
      <c r="X28" s="1"/>
      <c r="Y28" s="1"/>
      <c r="Z28" s="1"/>
    </row>
    <row r="29" spans="1:26" ht="24.9" customHeight="1" x14ac:dyDescent="0.3">
      <c r="A29" s="3" t="s">
        <v>51</v>
      </c>
      <c r="B29" s="3" t="s">
        <v>1087</v>
      </c>
      <c r="C29" s="5">
        <v>46160</v>
      </c>
      <c r="D29" s="5">
        <v>46162</v>
      </c>
      <c r="E29" s="3" t="s">
        <v>1088</v>
      </c>
      <c r="F29" s="3">
        <v>6</v>
      </c>
      <c r="G29" s="3">
        <v>5000</v>
      </c>
      <c r="H29" s="3">
        <v>31.03</v>
      </c>
      <c r="I29" s="3">
        <v>1856</v>
      </c>
      <c r="J29" s="3">
        <v>2</v>
      </c>
      <c r="K29" s="4">
        <f t="shared" si="0"/>
        <v>31.03448275862069</v>
      </c>
      <c r="L29" s="3"/>
      <c r="M29" s="1">
        <v>9.6</v>
      </c>
      <c r="N29" s="1">
        <v>20.9</v>
      </c>
      <c r="O29" s="2">
        <f t="shared" si="1"/>
        <v>10.45</v>
      </c>
      <c r="P29" s="1">
        <v>400</v>
      </c>
      <c r="Q29" s="1">
        <v>4.2</v>
      </c>
      <c r="R29" s="1" t="s">
        <v>87</v>
      </c>
      <c r="S29" s="1" t="s">
        <v>1017</v>
      </c>
      <c r="T29" s="1" t="s">
        <v>1089</v>
      </c>
      <c r="U29" s="1"/>
      <c r="V29" s="1"/>
      <c r="W29" s="1" t="s">
        <v>94</v>
      </c>
      <c r="X29" s="1"/>
      <c r="Y29" s="1"/>
      <c r="Z29" s="1"/>
    </row>
    <row r="30" spans="1:26" ht="24.9" customHeight="1" x14ac:dyDescent="0.3">
      <c r="A30" s="3" t="s">
        <v>52</v>
      </c>
      <c r="B30" s="3" t="s">
        <v>1103</v>
      </c>
      <c r="C30" s="5">
        <v>46162</v>
      </c>
      <c r="D30" s="5">
        <v>46163</v>
      </c>
      <c r="E30" s="3" t="s">
        <v>1104</v>
      </c>
      <c r="F30" s="3">
        <v>6</v>
      </c>
      <c r="G30" s="3">
        <v>5000</v>
      </c>
      <c r="H30" s="3">
        <v>30.87</v>
      </c>
      <c r="I30" s="3">
        <v>1865</v>
      </c>
      <c r="J30" s="3">
        <v>2</v>
      </c>
      <c r="K30" s="4">
        <f t="shared" si="0"/>
        <v>30.884718498659517</v>
      </c>
      <c r="L30" s="3">
        <v>418</v>
      </c>
      <c r="M30" s="1">
        <v>9.6</v>
      </c>
      <c r="N30" s="1">
        <v>20.8</v>
      </c>
      <c r="O30" s="2">
        <f t="shared" si="1"/>
        <v>10.4</v>
      </c>
      <c r="P30" s="1">
        <v>400</v>
      </c>
      <c r="Q30" s="1">
        <v>4.0999999999999996</v>
      </c>
      <c r="R30" s="1" t="s">
        <v>87</v>
      </c>
      <c r="S30" s="1" t="s">
        <v>1045</v>
      </c>
      <c r="T30" s="1" t="s">
        <v>1105</v>
      </c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 t="s">
        <v>1168</v>
      </c>
      <c r="C31" s="5">
        <v>46174</v>
      </c>
      <c r="D31" s="5">
        <v>46181</v>
      </c>
      <c r="E31" s="3" t="s">
        <v>1169</v>
      </c>
      <c r="F31" s="3">
        <v>3</v>
      </c>
      <c r="G31" s="3">
        <v>15000</v>
      </c>
      <c r="H31" s="3">
        <v>21.4</v>
      </c>
      <c r="I31" s="3">
        <v>2691</v>
      </c>
      <c r="J31" s="3">
        <v>2</v>
      </c>
      <c r="K31" s="4">
        <f t="shared" si="0"/>
        <v>21.404682274247492</v>
      </c>
      <c r="L31" s="3"/>
      <c r="M31" s="1">
        <v>5</v>
      </c>
      <c r="N31" s="1">
        <v>11.7</v>
      </c>
      <c r="O31" s="2">
        <f t="shared" si="1"/>
        <v>5.85</v>
      </c>
      <c r="P31" s="1">
        <v>800</v>
      </c>
      <c r="Q31" s="1">
        <v>4.3499999999999996</v>
      </c>
      <c r="R31" s="1" t="s">
        <v>87</v>
      </c>
      <c r="S31" s="1" t="s">
        <v>1156</v>
      </c>
      <c r="T31" s="1" t="s">
        <v>745</v>
      </c>
      <c r="U31" s="1"/>
      <c r="V31" s="1"/>
      <c r="W31" s="1" t="s">
        <v>678</v>
      </c>
      <c r="X31" s="1"/>
      <c r="Y31" s="1"/>
      <c r="Z31" s="1"/>
    </row>
    <row r="32" spans="1:26" ht="24.9" customHeight="1" x14ac:dyDescent="0.3">
      <c r="A32" s="3" t="s">
        <v>54</v>
      </c>
      <c r="B32" s="3" t="s">
        <v>1181</v>
      </c>
      <c r="C32" s="5">
        <v>46181</v>
      </c>
      <c r="D32" s="5">
        <v>46184</v>
      </c>
      <c r="E32" s="3" t="s">
        <v>1182</v>
      </c>
      <c r="F32" s="3">
        <v>2</v>
      </c>
      <c r="G32" s="3">
        <v>5200</v>
      </c>
      <c r="H32" s="3">
        <v>33.799999999999997</v>
      </c>
      <c r="I32" s="3">
        <v>852</v>
      </c>
      <c r="J32" s="3">
        <v>1</v>
      </c>
      <c r="K32" s="4">
        <f t="shared" si="0"/>
        <v>33.802816901408448</v>
      </c>
      <c r="L32" s="3">
        <v>198</v>
      </c>
      <c r="M32" s="1">
        <v>130.4</v>
      </c>
      <c r="N32" s="1">
        <v>130.4</v>
      </c>
      <c r="O32" s="2">
        <f t="shared" si="1"/>
        <v>130.4</v>
      </c>
      <c r="P32" s="1">
        <v>150</v>
      </c>
      <c r="Q32" s="1">
        <v>20.399999999999999</v>
      </c>
      <c r="R32" s="1" t="s">
        <v>99</v>
      </c>
      <c r="S32" s="1" t="s">
        <v>1156</v>
      </c>
      <c r="T32" s="1" t="s">
        <v>748</v>
      </c>
      <c r="U32" s="1"/>
      <c r="V32" s="1"/>
      <c r="W32" s="1" t="s">
        <v>678</v>
      </c>
      <c r="X32" s="1" t="s">
        <v>103</v>
      </c>
      <c r="Y32" s="1" t="s">
        <v>120</v>
      </c>
      <c r="Z32" s="1"/>
    </row>
    <row r="33" spans="1:26" ht="24.9" customHeight="1" x14ac:dyDescent="0.3">
      <c r="A33" s="3" t="s">
        <v>55</v>
      </c>
      <c r="B33" s="3" t="s">
        <v>779</v>
      </c>
      <c r="C33" s="5">
        <v>46182</v>
      </c>
      <c r="D33" s="5">
        <v>46184</v>
      </c>
      <c r="E33" s="3" t="s">
        <v>1190</v>
      </c>
      <c r="F33" s="3">
        <v>3</v>
      </c>
      <c r="G33" s="3">
        <v>4000</v>
      </c>
      <c r="H33" s="3">
        <v>33.700000000000003</v>
      </c>
      <c r="I33" s="3">
        <v>1709</v>
      </c>
      <c r="J33" s="3">
        <v>2</v>
      </c>
      <c r="K33" s="4">
        <f t="shared" si="0"/>
        <v>33.703920421299003</v>
      </c>
      <c r="L33" s="3"/>
      <c r="M33" s="1">
        <v>6.6</v>
      </c>
      <c r="N33" s="1">
        <v>16.3</v>
      </c>
      <c r="O33" s="2">
        <f t="shared" si="1"/>
        <v>8.15</v>
      </c>
      <c r="P33" s="1">
        <v>500</v>
      </c>
      <c r="Q33" s="1">
        <v>6.3</v>
      </c>
      <c r="R33" s="1" t="s">
        <v>87</v>
      </c>
      <c r="S33" s="1" t="s">
        <v>1156</v>
      </c>
      <c r="T33" s="17" t="s">
        <v>133</v>
      </c>
      <c r="U33" s="1" t="s">
        <v>780</v>
      </c>
      <c r="V33" s="14">
        <v>0.02</v>
      </c>
      <c r="W33" s="1" t="s">
        <v>678</v>
      </c>
      <c r="X33" s="1"/>
      <c r="Y33" s="1"/>
      <c r="Z33" s="1"/>
    </row>
    <row r="34" spans="1:26" ht="24.9" customHeight="1" x14ac:dyDescent="0.3">
      <c r="A34" s="3" t="s">
        <v>56</v>
      </c>
      <c r="B34" s="3" t="s">
        <v>1197</v>
      </c>
      <c r="C34" s="5">
        <v>46184</v>
      </c>
      <c r="D34" s="5">
        <v>46184</v>
      </c>
      <c r="E34" s="3" t="s">
        <v>1190</v>
      </c>
      <c r="F34" s="3">
        <v>3</v>
      </c>
      <c r="G34" s="3">
        <v>1500</v>
      </c>
      <c r="H34" s="3">
        <v>33.700000000000003</v>
      </c>
      <c r="I34" s="3">
        <v>1709</v>
      </c>
      <c r="J34" s="3">
        <v>2</v>
      </c>
      <c r="K34" s="4">
        <f t="shared" si="0"/>
        <v>33.703920421299003</v>
      </c>
      <c r="L34" s="3"/>
      <c r="M34" s="1">
        <v>6.6</v>
      </c>
      <c r="N34" s="1">
        <v>16</v>
      </c>
      <c r="O34" s="2">
        <f t="shared" si="1"/>
        <v>8</v>
      </c>
      <c r="P34" s="1">
        <v>500</v>
      </c>
      <c r="Q34" s="1">
        <v>6.3</v>
      </c>
      <c r="R34" s="1" t="s">
        <v>87</v>
      </c>
      <c r="S34" s="1" t="s">
        <v>1162</v>
      </c>
      <c r="T34" s="17" t="s">
        <v>133</v>
      </c>
      <c r="U34" s="1" t="s">
        <v>342</v>
      </c>
      <c r="V34" s="14">
        <v>0.02</v>
      </c>
      <c r="W34" s="1"/>
      <c r="X34" s="1"/>
      <c r="Y34" s="1"/>
      <c r="Z34" s="1"/>
    </row>
    <row r="35" spans="1:26" ht="24.9" customHeight="1" x14ac:dyDescent="0.3">
      <c r="A35" s="3" t="s">
        <v>57</v>
      </c>
      <c r="B35" s="3" t="s">
        <v>1203</v>
      </c>
      <c r="C35" s="33" t="s">
        <v>1201</v>
      </c>
      <c r="D35" s="5">
        <v>46185</v>
      </c>
      <c r="E35" s="3" t="s">
        <v>1190</v>
      </c>
      <c r="F35" s="3">
        <v>3</v>
      </c>
      <c r="G35" s="3">
        <v>3000</v>
      </c>
      <c r="H35" s="3">
        <v>33.700000000000003</v>
      </c>
      <c r="I35" s="3">
        <v>1709</v>
      </c>
      <c r="J35" s="3">
        <v>2</v>
      </c>
      <c r="K35" s="4">
        <f t="shared" si="0"/>
        <v>33.703920421299003</v>
      </c>
      <c r="L35" s="3"/>
      <c r="M35" s="1">
        <v>6.6</v>
      </c>
      <c r="N35" s="1">
        <v>16</v>
      </c>
      <c r="O35" s="2">
        <f t="shared" si="1"/>
        <v>8</v>
      </c>
      <c r="P35" s="1">
        <v>500</v>
      </c>
      <c r="Q35" s="1">
        <v>19.05</v>
      </c>
      <c r="R35" s="1" t="s">
        <v>87</v>
      </c>
      <c r="S35" s="1" t="s">
        <v>1174</v>
      </c>
      <c r="T35" s="17" t="s">
        <v>133</v>
      </c>
      <c r="U35" s="1" t="s">
        <v>344</v>
      </c>
      <c r="V35" s="14">
        <v>0.02</v>
      </c>
      <c r="W35" s="1"/>
      <c r="X35" s="1"/>
      <c r="Y35" s="1"/>
      <c r="Z35" s="1"/>
    </row>
    <row r="36" spans="1:26" ht="24.9" customHeight="1" x14ac:dyDescent="0.3">
      <c r="A36" s="3" t="s">
        <v>58</v>
      </c>
      <c r="B36" s="3" t="s">
        <v>762</v>
      </c>
      <c r="C36" s="5">
        <v>46185</v>
      </c>
      <c r="D36" s="5">
        <v>46185</v>
      </c>
      <c r="E36" s="3" t="s">
        <v>1190</v>
      </c>
      <c r="F36" s="3">
        <v>3</v>
      </c>
      <c r="G36" s="3">
        <v>2500</v>
      </c>
      <c r="H36" s="3">
        <v>33.700000000000003</v>
      </c>
      <c r="I36" s="3">
        <v>1709</v>
      </c>
      <c r="J36" s="3">
        <v>2</v>
      </c>
      <c r="K36" s="4">
        <f t="shared" si="0"/>
        <v>33.703920421299003</v>
      </c>
      <c r="L36" s="3"/>
      <c r="M36" s="1">
        <v>6.6</v>
      </c>
      <c r="N36" s="1">
        <v>16</v>
      </c>
      <c r="O36" s="2">
        <f t="shared" si="1"/>
        <v>8</v>
      </c>
      <c r="P36" s="1">
        <v>500</v>
      </c>
      <c r="Q36" s="1">
        <v>19.05</v>
      </c>
      <c r="R36" s="1" t="s">
        <v>87</v>
      </c>
      <c r="S36" s="1" t="s">
        <v>1192</v>
      </c>
      <c r="T36" s="17" t="s">
        <v>133</v>
      </c>
      <c r="U36" s="1" t="s">
        <v>647</v>
      </c>
      <c r="V36" s="14">
        <v>0.02</v>
      </c>
      <c r="W36" s="1"/>
      <c r="X36" s="1"/>
      <c r="Y36" s="1"/>
      <c r="Z36" s="1"/>
    </row>
    <row r="37" spans="1:26" ht="24.9" customHeight="1" x14ac:dyDescent="0.3">
      <c r="A37" s="3" t="s">
        <v>59</v>
      </c>
      <c r="B37" s="3" t="s">
        <v>1214</v>
      </c>
      <c r="C37" s="5">
        <v>46188</v>
      </c>
      <c r="D37" s="5">
        <v>46189</v>
      </c>
      <c r="E37" s="3" t="s">
        <v>1190</v>
      </c>
      <c r="F37" s="3">
        <v>3</v>
      </c>
      <c r="G37" s="3">
        <v>2500</v>
      </c>
      <c r="H37" s="3">
        <v>33.700000000000003</v>
      </c>
      <c r="I37" s="3">
        <v>1709</v>
      </c>
      <c r="J37" s="3">
        <v>2</v>
      </c>
      <c r="K37" s="4">
        <f t="shared" si="0"/>
        <v>33.703920421299003</v>
      </c>
      <c r="L37" s="3"/>
      <c r="M37" s="1">
        <v>6.6</v>
      </c>
      <c r="N37" s="1">
        <v>16</v>
      </c>
      <c r="O37" s="2">
        <f t="shared" si="1"/>
        <v>8</v>
      </c>
      <c r="P37" s="1">
        <v>500</v>
      </c>
      <c r="Q37" s="1">
        <v>19.05</v>
      </c>
      <c r="R37" s="1" t="s">
        <v>87</v>
      </c>
      <c r="S37" s="1" t="s">
        <v>1205</v>
      </c>
      <c r="T37" s="17" t="s">
        <v>133</v>
      </c>
      <c r="U37" s="1" t="s">
        <v>782</v>
      </c>
      <c r="V37" s="14">
        <v>0.02</v>
      </c>
      <c r="W37" s="1"/>
      <c r="X37" s="1"/>
      <c r="Y37" s="1"/>
      <c r="Z37" s="1"/>
    </row>
    <row r="38" spans="1:26" ht="24.9" customHeight="1" x14ac:dyDescent="0.3">
      <c r="A38" s="3" t="s">
        <v>60</v>
      </c>
      <c r="B38" s="3" t="s">
        <v>1215</v>
      </c>
      <c r="C38" s="5">
        <v>46189</v>
      </c>
      <c r="D38" s="5">
        <v>46190</v>
      </c>
      <c r="E38" s="3" t="s">
        <v>1190</v>
      </c>
      <c r="F38" s="3">
        <v>3</v>
      </c>
      <c r="G38" s="3">
        <v>1500</v>
      </c>
      <c r="H38" s="3">
        <v>33.700000000000003</v>
      </c>
      <c r="I38" s="3">
        <v>1709</v>
      </c>
      <c r="J38" s="3">
        <v>2</v>
      </c>
      <c r="K38" s="4">
        <f t="shared" si="0"/>
        <v>33.703920421299003</v>
      </c>
      <c r="L38" s="3"/>
      <c r="M38" s="1">
        <v>6.6</v>
      </c>
      <c r="N38" s="1">
        <v>16</v>
      </c>
      <c r="O38" s="2">
        <f t="shared" si="1"/>
        <v>8</v>
      </c>
      <c r="P38" s="1">
        <v>500</v>
      </c>
      <c r="Q38" s="1">
        <v>19.05</v>
      </c>
      <c r="R38" s="1" t="s">
        <v>87</v>
      </c>
      <c r="S38" s="1" t="s">
        <v>1206</v>
      </c>
      <c r="T38" s="17" t="s">
        <v>133</v>
      </c>
      <c r="U38" s="1" t="s">
        <v>193</v>
      </c>
      <c r="V38" s="14">
        <v>0.02</v>
      </c>
      <c r="W38" s="1"/>
      <c r="X38" s="1" t="s">
        <v>678</v>
      </c>
      <c r="Y38" s="1" t="s">
        <v>120</v>
      </c>
      <c r="Z38" s="1"/>
    </row>
    <row r="39" spans="1:26" ht="24.9" customHeight="1" x14ac:dyDescent="0.3">
      <c r="A39" s="3" t="s">
        <v>61</v>
      </c>
      <c r="B39" s="3" t="s">
        <v>1199</v>
      </c>
      <c r="C39" s="33" t="s">
        <v>1201</v>
      </c>
      <c r="D39" s="5">
        <v>46190</v>
      </c>
      <c r="E39" s="3" t="s">
        <v>1200</v>
      </c>
      <c r="F39" s="3">
        <v>2</v>
      </c>
      <c r="G39" s="3">
        <v>5213</v>
      </c>
      <c r="H39" s="3">
        <v>37.700000000000003</v>
      </c>
      <c r="I39" s="3">
        <v>763</v>
      </c>
      <c r="J39" s="3">
        <v>1</v>
      </c>
      <c r="K39" s="4">
        <f t="shared" ref="K39" si="2">(3600/(I39/8))*J39</f>
        <v>37.745740498034074</v>
      </c>
      <c r="L39" s="3">
        <v>293</v>
      </c>
      <c r="M39" s="1">
        <v>120</v>
      </c>
      <c r="N39" s="1">
        <v>120</v>
      </c>
      <c r="O39" s="2">
        <f t="shared" ref="O39" si="3">N39/J39</f>
        <v>120</v>
      </c>
      <c r="P39" s="1">
        <v>150</v>
      </c>
      <c r="Q39" s="1">
        <v>19.05</v>
      </c>
      <c r="R39" s="1" t="s">
        <v>99</v>
      </c>
      <c r="S39" s="1" t="s">
        <v>1156</v>
      </c>
      <c r="T39" s="1" t="s">
        <v>748</v>
      </c>
      <c r="U39" s="1"/>
      <c r="V39" s="1"/>
      <c r="W39" s="1" t="s">
        <v>103</v>
      </c>
      <c r="X39" s="1" t="s">
        <v>678</v>
      </c>
      <c r="Y39" s="1"/>
      <c r="Z39" s="1"/>
    </row>
    <row r="40" spans="1:26" ht="24.9" customHeight="1" x14ac:dyDescent="0.3">
      <c r="A40" s="3" t="s">
        <v>62</v>
      </c>
      <c r="B40" s="3" t="s">
        <v>1216</v>
      </c>
      <c r="C40" s="5">
        <v>46190</v>
      </c>
      <c r="D40" s="5">
        <v>46196</v>
      </c>
      <c r="E40" s="3" t="s">
        <v>1217</v>
      </c>
      <c r="F40" s="3">
        <v>2</v>
      </c>
      <c r="G40" s="3">
        <v>5250</v>
      </c>
      <c r="H40" s="3">
        <v>35.5</v>
      </c>
      <c r="I40" s="3">
        <v>811</v>
      </c>
      <c r="J40" s="3">
        <v>1</v>
      </c>
      <c r="K40" s="4">
        <f t="shared" si="0"/>
        <v>35.511713933415535</v>
      </c>
      <c r="L40" s="3">
        <v>88</v>
      </c>
      <c r="M40" s="1">
        <v>106.2</v>
      </c>
      <c r="N40" s="1">
        <v>106.2</v>
      </c>
      <c r="O40" s="2">
        <f t="shared" si="1"/>
        <v>106.2</v>
      </c>
      <c r="P40" s="1">
        <v>150</v>
      </c>
      <c r="Q40" s="1">
        <v>17.5</v>
      </c>
      <c r="R40" s="1" t="s">
        <v>99</v>
      </c>
      <c r="S40" s="1" t="s">
        <v>1156</v>
      </c>
      <c r="T40" s="1" t="s">
        <v>748</v>
      </c>
      <c r="U40" s="1"/>
      <c r="V40" s="1"/>
      <c r="W40" s="1" t="s">
        <v>678</v>
      </c>
      <c r="X40" s="1" t="s">
        <v>94</v>
      </c>
      <c r="Y40" s="1" t="s">
        <v>120</v>
      </c>
      <c r="Z40" s="1"/>
    </row>
    <row r="41" spans="1:26" ht="24.9" customHeight="1" x14ac:dyDescent="0.3">
      <c r="A41" s="3" t="s">
        <v>63</v>
      </c>
      <c r="B41" s="19" t="s">
        <v>1230</v>
      </c>
      <c r="C41" s="5">
        <v>46196</v>
      </c>
      <c r="D41" s="5">
        <v>46204</v>
      </c>
      <c r="E41" s="3" t="s">
        <v>1231</v>
      </c>
      <c r="F41" s="3">
        <v>2</v>
      </c>
      <c r="G41" s="3">
        <v>10602</v>
      </c>
      <c r="H41" s="3">
        <v>30.7</v>
      </c>
      <c r="I41" s="3">
        <v>938</v>
      </c>
      <c r="J41" s="3">
        <v>1</v>
      </c>
      <c r="K41" s="4">
        <f t="shared" si="0"/>
        <v>30.703624733475479</v>
      </c>
      <c r="L41" s="3">
        <v>185</v>
      </c>
      <c r="M41" s="1">
        <v>43.6</v>
      </c>
      <c r="N41" s="1">
        <v>46.8</v>
      </c>
      <c r="O41" s="2">
        <f t="shared" si="1"/>
        <v>46.8</v>
      </c>
      <c r="P41" s="1">
        <v>114</v>
      </c>
      <c r="Q41" s="1">
        <v>2.5499999999999998</v>
      </c>
      <c r="R41" s="1" t="s">
        <v>124</v>
      </c>
      <c r="S41" s="1" t="s">
        <v>1156</v>
      </c>
      <c r="T41" s="1" t="s">
        <v>748</v>
      </c>
      <c r="U41" s="1"/>
      <c r="V41" s="1"/>
      <c r="W41" s="1" t="s">
        <v>94</v>
      </c>
      <c r="X41" s="1" t="s">
        <v>94</v>
      </c>
      <c r="Y41" s="1"/>
      <c r="Z41" s="1"/>
    </row>
    <row r="42" spans="1:26" ht="24.9" customHeight="1" x14ac:dyDescent="0.3">
      <c r="A42" s="3" t="s">
        <v>64</v>
      </c>
      <c r="B42" s="19" t="s">
        <v>1250</v>
      </c>
      <c r="C42" s="5">
        <v>46204</v>
      </c>
      <c r="D42" s="5">
        <v>46206</v>
      </c>
      <c r="E42" s="3" t="s">
        <v>1251</v>
      </c>
      <c r="F42" s="3">
        <v>2</v>
      </c>
      <c r="G42" s="3">
        <v>2052</v>
      </c>
      <c r="H42" s="3">
        <v>30.7</v>
      </c>
      <c r="I42" s="3">
        <v>938</v>
      </c>
      <c r="J42" s="3">
        <v>1</v>
      </c>
      <c r="K42" s="4">
        <f t="shared" si="0"/>
        <v>30.703624733475479</v>
      </c>
      <c r="L42" s="3"/>
      <c r="M42" s="1">
        <v>44.1</v>
      </c>
      <c r="N42" s="1">
        <v>47.7</v>
      </c>
      <c r="O42" s="2">
        <f t="shared" si="1"/>
        <v>47.7</v>
      </c>
      <c r="P42" s="1">
        <v>114</v>
      </c>
      <c r="Q42" s="1">
        <v>2.5499999999999998</v>
      </c>
      <c r="R42" s="1" t="s">
        <v>124</v>
      </c>
      <c r="S42" s="1" t="s">
        <v>1252</v>
      </c>
      <c r="T42" s="1" t="s">
        <v>1253</v>
      </c>
      <c r="U42" s="1" t="s">
        <v>1254</v>
      </c>
      <c r="V42" s="14">
        <v>0.02</v>
      </c>
      <c r="W42" s="1" t="s">
        <v>94</v>
      </c>
      <c r="X42" s="1" t="s">
        <v>94</v>
      </c>
      <c r="Y42" s="1" t="s">
        <v>120</v>
      </c>
      <c r="Z42" s="1"/>
    </row>
    <row r="43" spans="1:26" ht="24.9" customHeight="1" x14ac:dyDescent="0.3">
      <c r="A43" s="3" t="s">
        <v>65</v>
      </c>
      <c r="B43" s="11" t="s">
        <v>991</v>
      </c>
      <c r="C43" s="5">
        <v>46205</v>
      </c>
      <c r="D43" s="5">
        <v>46212</v>
      </c>
      <c r="E43" s="3" t="s">
        <v>1261</v>
      </c>
      <c r="F43" s="3">
        <v>6</v>
      </c>
      <c r="G43" s="3">
        <v>11040</v>
      </c>
      <c r="H43" s="3">
        <v>27.6</v>
      </c>
      <c r="I43" s="3">
        <v>1043</v>
      </c>
      <c r="J43" s="3">
        <v>1</v>
      </c>
      <c r="K43" s="4">
        <f t="shared" si="0"/>
        <v>27.612655800575265</v>
      </c>
      <c r="L43" s="3">
        <v>175</v>
      </c>
      <c r="M43" s="1">
        <v>100.2</v>
      </c>
      <c r="N43" s="1">
        <v>100.2</v>
      </c>
      <c r="O43" s="2">
        <f t="shared" si="1"/>
        <v>100.2</v>
      </c>
      <c r="P43" s="1">
        <v>80</v>
      </c>
      <c r="Q43" s="1"/>
      <c r="R43" s="1" t="s">
        <v>92</v>
      </c>
      <c r="S43" s="1" t="s">
        <v>1252</v>
      </c>
      <c r="T43" s="1" t="s">
        <v>748</v>
      </c>
      <c r="U43" s="1"/>
      <c r="V43" s="1"/>
      <c r="W43" s="1" t="s">
        <v>103</v>
      </c>
      <c r="X43" s="1"/>
      <c r="Y43" s="1"/>
      <c r="Z43" s="1"/>
    </row>
    <row r="44" spans="1:26" ht="24.9" customHeight="1" x14ac:dyDescent="0.3">
      <c r="A44" s="3" t="s">
        <v>66</v>
      </c>
      <c r="B44" s="3" t="s">
        <v>1262</v>
      </c>
      <c r="C44" s="5">
        <v>46206</v>
      </c>
      <c r="D44" s="5">
        <v>46225</v>
      </c>
      <c r="E44" s="3" t="s">
        <v>1263</v>
      </c>
      <c r="F44" s="3">
        <v>2</v>
      </c>
      <c r="G44" s="3">
        <v>23000</v>
      </c>
      <c r="H44" s="3">
        <v>39.200000000000003</v>
      </c>
      <c r="I44" s="3">
        <v>734</v>
      </c>
      <c r="J44" s="3">
        <v>1</v>
      </c>
      <c r="K44" s="4">
        <f t="shared" si="0"/>
        <v>39.237057220708444</v>
      </c>
      <c r="L44" s="3"/>
      <c r="M44" s="1">
        <v>101.7</v>
      </c>
      <c r="N44" s="1">
        <v>101.7</v>
      </c>
      <c r="O44" s="2">
        <f t="shared" si="1"/>
        <v>101.7</v>
      </c>
      <c r="P44" s="1">
        <v>150</v>
      </c>
      <c r="Q44" s="1">
        <v>16.25</v>
      </c>
      <c r="R44" s="1" t="s">
        <v>99</v>
      </c>
      <c r="S44" s="1" t="s">
        <v>1252</v>
      </c>
      <c r="T44" s="20" t="s">
        <v>1264</v>
      </c>
      <c r="U44" s="1"/>
      <c r="V44" s="1"/>
      <c r="W44" s="1" t="s">
        <v>1265</v>
      </c>
      <c r="X44" s="1" t="s">
        <v>678</v>
      </c>
      <c r="Y44" s="1" t="s">
        <v>120</v>
      </c>
      <c r="Z44" s="1"/>
    </row>
    <row r="45" spans="1:26" ht="24.9" customHeight="1" x14ac:dyDescent="0.3">
      <c r="A45" s="3" t="s">
        <v>67</v>
      </c>
      <c r="B45" s="11" t="s">
        <v>1008</v>
      </c>
      <c r="C45" s="5">
        <v>46209</v>
      </c>
      <c r="D45" s="5">
        <v>46211</v>
      </c>
      <c r="E45" s="3" t="s">
        <v>1281</v>
      </c>
      <c r="F45" s="3">
        <v>5</v>
      </c>
      <c r="G45" s="3">
        <v>4560</v>
      </c>
      <c r="H45" s="3">
        <v>26.9</v>
      </c>
      <c r="I45" s="3">
        <v>1070</v>
      </c>
      <c r="J45" s="3">
        <v>1</v>
      </c>
      <c r="K45" s="4">
        <f t="shared" si="0"/>
        <v>26.915887850467289</v>
      </c>
      <c r="L45" s="3">
        <v>506</v>
      </c>
      <c r="M45" s="1">
        <v>26</v>
      </c>
      <c r="N45" s="1">
        <v>26</v>
      </c>
      <c r="O45" s="2">
        <f t="shared" si="1"/>
        <v>26</v>
      </c>
      <c r="P45" s="1">
        <v>80</v>
      </c>
      <c r="Q45" s="1">
        <v>2.9</v>
      </c>
      <c r="R45" s="1" t="s">
        <v>92</v>
      </c>
      <c r="S45" s="1" t="s">
        <v>1252</v>
      </c>
      <c r="T45" s="1" t="s">
        <v>748</v>
      </c>
      <c r="U45" s="1"/>
      <c r="V45" s="1"/>
      <c r="W45" s="1" t="s">
        <v>103</v>
      </c>
      <c r="X45" s="1" t="s">
        <v>678</v>
      </c>
      <c r="Y45" s="1"/>
      <c r="Z45" s="1" t="s">
        <v>1290</v>
      </c>
    </row>
    <row r="46" spans="1:26" ht="24.9" customHeight="1" x14ac:dyDescent="0.3">
      <c r="A46" s="3" t="s">
        <v>68</v>
      </c>
      <c r="B46" s="11" t="s">
        <v>973</v>
      </c>
      <c r="C46" s="5">
        <v>46211</v>
      </c>
      <c r="D46" s="5">
        <v>46213</v>
      </c>
      <c r="E46" s="3" t="s">
        <v>1291</v>
      </c>
      <c r="F46" s="3">
        <v>5</v>
      </c>
      <c r="G46" s="3">
        <v>5500</v>
      </c>
      <c r="H46" s="3">
        <v>26.9</v>
      </c>
      <c r="I46" s="3">
        <v>1070</v>
      </c>
      <c r="J46" s="3">
        <v>1</v>
      </c>
      <c r="K46" s="4">
        <f t="shared" si="0"/>
        <v>26.915887850467289</v>
      </c>
      <c r="L46" s="3"/>
      <c r="M46" s="1">
        <v>25.7</v>
      </c>
      <c r="N46" s="1">
        <v>32.200000000000003</v>
      </c>
      <c r="O46" s="2">
        <f t="shared" si="1"/>
        <v>32.200000000000003</v>
      </c>
      <c r="P46" s="1">
        <v>70</v>
      </c>
      <c r="Q46" s="1">
        <v>2.4</v>
      </c>
      <c r="R46" s="1" t="s">
        <v>92</v>
      </c>
      <c r="S46" s="1" t="s">
        <v>1270</v>
      </c>
      <c r="T46" s="1" t="s">
        <v>748</v>
      </c>
      <c r="U46" s="1"/>
      <c r="V46" s="1"/>
      <c r="W46" s="1" t="s">
        <v>678</v>
      </c>
      <c r="X46" s="1" t="s">
        <v>103</v>
      </c>
      <c r="Y46" s="1" t="s">
        <v>120</v>
      </c>
      <c r="Z46" s="1"/>
    </row>
    <row r="47" spans="1:26" ht="24.9" customHeight="1" x14ac:dyDescent="0.3">
      <c r="A47" s="3" t="s">
        <v>69</v>
      </c>
      <c r="B47" s="11" t="s">
        <v>1292</v>
      </c>
      <c r="C47" s="5">
        <v>46212</v>
      </c>
      <c r="D47" s="5">
        <v>46216</v>
      </c>
      <c r="E47" s="3" t="s">
        <v>1293</v>
      </c>
      <c r="F47" s="3">
        <v>6</v>
      </c>
      <c r="G47" s="3">
        <v>5810</v>
      </c>
      <c r="H47" s="3">
        <v>24.52</v>
      </c>
      <c r="I47" s="3">
        <v>1168</v>
      </c>
      <c r="J47" s="3">
        <v>1</v>
      </c>
      <c r="K47" s="4">
        <f t="shared" si="0"/>
        <v>24.657534246575342</v>
      </c>
      <c r="L47" s="3"/>
      <c r="M47" s="1">
        <v>81.7</v>
      </c>
      <c r="N47" s="1">
        <v>81.7</v>
      </c>
      <c r="O47" s="2">
        <f t="shared" si="1"/>
        <v>81.7</v>
      </c>
      <c r="P47" s="1">
        <v>80</v>
      </c>
      <c r="Q47" s="1">
        <v>7</v>
      </c>
      <c r="R47" s="1" t="s">
        <v>92</v>
      </c>
      <c r="S47" s="1" t="s">
        <v>1252</v>
      </c>
      <c r="T47" s="1" t="s">
        <v>748</v>
      </c>
      <c r="U47" s="1"/>
      <c r="V47" s="1"/>
      <c r="W47" s="1" t="s">
        <v>103</v>
      </c>
      <c r="X47" s="1" t="s">
        <v>678</v>
      </c>
      <c r="Y47" s="1"/>
      <c r="Z47" s="1"/>
    </row>
    <row r="48" spans="1:26" ht="24.9" customHeight="1" x14ac:dyDescent="0.3">
      <c r="A48" s="3" t="s">
        <v>70</v>
      </c>
      <c r="B48" s="11" t="s">
        <v>1304</v>
      </c>
      <c r="C48" s="5">
        <v>46216</v>
      </c>
      <c r="D48" s="3" t="s">
        <v>1312</v>
      </c>
      <c r="E48" s="13" t="s">
        <v>1305</v>
      </c>
      <c r="F48" s="3">
        <v>5</v>
      </c>
      <c r="G48" s="3">
        <v>2720</v>
      </c>
      <c r="H48" s="3">
        <v>26.92</v>
      </c>
      <c r="I48" s="3">
        <v>1068</v>
      </c>
      <c r="J48" s="3">
        <v>1</v>
      </c>
      <c r="K48" s="4">
        <f t="shared" si="0"/>
        <v>26.966292134831459</v>
      </c>
      <c r="L48" s="3"/>
      <c r="M48" s="1">
        <v>25.5</v>
      </c>
      <c r="N48" s="1">
        <v>25.5</v>
      </c>
      <c r="O48" s="2">
        <f t="shared" si="1"/>
        <v>25.5</v>
      </c>
      <c r="P48" s="1">
        <v>80</v>
      </c>
      <c r="Q48" s="1">
        <v>2.6</v>
      </c>
      <c r="R48" s="1" t="s">
        <v>92</v>
      </c>
      <c r="S48" s="1" t="s">
        <v>1252</v>
      </c>
      <c r="T48" s="1" t="s">
        <v>748</v>
      </c>
      <c r="U48" s="1"/>
      <c r="V48" s="16"/>
      <c r="W48" s="1" t="s">
        <v>678</v>
      </c>
      <c r="X48" s="1" t="s">
        <v>678</v>
      </c>
      <c r="Y48" s="1" t="s">
        <v>120</v>
      </c>
      <c r="Z48" s="1"/>
    </row>
    <row r="49" spans="1:26" ht="24.9" customHeight="1" x14ac:dyDescent="0.3">
      <c r="A49" s="3" t="s">
        <v>71</v>
      </c>
      <c r="B49" s="11" t="s">
        <v>1307</v>
      </c>
      <c r="C49" s="5">
        <v>46216</v>
      </c>
      <c r="D49" s="5">
        <v>46217</v>
      </c>
      <c r="E49" s="3" t="s">
        <v>1311</v>
      </c>
      <c r="F49" s="3">
        <v>6</v>
      </c>
      <c r="G49" s="3">
        <v>4560</v>
      </c>
      <c r="H49" s="3">
        <v>23.18</v>
      </c>
      <c r="I49" s="3">
        <v>1242</v>
      </c>
      <c r="J49" s="3">
        <v>1</v>
      </c>
      <c r="K49" s="4">
        <f t="shared" si="0"/>
        <v>23.188405797101449</v>
      </c>
      <c r="L49" s="3"/>
      <c r="M49" s="1">
        <v>84.2</v>
      </c>
      <c r="N49" s="1">
        <v>84.2</v>
      </c>
      <c r="O49" s="2">
        <f t="shared" si="1"/>
        <v>84.2</v>
      </c>
      <c r="P49" s="1">
        <v>80</v>
      </c>
      <c r="Q49" s="1">
        <v>3.65</v>
      </c>
      <c r="R49" s="1" t="s">
        <v>92</v>
      </c>
      <c r="S49" s="1" t="s">
        <v>1252</v>
      </c>
      <c r="T49" s="1" t="s">
        <v>748</v>
      </c>
      <c r="U49" s="1"/>
      <c r="V49" s="1"/>
      <c r="W49" s="1" t="s">
        <v>678</v>
      </c>
      <c r="X49" s="1" t="s">
        <v>94</v>
      </c>
      <c r="Y49" s="1" t="s">
        <v>120</v>
      </c>
      <c r="Z49" s="1"/>
    </row>
    <row r="50" spans="1:26" ht="24.9" customHeight="1" x14ac:dyDescent="0.3">
      <c r="A50" s="3" t="s">
        <v>72</v>
      </c>
      <c r="B50" s="3" t="s">
        <v>1461</v>
      </c>
      <c r="C50" s="5">
        <v>46252</v>
      </c>
      <c r="D50" s="5">
        <v>46253</v>
      </c>
      <c r="E50" s="3" t="s">
        <v>1462</v>
      </c>
      <c r="F50" s="3">
        <v>4</v>
      </c>
      <c r="G50" s="3">
        <v>2750</v>
      </c>
      <c r="H50" s="3">
        <v>24.4</v>
      </c>
      <c r="I50" s="3">
        <v>2360</v>
      </c>
      <c r="J50" s="3">
        <v>2</v>
      </c>
      <c r="K50" s="4">
        <f t="shared" si="0"/>
        <v>24.406779661016948</v>
      </c>
      <c r="L50" s="3"/>
      <c r="M50" s="1">
        <v>5.3</v>
      </c>
      <c r="N50" s="1">
        <v>12.1</v>
      </c>
      <c r="O50" s="2">
        <f t="shared" si="1"/>
        <v>6.05</v>
      </c>
      <c r="P50" s="1">
        <v>800</v>
      </c>
      <c r="Q50" s="1">
        <v>4.5</v>
      </c>
      <c r="R50" s="1" t="s">
        <v>87</v>
      </c>
      <c r="S50" s="1" t="s">
        <v>1392</v>
      </c>
      <c r="T50" s="11" t="s">
        <v>748</v>
      </c>
      <c r="U50" s="1"/>
      <c r="V50" s="1"/>
      <c r="W50" s="1" t="s">
        <v>1068</v>
      </c>
      <c r="X50" s="1" t="s">
        <v>103</v>
      </c>
      <c r="Y50" s="1" t="s">
        <v>833</v>
      </c>
      <c r="Z50" s="1" t="s">
        <v>1511</v>
      </c>
    </row>
    <row r="51" spans="1:26" ht="24.9" customHeight="1" x14ac:dyDescent="0.3">
      <c r="A51" s="3" t="s">
        <v>73</v>
      </c>
      <c r="B51" s="3" t="s">
        <v>1487</v>
      </c>
      <c r="C51" s="5">
        <v>46253</v>
      </c>
      <c r="D51" s="5">
        <v>46254</v>
      </c>
      <c r="E51" s="3" t="s">
        <v>1488</v>
      </c>
      <c r="F51" s="3">
        <v>4</v>
      </c>
      <c r="G51" s="3">
        <v>800</v>
      </c>
      <c r="H51" s="3">
        <v>24.4</v>
      </c>
      <c r="I51" s="3">
        <v>2360</v>
      </c>
      <c r="J51" s="3">
        <v>2</v>
      </c>
      <c r="K51" s="4">
        <f t="shared" si="0"/>
        <v>24.406779661016948</v>
      </c>
      <c r="L51" s="3"/>
      <c r="M51" s="1">
        <v>5.2</v>
      </c>
      <c r="N51" s="1">
        <v>12.1</v>
      </c>
      <c r="O51" s="2">
        <f t="shared" si="1"/>
        <v>6.05</v>
      </c>
      <c r="P51" s="1">
        <v>800</v>
      </c>
      <c r="Q51" s="1">
        <v>4.5</v>
      </c>
      <c r="R51" s="1" t="s">
        <v>87</v>
      </c>
      <c r="S51" s="1" t="s">
        <v>1403</v>
      </c>
      <c r="T51" s="1" t="s">
        <v>1489</v>
      </c>
      <c r="U51" s="1"/>
      <c r="V51" s="1"/>
      <c r="W51" s="1" t="s">
        <v>103</v>
      </c>
      <c r="X51" s="1" t="s">
        <v>103</v>
      </c>
      <c r="Y51" s="1"/>
      <c r="Z51" s="1" t="s">
        <v>1490</v>
      </c>
    </row>
    <row r="52" spans="1:26" ht="24.9" customHeight="1" x14ac:dyDescent="0.3">
      <c r="A52" s="3" t="s">
        <v>74</v>
      </c>
      <c r="B52" s="3" t="s">
        <v>1500</v>
      </c>
      <c r="C52" s="5">
        <v>46260</v>
      </c>
      <c r="D52" s="5">
        <v>46261</v>
      </c>
      <c r="E52" s="3" t="s">
        <v>1501</v>
      </c>
      <c r="F52" s="3">
        <v>4</v>
      </c>
      <c r="G52" s="3">
        <v>2870</v>
      </c>
      <c r="H52" s="3">
        <v>29.6</v>
      </c>
      <c r="I52" s="3">
        <v>1945</v>
      </c>
      <c r="J52" s="3">
        <v>2</v>
      </c>
      <c r="K52" s="4">
        <f t="shared" si="0"/>
        <v>29.614395886889461</v>
      </c>
      <c r="L52" s="3"/>
      <c r="M52" s="1">
        <v>6.6</v>
      </c>
      <c r="N52" s="1">
        <v>16.600000000000001</v>
      </c>
      <c r="O52" s="2">
        <f t="shared" si="1"/>
        <v>8.3000000000000007</v>
      </c>
      <c r="P52" s="1">
        <v>500</v>
      </c>
      <c r="Q52" s="1">
        <v>3.6</v>
      </c>
      <c r="R52" s="1" t="s">
        <v>87</v>
      </c>
      <c r="S52" s="1" t="s">
        <v>1392</v>
      </c>
      <c r="T52" s="17" t="s">
        <v>133</v>
      </c>
      <c r="U52" s="1" t="s">
        <v>780</v>
      </c>
      <c r="V52" s="14">
        <v>0.02</v>
      </c>
      <c r="W52" s="1" t="s">
        <v>103</v>
      </c>
      <c r="X52" s="1"/>
      <c r="Y52" s="1"/>
      <c r="Z52" s="1"/>
    </row>
    <row r="53" spans="1:26" ht="24.9" customHeight="1" x14ac:dyDescent="0.3">
      <c r="A53" s="3" t="s">
        <v>75</v>
      </c>
      <c r="B53" s="3" t="s">
        <v>1508</v>
      </c>
      <c r="C53" s="5">
        <v>46261</v>
      </c>
      <c r="D53" s="5">
        <v>46262</v>
      </c>
      <c r="E53" s="3" t="s">
        <v>1509</v>
      </c>
      <c r="F53" s="3">
        <v>4</v>
      </c>
      <c r="G53" s="3">
        <v>2450</v>
      </c>
      <c r="H53" s="3">
        <v>29.6</v>
      </c>
      <c r="I53" s="3">
        <v>1945</v>
      </c>
      <c r="J53" s="3">
        <v>2</v>
      </c>
      <c r="K53" s="4">
        <f t="shared" ref="K53:K58" si="4">(3600/(I53/8))*J53</f>
        <v>29.614395886889461</v>
      </c>
      <c r="L53" s="3"/>
      <c r="M53" s="1">
        <v>6.8</v>
      </c>
      <c r="N53" s="1">
        <v>16.8</v>
      </c>
      <c r="O53" s="2">
        <f t="shared" si="1"/>
        <v>8.4</v>
      </c>
      <c r="P53" s="1">
        <v>500</v>
      </c>
      <c r="Q53" s="1">
        <v>3.7</v>
      </c>
      <c r="R53" s="1" t="s">
        <v>87</v>
      </c>
      <c r="S53" s="1" t="s">
        <v>1403</v>
      </c>
      <c r="T53" s="17" t="s">
        <v>133</v>
      </c>
      <c r="U53" s="1" t="s">
        <v>780</v>
      </c>
      <c r="V53" s="14">
        <v>0.02</v>
      </c>
      <c r="W53" s="1" t="s">
        <v>156</v>
      </c>
      <c r="X53" s="1" t="s">
        <v>156</v>
      </c>
      <c r="Y53" s="1" t="s">
        <v>833</v>
      </c>
      <c r="Z53" s="1"/>
    </row>
    <row r="54" spans="1:26" ht="24.9" customHeight="1" x14ac:dyDescent="0.3">
      <c r="A54" s="3" t="s">
        <v>76</v>
      </c>
      <c r="B54" s="11" t="s">
        <v>1592</v>
      </c>
      <c r="C54" s="5">
        <v>46282</v>
      </c>
      <c r="D54" s="5">
        <v>46286</v>
      </c>
      <c r="E54" s="3" t="s">
        <v>1593</v>
      </c>
      <c r="F54" s="3">
        <v>7</v>
      </c>
      <c r="G54" s="3">
        <v>2550</v>
      </c>
      <c r="H54" s="3">
        <v>32</v>
      </c>
      <c r="I54" s="3">
        <v>900</v>
      </c>
      <c r="J54" s="3">
        <v>1</v>
      </c>
      <c r="K54" s="4">
        <f t="shared" si="4"/>
        <v>32</v>
      </c>
      <c r="L54" s="3">
        <v>26</v>
      </c>
      <c r="M54" s="1">
        <v>112</v>
      </c>
      <c r="N54" s="1">
        <v>112</v>
      </c>
      <c r="O54" s="2">
        <f t="shared" si="1"/>
        <v>112</v>
      </c>
      <c r="P54" s="1">
        <v>150</v>
      </c>
      <c r="Q54" s="1">
        <v>17.8</v>
      </c>
      <c r="R54" s="1" t="s">
        <v>99</v>
      </c>
      <c r="S54" s="1" t="s">
        <v>1533</v>
      </c>
      <c r="T54" s="1" t="s">
        <v>748</v>
      </c>
      <c r="U54" s="1"/>
      <c r="V54" s="1"/>
      <c r="W54" s="1" t="s">
        <v>1594</v>
      </c>
      <c r="X54" s="1"/>
      <c r="Y54" s="1"/>
      <c r="Z54" s="1"/>
    </row>
    <row r="55" spans="1:26" ht="24.9" customHeight="1" x14ac:dyDescent="0.3">
      <c r="A55" s="3" t="s">
        <v>77</v>
      </c>
      <c r="B55" s="11" t="s">
        <v>1707</v>
      </c>
      <c r="C55" s="5">
        <v>46286</v>
      </c>
      <c r="D55" s="5">
        <v>46287</v>
      </c>
      <c r="E55" s="3" t="s">
        <v>1708</v>
      </c>
      <c r="F55" s="3">
        <v>7</v>
      </c>
      <c r="G55" s="3">
        <v>1500</v>
      </c>
      <c r="H55" s="3">
        <v>29.5</v>
      </c>
      <c r="I55" s="3">
        <v>975</v>
      </c>
      <c r="J55" s="3">
        <v>1</v>
      </c>
      <c r="K55" s="4">
        <f t="shared" si="4"/>
        <v>29.53846153846154</v>
      </c>
      <c r="L55" s="3">
        <v>62</v>
      </c>
      <c r="M55" s="1">
        <v>97</v>
      </c>
      <c r="N55" s="1">
        <v>97</v>
      </c>
      <c r="O55" s="2">
        <f t="shared" si="1"/>
        <v>97</v>
      </c>
      <c r="P55" s="1">
        <v>210</v>
      </c>
      <c r="Q55" s="1">
        <v>21.15</v>
      </c>
      <c r="R55" s="1" t="s">
        <v>99</v>
      </c>
      <c r="S55" s="1" t="s">
        <v>1534</v>
      </c>
      <c r="T55" s="1" t="s">
        <v>748</v>
      </c>
      <c r="U55" s="1"/>
      <c r="V55" s="1"/>
      <c r="W55" s="1" t="s">
        <v>103</v>
      </c>
      <c r="X55" s="1" t="s">
        <v>678</v>
      </c>
      <c r="Y55" s="1"/>
      <c r="Z55" s="1"/>
    </row>
    <row r="56" spans="1:26" ht="24.9" customHeight="1" x14ac:dyDescent="0.3">
      <c r="A56" s="3" t="s">
        <v>78</v>
      </c>
      <c r="B56" s="11" t="s">
        <v>1719</v>
      </c>
      <c r="C56" s="5">
        <v>46287</v>
      </c>
      <c r="D56" s="5">
        <v>46289</v>
      </c>
      <c r="E56" s="3" t="s">
        <v>1720</v>
      </c>
      <c r="F56" s="3">
        <v>7</v>
      </c>
      <c r="G56" s="3">
        <v>2508</v>
      </c>
      <c r="H56" s="3">
        <v>44.8</v>
      </c>
      <c r="I56" s="3">
        <v>642</v>
      </c>
      <c r="J56" s="3">
        <v>1</v>
      </c>
      <c r="K56" s="4">
        <f t="shared" si="4"/>
        <v>44.859813084112147</v>
      </c>
      <c r="L56" s="3"/>
      <c r="M56" s="1">
        <v>45.3</v>
      </c>
      <c r="N56" s="1">
        <v>45.3</v>
      </c>
      <c r="O56" s="2">
        <f t="shared" si="1"/>
        <v>45.3</v>
      </c>
      <c r="P56" s="1">
        <v>114</v>
      </c>
      <c r="Q56" s="1">
        <v>6</v>
      </c>
      <c r="R56" s="1" t="s">
        <v>124</v>
      </c>
      <c r="S56" s="1" t="s">
        <v>1533</v>
      </c>
      <c r="T56" s="1" t="s">
        <v>748</v>
      </c>
      <c r="U56" s="1"/>
      <c r="V56" s="1"/>
      <c r="W56" s="1" t="s">
        <v>678</v>
      </c>
      <c r="X56" s="1"/>
      <c r="Y56" s="1"/>
      <c r="Z56" s="1"/>
    </row>
    <row r="57" spans="1:26" ht="24.9" customHeight="1" x14ac:dyDescent="0.3">
      <c r="A57" s="3" t="s">
        <v>79</v>
      </c>
      <c r="B57" s="11" t="s">
        <v>1778</v>
      </c>
      <c r="C57" s="5">
        <v>46295</v>
      </c>
      <c r="D57" s="5">
        <v>46296</v>
      </c>
      <c r="E57" s="3" t="s">
        <v>1745</v>
      </c>
      <c r="F57" s="3">
        <v>7</v>
      </c>
      <c r="G57" s="3">
        <v>1512</v>
      </c>
      <c r="H57" s="3">
        <v>37.299999999999997</v>
      </c>
      <c r="I57" s="3">
        <v>772</v>
      </c>
      <c r="J57" s="3">
        <v>1</v>
      </c>
      <c r="K57" s="4">
        <f t="shared" si="4"/>
        <v>37.305699481865283</v>
      </c>
      <c r="L57" s="3"/>
      <c r="M57" s="1">
        <v>40.6</v>
      </c>
      <c r="N57" s="1">
        <v>40.6</v>
      </c>
      <c r="O57" s="2">
        <f t="shared" ref="O57:O58" si="5">N57/J57</f>
        <v>40.6</v>
      </c>
      <c r="P57" s="1">
        <v>114</v>
      </c>
      <c r="Q57" s="1"/>
      <c r="R57" s="1" t="s">
        <v>124</v>
      </c>
      <c r="S57" s="1" t="s">
        <v>1528</v>
      </c>
      <c r="T57" s="1" t="s">
        <v>748</v>
      </c>
      <c r="U57" s="1"/>
      <c r="V57" s="1"/>
      <c r="W57" s="1" t="s">
        <v>678</v>
      </c>
      <c r="X57" s="1"/>
      <c r="Y57" s="1"/>
      <c r="Z57" s="1"/>
    </row>
    <row r="58" spans="1:26" ht="24.9" customHeight="1" x14ac:dyDescent="0.3">
      <c r="A58" s="3" t="s">
        <v>80</v>
      </c>
      <c r="B58" s="11" t="s">
        <v>1779</v>
      </c>
      <c r="C58" s="5">
        <v>46290</v>
      </c>
      <c r="D58" s="5">
        <v>46290</v>
      </c>
      <c r="E58" s="3" t="s">
        <v>1780</v>
      </c>
      <c r="F58" s="3">
        <v>7</v>
      </c>
      <c r="G58" s="3">
        <v>1560</v>
      </c>
      <c r="H58" s="3">
        <v>32.1</v>
      </c>
      <c r="I58" s="3">
        <v>897</v>
      </c>
      <c r="J58" s="3">
        <v>1</v>
      </c>
      <c r="K58" s="4">
        <f t="shared" si="4"/>
        <v>32.107023411371237</v>
      </c>
      <c r="L58" s="3"/>
      <c r="M58" s="1">
        <v>93.5</v>
      </c>
      <c r="N58" s="1">
        <v>93.5</v>
      </c>
      <c r="O58" s="2">
        <f t="shared" si="5"/>
        <v>93.5</v>
      </c>
      <c r="P58" s="1">
        <v>195</v>
      </c>
      <c r="Q58" s="1"/>
      <c r="R58" s="1" t="s">
        <v>99</v>
      </c>
      <c r="S58" s="1" t="s">
        <v>1528</v>
      </c>
      <c r="T58" s="1" t="s">
        <v>748</v>
      </c>
      <c r="U58" s="1"/>
      <c r="V58" s="1"/>
      <c r="W58" s="1" t="s">
        <v>94</v>
      </c>
      <c r="X58" s="1" t="s">
        <v>678</v>
      </c>
      <c r="Y58" s="1"/>
      <c r="Z58" s="1"/>
    </row>
    <row r="59" spans="1:26" ht="24.9" customHeight="1" x14ac:dyDescent="0.3">
      <c r="A59" s="3" t="s">
        <v>81</v>
      </c>
      <c r="B59" s="11" t="s">
        <v>1781</v>
      </c>
      <c r="C59" s="5">
        <v>46293</v>
      </c>
      <c r="D59" s="5">
        <v>46294</v>
      </c>
      <c r="E59" s="3" t="s">
        <v>1782</v>
      </c>
      <c r="F59" s="3">
        <v>7</v>
      </c>
      <c r="G59" s="3">
        <v>1600</v>
      </c>
      <c r="H59" s="3">
        <v>35.5</v>
      </c>
      <c r="I59" s="3">
        <v>810</v>
      </c>
      <c r="J59" s="3">
        <v>1</v>
      </c>
      <c r="K59" s="4">
        <f t="shared" ref="K59:K78" si="6">(3600/(I59/8))*J59</f>
        <v>35.555555555555557</v>
      </c>
      <c r="L59" s="3"/>
      <c r="M59" s="1">
        <v>42</v>
      </c>
      <c r="N59" s="1">
        <v>42</v>
      </c>
      <c r="O59" s="2">
        <f t="shared" ref="O59:O78" si="7">N59/J59</f>
        <v>42</v>
      </c>
      <c r="P59" s="1">
        <v>114</v>
      </c>
      <c r="Q59" s="1"/>
      <c r="R59" s="1" t="s">
        <v>124</v>
      </c>
      <c r="S59" s="1" t="s">
        <v>1534</v>
      </c>
      <c r="T59" s="1" t="s">
        <v>748</v>
      </c>
      <c r="U59" s="1"/>
      <c r="V59" s="1"/>
      <c r="W59" s="1" t="s">
        <v>678</v>
      </c>
      <c r="X59" s="1" t="s">
        <v>678</v>
      </c>
      <c r="Y59" s="1"/>
      <c r="Z59" s="1"/>
    </row>
    <row r="60" spans="1:26" ht="24.9" customHeight="1" x14ac:dyDescent="0.3">
      <c r="A60" s="3" t="s">
        <v>347</v>
      </c>
      <c r="B60" s="11" t="s">
        <v>1783</v>
      </c>
      <c r="C60" s="5">
        <v>46296</v>
      </c>
      <c r="D60" s="5">
        <v>46297</v>
      </c>
      <c r="E60" s="3" t="s">
        <v>1784</v>
      </c>
      <c r="F60" s="3">
        <v>7</v>
      </c>
      <c r="G60" s="3">
        <v>1089</v>
      </c>
      <c r="H60" s="3">
        <v>35.799999999999997</v>
      </c>
      <c r="I60" s="3">
        <v>820</v>
      </c>
      <c r="J60" s="3">
        <v>1</v>
      </c>
      <c r="K60" s="4">
        <f t="shared" si="6"/>
        <v>35.121951219512198</v>
      </c>
      <c r="L60" s="3"/>
      <c r="M60" s="1">
        <v>39</v>
      </c>
      <c r="N60" s="1">
        <v>39</v>
      </c>
      <c r="O60" s="2">
        <f t="shared" si="7"/>
        <v>39</v>
      </c>
      <c r="P60" s="1">
        <v>120</v>
      </c>
      <c r="Q60" s="1"/>
      <c r="R60" s="1" t="s">
        <v>124</v>
      </c>
      <c r="S60" s="1" t="s">
        <v>1527</v>
      </c>
      <c r="T60" s="1" t="s">
        <v>748</v>
      </c>
      <c r="U60" s="1"/>
      <c r="V60" s="1"/>
      <c r="W60" s="1" t="s">
        <v>94</v>
      </c>
      <c r="X60" s="1" t="s">
        <v>678</v>
      </c>
      <c r="Y60" s="1"/>
      <c r="Z60" s="1"/>
    </row>
    <row r="61" spans="1:26" ht="24.9" customHeight="1" x14ac:dyDescent="0.3">
      <c r="A61" s="3" t="s">
        <v>348</v>
      </c>
      <c r="B61" s="11" t="s">
        <v>1785</v>
      </c>
      <c r="C61" s="5">
        <v>46294</v>
      </c>
      <c r="D61" s="5">
        <v>46295</v>
      </c>
      <c r="E61" s="3" t="s">
        <v>1786</v>
      </c>
      <c r="F61" s="3">
        <v>7</v>
      </c>
      <c r="G61" s="3">
        <v>1000</v>
      </c>
      <c r="H61" s="3">
        <v>35.5</v>
      </c>
      <c r="I61" s="3">
        <v>810</v>
      </c>
      <c r="J61" s="3">
        <v>1</v>
      </c>
      <c r="K61" s="4">
        <f t="shared" si="6"/>
        <v>35.555555555555557</v>
      </c>
      <c r="L61" s="3"/>
      <c r="M61" s="1">
        <v>89.5</v>
      </c>
      <c r="N61" s="1">
        <v>89.5</v>
      </c>
      <c r="O61" s="2">
        <f t="shared" si="7"/>
        <v>89.5</v>
      </c>
      <c r="P61" s="1">
        <v>195</v>
      </c>
      <c r="Q61" s="1"/>
      <c r="R61" s="1" t="s">
        <v>99</v>
      </c>
      <c r="S61" s="1" t="s">
        <v>1527</v>
      </c>
      <c r="T61" s="1" t="s">
        <v>748</v>
      </c>
      <c r="U61" s="1"/>
      <c r="V61" s="1"/>
      <c r="W61" s="1" t="s">
        <v>94</v>
      </c>
      <c r="X61" s="1" t="s">
        <v>678</v>
      </c>
      <c r="Y61" s="1"/>
      <c r="Z61" s="1"/>
    </row>
    <row r="62" spans="1:26" ht="24.9" customHeight="1" x14ac:dyDescent="0.3">
      <c r="A62" s="3" t="s">
        <v>349</v>
      </c>
      <c r="B62" s="11" t="s">
        <v>1262</v>
      </c>
      <c r="C62" s="5">
        <v>46304</v>
      </c>
      <c r="D62" s="5"/>
      <c r="E62" s="3" t="s">
        <v>1815</v>
      </c>
      <c r="F62" s="3">
        <v>2</v>
      </c>
      <c r="G62" s="3"/>
      <c r="H62" s="3"/>
      <c r="I62" s="3"/>
      <c r="J62" s="3">
        <v>1</v>
      </c>
      <c r="K62" s="4" t="e">
        <f t="shared" si="6"/>
        <v>#DIV/0!</v>
      </c>
      <c r="L62" s="3"/>
      <c r="M62" s="1">
        <v>102</v>
      </c>
      <c r="N62" s="1">
        <v>102</v>
      </c>
      <c r="O62" s="2">
        <f t="shared" si="7"/>
        <v>102</v>
      </c>
      <c r="P62" s="1">
        <v>150</v>
      </c>
      <c r="Q62" s="1">
        <v>16.3</v>
      </c>
      <c r="R62" s="1" t="s">
        <v>99</v>
      </c>
      <c r="S62" s="1" t="s">
        <v>1739</v>
      </c>
      <c r="T62" s="20" t="s">
        <v>1264</v>
      </c>
      <c r="U62" s="1"/>
      <c r="V62" s="1"/>
      <c r="W62" s="1"/>
      <c r="X62" s="1"/>
      <c r="Y62" s="1"/>
      <c r="Z62" s="1"/>
    </row>
    <row r="63" spans="1:26" ht="24.9" customHeight="1" x14ac:dyDescent="0.3">
      <c r="A63" s="3" t="s">
        <v>350</v>
      </c>
      <c r="B63" s="11"/>
      <c r="C63" s="5"/>
      <c r="D63" s="5"/>
      <c r="E63" s="3"/>
      <c r="F63" s="3"/>
      <c r="G63" s="3"/>
      <c r="H63" s="3"/>
      <c r="I63" s="3"/>
      <c r="J63" s="3"/>
      <c r="K63" s="4" t="e">
        <f t="shared" si="6"/>
        <v>#DIV/0!</v>
      </c>
      <c r="L63" s="3"/>
      <c r="M63" s="1"/>
      <c r="N63" s="1"/>
      <c r="O63" s="2" t="e">
        <f t="shared" si="7"/>
        <v>#DIV/0!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.9" customHeight="1" x14ac:dyDescent="0.3">
      <c r="A64" s="3" t="s">
        <v>351</v>
      </c>
      <c r="B64" s="11"/>
      <c r="C64" s="5"/>
      <c r="D64" s="5"/>
      <c r="E64" s="3"/>
      <c r="F64" s="3"/>
      <c r="G64" s="3"/>
      <c r="H64" s="3"/>
      <c r="I64" s="3"/>
      <c r="J64" s="3"/>
      <c r="K64" s="4" t="e">
        <f t="shared" si="6"/>
        <v>#DIV/0!</v>
      </c>
      <c r="L64" s="3"/>
      <c r="M64" s="1"/>
      <c r="N64" s="1"/>
      <c r="O64" s="2" t="e">
        <f t="shared" si="7"/>
        <v>#DIV/0!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.9" customHeight="1" x14ac:dyDescent="0.3">
      <c r="A65" s="3" t="s">
        <v>352</v>
      </c>
      <c r="B65" s="11"/>
      <c r="C65" s="5"/>
      <c r="D65" s="5"/>
      <c r="E65" s="3"/>
      <c r="F65" s="3"/>
      <c r="G65" s="3"/>
      <c r="H65" s="3"/>
      <c r="I65" s="3"/>
      <c r="J65" s="3"/>
      <c r="K65" s="4" t="e">
        <f t="shared" si="6"/>
        <v>#DIV/0!</v>
      </c>
      <c r="L65" s="3"/>
      <c r="M65" s="1"/>
      <c r="N65" s="1"/>
      <c r="O65" s="2" t="e">
        <f t="shared" si="7"/>
        <v>#DIV/0!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.9" customHeight="1" x14ac:dyDescent="0.3">
      <c r="A66" s="3" t="s">
        <v>353</v>
      </c>
      <c r="B66" s="11"/>
      <c r="C66" s="5"/>
      <c r="D66" s="5"/>
      <c r="E66" s="3"/>
      <c r="F66" s="3"/>
      <c r="G66" s="3"/>
      <c r="H66" s="3"/>
      <c r="I66" s="3"/>
      <c r="J66" s="3"/>
      <c r="K66" s="4" t="e">
        <f t="shared" si="6"/>
        <v>#DIV/0!</v>
      </c>
      <c r="L66" s="3"/>
      <c r="M66" s="1"/>
      <c r="N66" s="1"/>
      <c r="O66" s="2" t="e">
        <f t="shared" si="7"/>
        <v>#DIV/0!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.9" customHeight="1" x14ac:dyDescent="0.3">
      <c r="A67" s="3" t="s">
        <v>354</v>
      </c>
      <c r="B67" s="11"/>
      <c r="C67" s="5"/>
      <c r="D67" s="5"/>
      <c r="E67" s="3"/>
      <c r="F67" s="3"/>
      <c r="G67" s="3"/>
      <c r="H67" s="3"/>
      <c r="I67" s="3"/>
      <c r="J67" s="3"/>
      <c r="K67" s="4" t="e">
        <f t="shared" si="6"/>
        <v>#DIV/0!</v>
      </c>
      <c r="L67" s="3"/>
      <c r="M67" s="1"/>
      <c r="N67" s="1"/>
      <c r="O67" s="2" t="e">
        <f t="shared" si="7"/>
        <v>#DIV/0!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.9" customHeight="1" x14ac:dyDescent="0.3">
      <c r="A68" s="3" t="s">
        <v>355</v>
      </c>
      <c r="B68" s="11"/>
      <c r="C68" s="5"/>
      <c r="D68" s="5"/>
      <c r="E68" s="3"/>
      <c r="F68" s="3"/>
      <c r="G68" s="3"/>
      <c r="H68" s="3"/>
      <c r="I68" s="3"/>
      <c r="J68" s="3"/>
      <c r="K68" s="4" t="e">
        <f t="shared" si="6"/>
        <v>#DIV/0!</v>
      </c>
      <c r="L68" s="3"/>
      <c r="M68" s="1"/>
      <c r="N68" s="1"/>
      <c r="O68" s="2" t="e">
        <f t="shared" si="7"/>
        <v>#DIV/0!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.9" customHeight="1" x14ac:dyDescent="0.3">
      <c r="A69" s="3" t="s">
        <v>356</v>
      </c>
      <c r="B69" s="11"/>
      <c r="C69" s="5"/>
      <c r="D69" s="5"/>
      <c r="E69" s="3"/>
      <c r="F69" s="3"/>
      <c r="G69" s="3"/>
      <c r="H69" s="3"/>
      <c r="I69" s="3"/>
      <c r="J69" s="3"/>
      <c r="K69" s="4" t="e">
        <f t="shared" si="6"/>
        <v>#DIV/0!</v>
      </c>
      <c r="L69" s="3"/>
      <c r="M69" s="1"/>
      <c r="N69" s="1"/>
      <c r="O69" s="2" t="e">
        <f t="shared" si="7"/>
        <v>#DIV/0!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.9" customHeight="1" x14ac:dyDescent="0.3">
      <c r="A70" s="3" t="s">
        <v>357</v>
      </c>
      <c r="B70" s="11"/>
      <c r="C70" s="5"/>
      <c r="D70" s="5"/>
      <c r="E70" s="3"/>
      <c r="F70" s="3"/>
      <c r="G70" s="3"/>
      <c r="H70" s="3"/>
      <c r="I70" s="3"/>
      <c r="J70" s="3"/>
      <c r="K70" s="4" t="e">
        <f t="shared" si="6"/>
        <v>#DIV/0!</v>
      </c>
      <c r="L70" s="3"/>
      <c r="M70" s="1"/>
      <c r="N70" s="1"/>
      <c r="O70" s="2" t="e">
        <f t="shared" si="7"/>
        <v>#DIV/0!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.9" customHeight="1" x14ac:dyDescent="0.3">
      <c r="A71" s="3" t="s">
        <v>358</v>
      </c>
      <c r="B71" s="11"/>
      <c r="C71" s="5"/>
      <c r="D71" s="5"/>
      <c r="E71" s="3"/>
      <c r="F71" s="3"/>
      <c r="G71" s="3"/>
      <c r="H71" s="3"/>
      <c r="I71" s="3"/>
      <c r="J71" s="3"/>
      <c r="K71" s="4" t="e">
        <f t="shared" si="6"/>
        <v>#DIV/0!</v>
      </c>
      <c r="L71" s="3"/>
      <c r="M71" s="1"/>
      <c r="N71" s="1"/>
      <c r="O71" s="2" t="e">
        <f t="shared" si="7"/>
        <v>#DIV/0!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.9" customHeight="1" x14ac:dyDescent="0.3">
      <c r="A72" s="3" t="s">
        <v>359</v>
      </c>
      <c r="B72" s="11"/>
      <c r="C72" s="5"/>
      <c r="D72" s="5"/>
      <c r="E72" s="3"/>
      <c r="F72" s="3"/>
      <c r="G72" s="3"/>
      <c r="H72" s="3"/>
      <c r="I72" s="3"/>
      <c r="J72" s="3"/>
      <c r="K72" s="4" t="e">
        <f t="shared" si="6"/>
        <v>#DIV/0!</v>
      </c>
      <c r="L72" s="3"/>
      <c r="M72" s="1"/>
      <c r="N72" s="1"/>
      <c r="O72" s="2" t="e">
        <f t="shared" si="7"/>
        <v>#DIV/0!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.9" customHeight="1" x14ac:dyDescent="0.3">
      <c r="A73" s="3" t="s">
        <v>360</v>
      </c>
      <c r="B73" s="11"/>
      <c r="C73" s="5"/>
      <c r="D73" s="5"/>
      <c r="E73" s="3"/>
      <c r="F73" s="3"/>
      <c r="G73" s="3"/>
      <c r="H73" s="3"/>
      <c r="I73" s="3"/>
      <c r="J73" s="3"/>
      <c r="K73" s="4" t="e">
        <f t="shared" si="6"/>
        <v>#DIV/0!</v>
      </c>
      <c r="L73" s="3"/>
      <c r="M73" s="1"/>
      <c r="N73" s="1"/>
      <c r="O73" s="2" t="e">
        <f t="shared" si="7"/>
        <v>#DIV/0!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.9" customHeight="1" x14ac:dyDescent="0.3">
      <c r="A74" s="3" t="s">
        <v>361</v>
      </c>
      <c r="B74" s="11"/>
      <c r="C74" s="5"/>
      <c r="D74" s="5"/>
      <c r="E74" s="3"/>
      <c r="F74" s="3"/>
      <c r="G74" s="3"/>
      <c r="H74" s="3"/>
      <c r="I74" s="3"/>
      <c r="J74" s="3"/>
      <c r="K74" s="4" t="e">
        <f t="shared" si="6"/>
        <v>#DIV/0!</v>
      </c>
      <c r="L74" s="3"/>
      <c r="M74" s="1"/>
      <c r="N74" s="1"/>
      <c r="O74" s="2" t="e">
        <f t="shared" si="7"/>
        <v>#DIV/0!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.9" customHeight="1" x14ac:dyDescent="0.3">
      <c r="A75" s="3" t="s">
        <v>362</v>
      </c>
      <c r="B75" s="11"/>
      <c r="C75" s="5"/>
      <c r="D75" s="5"/>
      <c r="E75" s="3"/>
      <c r="F75" s="3"/>
      <c r="G75" s="3"/>
      <c r="H75" s="3"/>
      <c r="I75" s="3"/>
      <c r="J75" s="3"/>
      <c r="K75" s="4" t="e">
        <f t="shared" si="6"/>
        <v>#DIV/0!</v>
      </c>
      <c r="L75" s="3"/>
      <c r="M75" s="1"/>
      <c r="N75" s="1"/>
      <c r="O75" s="2" t="e">
        <f t="shared" si="7"/>
        <v>#DIV/0!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.9" customHeight="1" x14ac:dyDescent="0.3">
      <c r="A76" s="3" t="s">
        <v>363</v>
      </c>
      <c r="B76" s="11"/>
      <c r="C76" s="5"/>
      <c r="D76" s="5"/>
      <c r="E76" s="3"/>
      <c r="F76" s="3"/>
      <c r="G76" s="3"/>
      <c r="H76" s="3"/>
      <c r="I76" s="3"/>
      <c r="J76" s="3"/>
      <c r="K76" s="4" t="e">
        <f t="shared" si="6"/>
        <v>#DIV/0!</v>
      </c>
      <c r="L76" s="3"/>
      <c r="M76" s="1"/>
      <c r="N76" s="1"/>
      <c r="O76" s="2" t="e">
        <f t="shared" si="7"/>
        <v>#DIV/0!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.9" customHeight="1" x14ac:dyDescent="0.3">
      <c r="A77" s="3" t="s">
        <v>364</v>
      </c>
      <c r="B77" s="11"/>
      <c r="C77" s="5"/>
      <c r="D77" s="5"/>
      <c r="E77" s="3"/>
      <c r="F77" s="3"/>
      <c r="G77" s="3"/>
      <c r="H77" s="3"/>
      <c r="I77" s="3"/>
      <c r="J77" s="3"/>
      <c r="K77" s="4" t="e">
        <f t="shared" si="6"/>
        <v>#DIV/0!</v>
      </c>
      <c r="L77" s="3"/>
      <c r="M77" s="1"/>
      <c r="N77" s="1"/>
      <c r="O77" s="2" t="e">
        <f t="shared" si="7"/>
        <v>#DIV/0!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.9" customHeight="1" x14ac:dyDescent="0.3">
      <c r="A78" s="3" t="s">
        <v>365</v>
      </c>
      <c r="B78" s="11"/>
      <c r="C78" s="5"/>
      <c r="D78" s="5"/>
      <c r="E78" s="3"/>
      <c r="F78" s="3"/>
      <c r="G78" s="3"/>
      <c r="H78" s="3"/>
      <c r="I78" s="3"/>
      <c r="J78" s="3"/>
      <c r="K78" s="4" t="e">
        <f t="shared" si="6"/>
        <v>#DIV/0!</v>
      </c>
      <c r="L78" s="3"/>
      <c r="M78" s="1"/>
      <c r="N78" s="1"/>
      <c r="O78" s="2" t="e">
        <f t="shared" si="7"/>
        <v>#DIV/0!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.9" customHeight="1" x14ac:dyDescent="0.3"/>
  </sheetData>
  <mergeCells count="2">
    <mergeCell ref="A1:G1"/>
    <mergeCell ref="H1:L1"/>
  </mergeCells>
  <phoneticPr fontId="11" type="noConversion"/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91EF-3C40-480C-9F1E-FF07596A2BE0}">
  <sheetPr codeName="Arkusz13"/>
  <dimension ref="A1:Z59"/>
  <sheetViews>
    <sheetView workbookViewId="0">
      <selection activeCell="G9" sqref="G9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222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223</v>
      </c>
      <c r="C3" s="5">
        <v>46051</v>
      </c>
      <c r="D3" s="5">
        <v>46079</v>
      </c>
      <c r="E3" s="5" t="s">
        <v>224</v>
      </c>
      <c r="F3" s="3">
        <v>3</v>
      </c>
      <c r="G3" s="3">
        <v>40320</v>
      </c>
      <c r="H3" s="3">
        <v>28</v>
      </c>
      <c r="I3" s="3">
        <v>1028</v>
      </c>
      <c r="J3" s="3">
        <v>1</v>
      </c>
      <c r="K3" s="4">
        <f>(3600/(I3/8))*J3</f>
        <v>28.01556420233463</v>
      </c>
      <c r="L3" s="3">
        <v>310</v>
      </c>
      <c r="M3" s="1">
        <v>105.4</v>
      </c>
      <c r="N3" s="1">
        <v>110</v>
      </c>
      <c r="O3" s="2">
        <f>N3/J3</f>
        <v>110</v>
      </c>
      <c r="P3" s="1">
        <v>42</v>
      </c>
      <c r="Q3" s="1">
        <v>5.0999999999999996</v>
      </c>
      <c r="R3" s="1" t="s">
        <v>222</v>
      </c>
      <c r="S3" s="6" t="s">
        <v>88</v>
      </c>
      <c r="T3" s="11" t="s">
        <v>225</v>
      </c>
      <c r="U3" s="1" t="s">
        <v>226</v>
      </c>
      <c r="V3" s="22" t="s">
        <v>337</v>
      </c>
      <c r="W3" s="1" t="s">
        <v>94</v>
      </c>
      <c r="X3" s="1"/>
      <c r="Y3" s="1"/>
      <c r="Z3" s="1"/>
    </row>
    <row r="4" spans="1:26" ht="24.9" customHeight="1" x14ac:dyDescent="0.3">
      <c r="A4" s="3" t="s">
        <v>26</v>
      </c>
      <c r="B4" s="3" t="s">
        <v>223</v>
      </c>
      <c r="C4" s="5">
        <v>46079</v>
      </c>
      <c r="D4" s="5">
        <v>46107</v>
      </c>
      <c r="E4" s="3" t="s">
        <v>335</v>
      </c>
      <c r="F4" s="3">
        <v>3</v>
      </c>
      <c r="G4" s="3">
        <v>40320</v>
      </c>
      <c r="H4" s="3">
        <v>28.1</v>
      </c>
      <c r="I4" s="3">
        <v>1028</v>
      </c>
      <c r="J4" s="3">
        <v>1</v>
      </c>
      <c r="K4" s="4">
        <f t="shared" ref="K4:K59" si="0">(3600/(I4/8))*J4</f>
        <v>28.01556420233463</v>
      </c>
      <c r="L4" s="3"/>
      <c r="M4" s="1">
        <v>105.4</v>
      </c>
      <c r="N4" s="1">
        <v>110</v>
      </c>
      <c r="O4" s="2">
        <f t="shared" ref="O4:O59" si="1">N4/J4</f>
        <v>110</v>
      </c>
      <c r="P4" s="1">
        <v>42</v>
      </c>
      <c r="Q4" s="1">
        <v>5.0999999999999996</v>
      </c>
      <c r="R4" s="1" t="s">
        <v>222</v>
      </c>
      <c r="S4" s="6" t="s">
        <v>243</v>
      </c>
      <c r="T4" s="11" t="s">
        <v>336</v>
      </c>
      <c r="U4" s="1" t="s">
        <v>226</v>
      </c>
      <c r="V4" s="22" t="s">
        <v>337</v>
      </c>
      <c r="W4" s="1" t="s">
        <v>103</v>
      </c>
      <c r="X4" s="1"/>
      <c r="Y4" s="1"/>
      <c r="Z4" s="1"/>
    </row>
    <row r="5" spans="1:26" ht="24.9" customHeight="1" x14ac:dyDescent="0.3">
      <c r="A5" s="3" t="s">
        <v>27</v>
      </c>
      <c r="B5" s="3" t="s">
        <v>223</v>
      </c>
      <c r="C5" s="5">
        <v>46120</v>
      </c>
      <c r="D5" s="5">
        <v>46139</v>
      </c>
      <c r="E5" s="3" t="s">
        <v>867</v>
      </c>
      <c r="F5" s="3">
        <v>3</v>
      </c>
      <c r="G5" s="3">
        <v>40320</v>
      </c>
      <c r="H5" s="3">
        <v>27.7</v>
      </c>
      <c r="I5" s="3">
        <v>1039</v>
      </c>
      <c r="J5" s="3">
        <v>1</v>
      </c>
      <c r="K5" s="4">
        <f t="shared" si="0"/>
        <v>27.71896053897979</v>
      </c>
      <c r="L5" s="3"/>
      <c r="M5" s="1">
        <v>106</v>
      </c>
      <c r="N5" s="1">
        <v>110.6</v>
      </c>
      <c r="O5" s="2">
        <f t="shared" si="1"/>
        <v>110.6</v>
      </c>
      <c r="P5" s="1">
        <v>42</v>
      </c>
      <c r="Q5" s="1">
        <v>5.0999999999999996</v>
      </c>
      <c r="R5" s="1" t="s">
        <v>222</v>
      </c>
      <c r="S5" s="1" t="s">
        <v>818</v>
      </c>
      <c r="T5" s="11" t="s">
        <v>868</v>
      </c>
      <c r="U5" s="1" t="s">
        <v>226</v>
      </c>
      <c r="V5" s="22" t="s">
        <v>337</v>
      </c>
      <c r="W5" s="1" t="s">
        <v>678</v>
      </c>
      <c r="X5" s="1"/>
      <c r="Y5" s="1"/>
      <c r="Z5" s="1"/>
    </row>
    <row r="6" spans="1:26" ht="24.9" customHeight="1" x14ac:dyDescent="0.3">
      <c r="A6" s="3" t="s">
        <v>28</v>
      </c>
      <c r="B6" s="3" t="s">
        <v>223</v>
      </c>
      <c r="C6" s="5">
        <v>46225</v>
      </c>
      <c r="D6" s="5">
        <v>46251</v>
      </c>
      <c r="E6" s="3" t="s">
        <v>1351</v>
      </c>
      <c r="F6" s="3">
        <v>3</v>
      </c>
      <c r="G6" s="3">
        <v>40320</v>
      </c>
      <c r="H6" s="3">
        <v>27.5</v>
      </c>
      <c r="I6" s="3">
        <v>1047</v>
      </c>
      <c r="J6" s="3">
        <v>1</v>
      </c>
      <c r="K6" s="4">
        <f t="shared" si="0"/>
        <v>27.507163323782233</v>
      </c>
      <c r="L6" s="3"/>
      <c r="M6" s="1">
        <v>106.6</v>
      </c>
      <c r="N6" s="1">
        <v>111.3</v>
      </c>
      <c r="O6" s="2">
        <f t="shared" si="1"/>
        <v>111.3</v>
      </c>
      <c r="P6" s="1">
        <v>42</v>
      </c>
      <c r="Q6" s="1">
        <v>5.0999999999999996</v>
      </c>
      <c r="R6" s="1" t="s">
        <v>222</v>
      </c>
      <c r="S6" s="1" t="s">
        <v>1252</v>
      </c>
      <c r="T6" s="1" t="s">
        <v>1352</v>
      </c>
      <c r="U6" s="1" t="s">
        <v>226</v>
      </c>
      <c r="V6" s="22" t="s">
        <v>337</v>
      </c>
      <c r="W6" s="1" t="s">
        <v>678</v>
      </c>
      <c r="X6" s="1"/>
      <c r="Y6" s="1"/>
      <c r="Z6" s="1"/>
    </row>
    <row r="7" spans="1:26" ht="24.9" customHeight="1" x14ac:dyDescent="0.3">
      <c r="A7" s="3" t="s">
        <v>29</v>
      </c>
      <c r="B7" s="3" t="s">
        <v>223</v>
      </c>
      <c r="C7" s="5">
        <v>46251</v>
      </c>
      <c r="D7" s="5">
        <v>46279</v>
      </c>
      <c r="E7" s="3" t="s">
        <v>1445</v>
      </c>
      <c r="F7" s="3">
        <v>3</v>
      </c>
      <c r="G7" s="3">
        <v>40362</v>
      </c>
      <c r="H7" s="3">
        <v>27.4</v>
      </c>
      <c r="I7" s="3">
        <v>1048</v>
      </c>
      <c r="J7" s="3">
        <v>1</v>
      </c>
      <c r="K7" s="4">
        <f t="shared" si="0"/>
        <v>27.480916030534353</v>
      </c>
      <c r="L7" s="3">
        <v>151</v>
      </c>
      <c r="M7" s="1">
        <v>106.6</v>
      </c>
      <c r="N7" s="1">
        <v>111.3</v>
      </c>
      <c r="O7" s="2">
        <f t="shared" si="1"/>
        <v>111.3</v>
      </c>
      <c r="P7" s="1">
        <v>42</v>
      </c>
      <c r="Q7" s="1">
        <v>5.0999999999999996</v>
      </c>
      <c r="R7" s="1" t="s">
        <v>222</v>
      </c>
      <c r="S7" s="1" t="s">
        <v>1392</v>
      </c>
      <c r="T7" s="1" t="s">
        <v>1352</v>
      </c>
      <c r="U7" s="1" t="s">
        <v>226</v>
      </c>
      <c r="V7" s="22" t="s">
        <v>337</v>
      </c>
      <c r="W7" s="1"/>
      <c r="X7" s="1"/>
      <c r="Y7" s="1"/>
      <c r="Z7" s="1"/>
    </row>
    <row r="8" spans="1:26" ht="24.9" customHeight="1" x14ac:dyDescent="0.3">
      <c r="A8" s="3" t="s">
        <v>30</v>
      </c>
      <c r="B8" s="3"/>
      <c r="C8" s="5"/>
      <c r="D8" s="5"/>
      <c r="E8" s="5"/>
      <c r="F8" s="3"/>
      <c r="G8" s="3"/>
      <c r="H8" s="3"/>
      <c r="I8" s="3"/>
      <c r="J8" s="3"/>
      <c r="K8" s="4" t="e">
        <f t="shared" si="0"/>
        <v>#DIV/0!</v>
      </c>
      <c r="L8" s="3"/>
      <c r="M8" s="1"/>
      <c r="N8" s="1"/>
      <c r="O8" s="2" t="e">
        <f t="shared" si="1"/>
        <v>#DIV/0!</v>
      </c>
      <c r="P8" s="1"/>
      <c r="Q8" s="1"/>
      <c r="R8" s="1"/>
      <c r="S8" s="1"/>
      <c r="T8" s="1"/>
      <c r="U8" s="1"/>
      <c r="V8" s="22"/>
      <c r="W8" s="1"/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22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22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22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22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22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22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22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22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22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22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22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0A9A-C263-4A7C-BD38-0BD15684BB0B}">
  <sheetPr codeName="Arkusz14"/>
  <dimension ref="A1:Z59"/>
  <sheetViews>
    <sheetView workbookViewId="0">
      <selection activeCell="K8" sqref="K8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227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228</v>
      </c>
      <c r="C3" s="5">
        <v>46051</v>
      </c>
      <c r="D3" s="5">
        <v>46055</v>
      </c>
      <c r="E3" s="5" t="s">
        <v>229</v>
      </c>
      <c r="F3" s="3">
        <v>5</v>
      </c>
      <c r="G3" s="3">
        <v>10000</v>
      </c>
      <c r="H3" s="3">
        <v>19.41</v>
      </c>
      <c r="I3" s="3">
        <v>1484</v>
      </c>
      <c r="J3" s="3">
        <v>2</v>
      </c>
      <c r="K3" s="4">
        <f>(3600/(I3/8))*J3</f>
        <v>38.81401617250674</v>
      </c>
      <c r="L3" s="3">
        <v>614</v>
      </c>
      <c r="M3" s="1">
        <v>9.9</v>
      </c>
      <c r="N3" s="1">
        <v>21.4</v>
      </c>
      <c r="O3" s="2">
        <f>N3/J3</f>
        <v>10.7</v>
      </c>
      <c r="P3" s="1">
        <v>400</v>
      </c>
      <c r="Q3" s="1">
        <v>4.3</v>
      </c>
      <c r="R3" s="1" t="s">
        <v>87</v>
      </c>
      <c r="S3" s="6" t="s">
        <v>88</v>
      </c>
      <c r="T3" s="1" t="s">
        <v>230</v>
      </c>
      <c r="U3" s="1"/>
      <c r="V3" s="1"/>
      <c r="W3" s="1" t="s">
        <v>126</v>
      </c>
      <c r="X3" s="1"/>
      <c r="Y3" s="1"/>
      <c r="Z3" s="1"/>
    </row>
    <row r="4" spans="1:26" ht="24.9" customHeight="1" x14ac:dyDescent="0.3">
      <c r="A4" s="3" t="s">
        <v>26</v>
      </c>
      <c r="B4" s="3" t="s">
        <v>228</v>
      </c>
      <c r="C4" s="5">
        <v>46119</v>
      </c>
      <c r="D4" s="5">
        <v>46121</v>
      </c>
      <c r="E4" s="3" t="s">
        <v>848</v>
      </c>
      <c r="F4" s="3">
        <v>6</v>
      </c>
      <c r="G4" s="3">
        <v>20000</v>
      </c>
      <c r="H4" s="3">
        <v>18.97</v>
      </c>
      <c r="I4" s="3">
        <v>3036</v>
      </c>
      <c r="J4" s="3">
        <v>2</v>
      </c>
      <c r="K4" s="4">
        <f t="shared" ref="K4:K59" si="0">(3600/(I4/8))*J4</f>
        <v>18.972332015810277</v>
      </c>
      <c r="L4" s="3">
        <v>914</v>
      </c>
      <c r="M4" s="1">
        <v>9.9</v>
      </c>
      <c r="N4" s="1">
        <v>21.4</v>
      </c>
      <c r="O4" s="2">
        <f t="shared" ref="O4:O59" si="1">N4/J4</f>
        <v>10.7</v>
      </c>
      <c r="P4" s="1">
        <v>400</v>
      </c>
      <c r="Q4" s="1">
        <v>4.3</v>
      </c>
      <c r="R4" s="1" t="s">
        <v>87</v>
      </c>
      <c r="S4" s="6" t="s">
        <v>818</v>
      </c>
      <c r="T4" s="1" t="s">
        <v>230</v>
      </c>
      <c r="U4" s="1"/>
      <c r="V4" s="1"/>
      <c r="W4" s="1" t="s">
        <v>849</v>
      </c>
      <c r="X4" s="1"/>
      <c r="Y4" s="1"/>
      <c r="Z4" s="1"/>
    </row>
    <row r="5" spans="1:26" ht="24.9" customHeight="1" x14ac:dyDescent="0.3">
      <c r="A5" s="3" t="s">
        <v>27</v>
      </c>
      <c r="B5" s="3" t="s">
        <v>879</v>
      </c>
      <c r="C5" s="5">
        <v>46121</v>
      </c>
      <c r="D5" s="5">
        <v>46121</v>
      </c>
      <c r="E5" s="3" t="s">
        <v>880</v>
      </c>
      <c r="F5" s="3">
        <v>6</v>
      </c>
      <c r="G5" s="3">
        <v>4000</v>
      </c>
      <c r="H5" s="3">
        <v>18.97</v>
      </c>
      <c r="I5" s="3">
        <v>3036</v>
      </c>
      <c r="J5" s="3">
        <v>2</v>
      </c>
      <c r="K5" s="4">
        <f t="shared" si="0"/>
        <v>18.972332015810277</v>
      </c>
      <c r="L5" s="3"/>
      <c r="M5" s="1">
        <v>9.9</v>
      </c>
      <c r="N5" s="1">
        <v>21.4</v>
      </c>
      <c r="O5" s="2">
        <f t="shared" si="1"/>
        <v>10.7</v>
      </c>
      <c r="P5" s="1">
        <v>400</v>
      </c>
      <c r="Q5" s="1">
        <v>4.3</v>
      </c>
      <c r="R5" s="1" t="s">
        <v>87</v>
      </c>
      <c r="S5" s="1" t="s">
        <v>817</v>
      </c>
      <c r="T5" s="1" t="s">
        <v>881</v>
      </c>
      <c r="U5" s="1"/>
      <c r="V5" s="1"/>
      <c r="W5" s="1"/>
      <c r="X5" s="1" t="s">
        <v>94</v>
      </c>
      <c r="Y5" s="1" t="s">
        <v>120</v>
      </c>
      <c r="Z5" s="1"/>
    </row>
    <row r="6" spans="1:26" ht="24.9" customHeight="1" x14ac:dyDescent="0.3">
      <c r="A6" s="3" t="s">
        <v>28</v>
      </c>
      <c r="B6" s="3" t="s">
        <v>228</v>
      </c>
      <c r="C6" s="5">
        <v>46273</v>
      </c>
      <c r="D6" s="5">
        <v>46275</v>
      </c>
      <c r="E6" s="3" t="s">
        <v>1541</v>
      </c>
      <c r="F6" s="3">
        <v>6</v>
      </c>
      <c r="G6" s="3">
        <v>10000</v>
      </c>
      <c r="H6" s="3">
        <v>21.4</v>
      </c>
      <c r="I6" s="3">
        <v>2690</v>
      </c>
      <c r="J6" s="3">
        <v>2</v>
      </c>
      <c r="K6" s="4">
        <f t="shared" si="0"/>
        <v>21.412639405204462</v>
      </c>
      <c r="L6" s="3">
        <v>286</v>
      </c>
      <c r="M6" s="1">
        <v>9.6999999999999993</v>
      </c>
      <c r="N6" s="1">
        <v>20.9</v>
      </c>
      <c r="O6" s="2">
        <f t="shared" si="1"/>
        <v>10.45</v>
      </c>
      <c r="P6" s="1">
        <v>400</v>
      </c>
      <c r="Q6" s="1">
        <v>4.3</v>
      </c>
      <c r="R6" s="1" t="s">
        <v>87</v>
      </c>
      <c r="S6" s="1" t="s">
        <v>1533</v>
      </c>
      <c r="T6" s="1" t="s">
        <v>1542</v>
      </c>
      <c r="U6" s="1"/>
      <c r="V6" s="1"/>
      <c r="W6" s="1" t="s">
        <v>849</v>
      </c>
      <c r="X6" s="1" t="s">
        <v>103</v>
      </c>
      <c r="Y6" s="1"/>
      <c r="Z6" s="1"/>
    </row>
    <row r="7" spans="1:26" ht="24.9" customHeight="1" x14ac:dyDescent="0.3">
      <c r="A7" s="3" t="s">
        <v>29</v>
      </c>
      <c r="B7" s="3" t="s">
        <v>879</v>
      </c>
      <c r="C7" s="5">
        <v>46275</v>
      </c>
      <c r="D7" s="5">
        <v>46276</v>
      </c>
      <c r="E7" s="3" t="s">
        <v>1560</v>
      </c>
      <c r="F7" s="3">
        <v>6</v>
      </c>
      <c r="G7" s="3">
        <v>4000</v>
      </c>
      <c r="H7" s="3">
        <v>21.37</v>
      </c>
      <c r="I7" s="3">
        <v>2695</v>
      </c>
      <c r="J7" s="3">
        <v>2</v>
      </c>
      <c r="K7" s="4">
        <f t="shared" si="0"/>
        <v>21.37291280148423</v>
      </c>
      <c r="L7" s="3"/>
      <c r="M7" s="1">
        <v>9.6999999999999993</v>
      </c>
      <c r="N7" s="1">
        <v>21</v>
      </c>
      <c r="O7" s="2">
        <f t="shared" si="1"/>
        <v>10.5</v>
      </c>
      <c r="P7" s="1">
        <v>400</v>
      </c>
      <c r="Q7" s="1">
        <v>4.3</v>
      </c>
      <c r="R7" s="1" t="s">
        <v>87</v>
      </c>
      <c r="S7" s="1" t="s">
        <v>1533</v>
      </c>
      <c r="T7" s="1" t="s">
        <v>881</v>
      </c>
      <c r="U7" s="1"/>
      <c r="V7" s="1"/>
      <c r="W7" s="1" t="s">
        <v>849</v>
      </c>
      <c r="X7" s="1"/>
      <c r="Y7" s="1"/>
      <c r="Z7" s="1"/>
    </row>
    <row r="8" spans="1:26" ht="24.9" customHeight="1" x14ac:dyDescent="0.3">
      <c r="A8" s="3" t="s">
        <v>30</v>
      </c>
      <c r="B8" s="3" t="s">
        <v>1568</v>
      </c>
      <c r="C8" s="5">
        <v>46279</v>
      </c>
      <c r="D8" s="5">
        <v>46282</v>
      </c>
      <c r="E8" s="5" t="s">
        <v>1569</v>
      </c>
      <c r="F8" s="3">
        <v>2</v>
      </c>
      <c r="G8" s="3">
        <v>4320</v>
      </c>
      <c r="H8" s="3">
        <v>36.5</v>
      </c>
      <c r="I8" s="3">
        <v>790</v>
      </c>
      <c r="J8" s="3">
        <v>1</v>
      </c>
      <c r="K8" s="4">
        <f t="shared" si="0"/>
        <v>36.455696202531648</v>
      </c>
      <c r="L8" s="3"/>
      <c r="M8" s="1">
        <v>178</v>
      </c>
      <c r="N8" s="1">
        <v>178</v>
      </c>
      <c r="O8" s="2">
        <f t="shared" si="1"/>
        <v>178</v>
      </c>
      <c r="P8" s="1">
        <v>90</v>
      </c>
      <c r="Q8" s="1">
        <v>16.8</v>
      </c>
      <c r="R8" s="1" t="s">
        <v>124</v>
      </c>
      <c r="S8" s="1" t="s">
        <v>1533</v>
      </c>
      <c r="T8" s="1" t="s">
        <v>1273</v>
      </c>
      <c r="U8" s="1"/>
      <c r="V8" s="1"/>
      <c r="W8" s="1" t="s">
        <v>849</v>
      </c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DCBC-D28E-4F23-B7B5-0B852F461758}">
  <sheetPr codeName="Arkusz15"/>
  <dimension ref="A1:Z59"/>
  <sheetViews>
    <sheetView workbookViewId="0">
      <selection activeCell="B9" sqref="B9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190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191</v>
      </c>
      <c r="C3" s="5">
        <v>46049</v>
      </c>
      <c r="D3" s="5">
        <v>46055</v>
      </c>
      <c r="E3" s="5" t="s">
        <v>192</v>
      </c>
      <c r="F3" s="3">
        <v>4</v>
      </c>
      <c r="G3" s="3">
        <v>12000</v>
      </c>
      <c r="H3" s="3">
        <v>68.099999999999994</v>
      </c>
      <c r="I3" s="3">
        <v>423</v>
      </c>
      <c r="J3" s="3">
        <v>2</v>
      </c>
      <c r="K3" s="4">
        <f>(3600/(I3/8))*J3</f>
        <v>136.17021276595744</v>
      </c>
      <c r="L3" s="3">
        <v>526</v>
      </c>
      <c r="M3" s="1">
        <v>13</v>
      </c>
      <c r="N3" s="1">
        <v>29.1</v>
      </c>
      <c r="O3" s="2">
        <f>N3/J3</f>
        <v>14.55</v>
      </c>
      <c r="P3" s="1">
        <v>1700</v>
      </c>
      <c r="Q3" s="1">
        <v>23.1</v>
      </c>
      <c r="R3" s="1" t="s">
        <v>124</v>
      </c>
      <c r="S3" s="6" t="s">
        <v>88</v>
      </c>
      <c r="T3" s="1" t="s">
        <v>240</v>
      </c>
      <c r="U3" s="1" t="s">
        <v>193</v>
      </c>
      <c r="V3" s="14">
        <v>0.02</v>
      </c>
      <c r="W3" s="1" t="s">
        <v>103</v>
      </c>
      <c r="X3" s="1" t="s">
        <v>94</v>
      </c>
      <c r="Y3" s="1" t="s">
        <v>120</v>
      </c>
      <c r="Z3" s="1"/>
    </row>
    <row r="4" spans="1:26" ht="24.9" customHeight="1" x14ac:dyDescent="0.3">
      <c r="A4" s="3" t="s">
        <v>26</v>
      </c>
      <c r="B4" s="3" t="s">
        <v>241</v>
      </c>
      <c r="C4" s="5">
        <v>46056</v>
      </c>
      <c r="D4" s="5">
        <v>46064</v>
      </c>
      <c r="E4" s="3" t="s">
        <v>242</v>
      </c>
      <c r="F4" s="3">
        <v>4</v>
      </c>
      <c r="G4" s="3">
        <v>10700</v>
      </c>
      <c r="H4" s="3">
        <v>59.37</v>
      </c>
      <c r="I4" s="3">
        <v>485</v>
      </c>
      <c r="J4" s="3">
        <v>2</v>
      </c>
      <c r="K4" s="4">
        <f t="shared" ref="K4:K59" si="0">(3600/(I4/8))*J4</f>
        <v>118.76288659793815</v>
      </c>
      <c r="L4" s="3">
        <v>800</v>
      </c>
      <c r="M4" s="1">
        <v>17.3</v>
      </c>
      <c r="N4" s="1">
        <v>34.5</v>
      </c>
      <c r="O4" s="2">
        <f t="shared" ref="O4:O59" si="1">N4/J4</f>
        <v>17.25</v>
      </c>
      <c r="P4" s="1">
        <v>1300</v>
      </c>
      <c r="Q4" s="1">
        <v>23.5</v>
      </c>
      <c r="R4" s="1" t="s">
        <v>124</v>
      </c>
      <c r="S4" s="6" t="s">
        <v>243</v>
      </c>
      <c r="T4" s="11" t="s">
        <v>244</v>
      </c>
      <c r="U4" s="1" t="s">
        <v>245</v>
      </c>
      <c r="V4" s="14">
        <v>0.02</v>
      </c>
      <c r="W4" s="1" t="s">
        <v>103</v>
      </c>
      <c r="X4" s="1" t="s">
        <v>103</v>
      </c>
      <c r="Y4" s="1" t="s">
        <v>120</v>
      </c>
      <c r="Z4" s="1"/>
    </row>
    <row r="5" spans="1:26" ht="24.9" customHeight="1" x14ac:dyDescent="0.3">
      <c r="A5" s="3" t="s">
        <v>27</v>
      </c>
      <c r="B5" s="3" t="s">
        <v>963</v>
      </c>
      <c r="C5" s="5">
        <v>46136</v>
      </c>
      <c r="D5" s="5">
        <v>46139</v>
      </c>
      <c r="E5" s="3" t="s">
        <v>964</v>
      </c>
      <c r="F5" s="3">
        <v>4</v>
      </c>
      <c r="G5" s="3">
        <v>6000</v>
      </c>
      <c r="H5" s="3">
        <v>43.4</v>
      </c>
      <c r="I5" s="3">
        <v>1327</v>
      </c>
      <c r="J5" s="3">
        <v>2</v>
      </c>
      <c r="K5" s="4">
        <f t="shared" si="0"/>
        <v>43.406179351921629</v>
      </c>
      <c r="L5" s="3">
        <v>264</v>
      </c>
      <c r="M5" s="1">
        <v>25.2</v>
      </c>
      <c r="N5" s="1">
        <v>53.4</v>
      </c>
      <c r="O5" s="2">
        <f t="shared" si="1"/>
        <v>26.7</v>
      </c>
      <c r="P5" s="1">
        <v>900</v>
      </c>
      <c r="Q5" s="1">
        <v>23.6</v>
      </c>
      <c r="R5" s="1" t="s">
        <v>124</v>
      </c>
      <c r="S5" s="1" t="s">
        <v>818</v>
      </c>
      <c r="T5" s="11" t="s">
        <v>965</v>
      </c>
      <c r="U5" s="1" t="s">
        <v>193</v>
      </c>
      <c r="V5" s="14">
        <v>0.02</v>
      </c>
      <c r="W5" s="1" t="s">
        <v>94</v>
      </c>
      <c r="X5" s="1"/>
      <c r="Y5" s="1"/>
      <c r="Z5" s="1"/>
    </row>
    <row r="6" spans="1:26" ht="24.9" customHeight="1" x14ac:dyDescent="0.3">
      <c r="A6" s="3" t="s">
        <v>28</v>
      </c>
      <c r="B6" s="3" t="s">
        <v>1048</v>
      </c>
      <c r="C6" s="5">
        <v>46146</v>
      </c>
      <c r="D6" s="5">
        <v>46148</v>
      </c>
      <c r="E6" s="3" t="s">
        <v>1049</v>
      </c>
      <c r="F6" s="3">
        <v>4</v>
      </c>
      <c r="G6" s="3">
        <v>5715</v>
      </c>
      <c r="H6" s="3">
        <v>43.4</v>
      </c>
      <c r="I6" s="3">
        <v>1327</v>
      </c>
      <c r="J6" s="3">
        <v>2</v>
      </c>
      <c r="K6" s="4">
        <f t="shared" si="0"/>
        <v>43.406179351921629</v>
      </c>
      <c r="L6" s="3"/>
      <c r="M6" s="1">
        <v>31.5</v>
      </c>
      <c r="N6" s="1">
        <v>63</v>
      </c>
      <c r="O6" s="2">
        <f t="shared" si="1"/>
        <v>31.5</v>
      </c>
      <c r="P6" s="1">
        <v>500</v>
      </c>
      <c r="Q6" s="1">
        <v>16.75</v>
      </c>
      <c r="R6" s="1" t="s">
        <v>124</v>
      </c>
      <c r="S6" s="1" t="s">
        <v>1017</v>
      </c>
      <c r="T6" s="19" t="s">
        <v>244</v>
      </c>
      <c r="U6" s="1" t="s">
        <v>245</v>
      </c>
      <c r="V6" s="14">
        <v>0.02</v>
      </c>
      <c r="W6" s="1"/>
      <c r="X6" s="1" t="s">
        <v>94</v>
      </c>
      <c r="Y6" s="1" t="s">
        <v>120</v>
      </c>
      <c r="Z6" s="1"/>
    </row>
    <row r="7" spans="1:26" ht="24.9" customHeight="1" x14ac:dyDescent="0.3">
      <c r="A7" s="3" t="s">
        <v>29</v>
      </c>
      <c r="B7" s="3" t="s">
        <v>1154</v>
      </c>
      <c r="C7" s="5">
        <v>46174</v>
      </c>
      <c r="D7" s="5">
        <v>46174</v>
      </c>
      <c r="E7" s="3" t="s">
        <v>1155</v>
      </c>
      <c r="F7" s="3">
        <v>3</v>
      </c>
      <c r="G7" s="3">
        <v>2500</v>
      </c>
      <c r="H7" s="3">
        <v>43.9</v>
      </c>
      <c r="I7" s="3">
        <v>1312</v>
      </c>
      <c r="J7" s="3">
        <v>2</v>
      </c>
      <c r="K7" s="4">
        <f t="shared" si="0"/>
        <v>43.902439024390247</v>
      </c>
      <c r="L7" s="3">
        <v>145</v>
      </c>
      <c r="M7" s="1">
        <v>12.6</v>
      </c>
      <c r="N7" s="1">
        <v>28.2</v>
      </c>
      <c r="O7" s="2">
        <f t="shared" si="1"/>
        <v>14.1</v>
      </c>
      <c r="P7" s="1">
        <v>1700</v>
      </c>
      <c r="Q7" s="1">
        <v>23.1</v>
      </c>
      <c r="R7" s="1" t="s">
        <v>124</v>
      </c>
      <c r="S7" s="1" t="s">
        <v>1156</v>
      </c>
      <c r="T7" s="19" t="s">
        <v>965</v>
      </c>
      <c r="U7" s="1" t="s">
        <v>193</v>
      </c>
      <c r="V7" s="14">
        <v>0.02</v>
      </c>
      <c r="W7" s="1" t="s">
        <v>103</v>
      </c>
      <c r="X7" s="1"/>
      <c r="Y7" s="1"/>
      <c r="Z7" s="1"/>
    </row>
    <row r="8" spans="1:26" ht="24.9" customHeight="1" x14ac:dyDescent="0.3">
      <c r="A8" s="3" t="s">
        <v>30</v>
      </c>
      <c r="B8" s="3" t="s">
        <v>1187</v>
      </c>
      <c r="C8" s="5">
        <v>46181</v>
      </c>
      <c r="D8" s="5">
        <v>46182</v>
      </c>
      <c r="E8" s="5" t="s">
        <v>1188</v>
      </c>
      <c r="F8" s="3">
        <v>3</v>
      </c>
      <c r="G8" s="3">
        <v>2050</v>
      </c>
      <c r="H8" s="3">
        <v>38.700000000000003</v>
      </c>
      <c r="I8" s="3">
        <v>750</v>
      </c>
      <c r="J8" s="3">
        <v>2</v>
      </c>
      <c r="K8" s="4">
        <f t="shared" si="0"/>
        <v>76.8</v>
      </c>
      <c r="L8" s="3">
        <v>416</v>
      </c>
      <c r="M8" s="1">
        <v>16.8</v>
      </c>
      <c r="N8" s="1">
        <v>35.799999999999997</v>
      </c>
      <c r="O8" s="2">
        <f t="shared" si="1"/>
        <v>17.899999999999999</v>
      </c>
      <c r="P8" s="1">
        <v>1300</v>
      </c>
      <c r="Q8" s="1">
        <v>23</v>
      </c>
      <c r="R8" s="1" t="s">
        <v>124</v>
      </c>
      <c r="S8" s="1" t="s">
        <v>1156</v>
      </c>
      <c r="T8" s="19" t="s">
        <v>244</v>
      </c>
      <c r="U8" s="1" t="s">
        <v>1131</v>
      </c>
      <c r="V8" s="14">
        <v>0.02</v>
      </c>
      <c r="W8" s="1" t="s">
        <v>103</v>
      </c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907E-7C85-4771-B8C0-FA0EF372EAB6}">
  <sheetPr codeName="Arkusz16"/>
  <dimension ref="A1:Z59"/>
  <sheetViews>
    <sheetView topLeftCell="E7" workbookViewId="0">
      <selection activeCell="W22" sqref="W22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170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17" t="s">
        <v>171</v>
      </c>
      <c r="C3" s="5">
        <v>46044</v>
      </c>
      <c r="D3" s="5">
        <v>46045</v>
      </c>
      <c r="E3" s="13" t="s">
        <v>172</v>
      </c>
      <c r="F3" s="3">
        <v>6</v>
      </c>
      <c r="G3" s="3">
        <v>6000</v>
      </c>
      <c r="H3" s="3">
        <v>26.99</v>
      </c>
      <c r="I3" s="3">
        <v>2134</v>
      </c>
      <c r="J3" s="3">
        <v>2</v>
      </c>
      <c r="K3" s="4">
        <f>(3600/(I3/8))*J3</f>
        <v>26.991565135895033</v>
      </c>
      <c r="L3" s="3"/>
      <c r="M3" s="1">
        <v>6.1</v>
      </c>
      <c r="N3" s="1">
        <v>14.3</v>
      </c>
      <c r="O3" s="2">
        <f>N3/J3</f>
        <v>7.15</v>
      </c>
      <c r="P3" s="1">
        <v>4000</v>
      </c>
      <c r="Q3" s="1">
        <v>25.4</v>
      </c>
      <c r="R3" s="1" t="s">
        <v>124</v>
      </c>
      <c r="S3" s="6" t="s">
        <v>88</v>
      </c>
      <c r="T3" s="11" t="s">
        <v>173</v>
      </c>
      <c r="U3" s="1" t="s">
        <v>174</v>
      </c>
      <c r="V3" s="14">
        <v>0.02</v>
      </c>
      <c r="W3" s="1" t="s">
        <v>94</v>
      </c>
      <c r="X3" s="1" t="s">
        <v>94</v>
      </c>
      <c r="Y3" s="1" t="s">
        <v>120</v>
      </c>
      <c r="Z3" s="1"/>
    </row>
    <row r="4" spans="1:26" ht="24.9" customHeight="1" x14ac:dyDescent="0.3">
      <c r="A4" s="3" t="s">
        <v>26</v>
      </c>
      <c r="B4" s="11" t="s">
        <v>187</v>
      </c>
      <c r="C4" s="5">
        <v>46048</v>
      </c>
      <c r="D4" s="5">
        <v>46051</v>
      </c>
      <c r="E4" s="3" t="s">
        <v>188</v>
      </c>
      <c r="F4" s="3">
        <v>6</v>
      </c>
      <c r="G4" s="3">
        <v>5000</v>
      </c>
      <c r="H4" s="3">
        <v>34.94</v>
      </c>
      <c r="I4" s="3">
        <v>824</v>
      </c>
      <c r="J4" s="3">
        <v>2</v>
      </c>
      <c r="K4" s="4">
        <f t="shared" ref="K4:K59" si="0">(3600/(I4/8))*J4</f>
        <v>69.902912621359221</v>
      </c>
      <c r="L4" s="3">
        <v>133</v>
      </c>
      <c r="M4" s="1">
        <v>9.1999999999999993</v>
      </c>
      <c r="N4" s="1">
        <v>22.4</v>
      </c>
      <c r="O4" s="2">
        <f t="shared" ref="O4:O59" si="1">N4/J4</f>
        <v>11.2</v>
      </c>
      <c r="P4" s="1">
        <v>1800</v>
      </c>
      <c r="Q4" s="1">
        <v>17.600000000000001</v>
      </c>
      <c r="R4" s="1" t="s">
        <v>92</v>
      </c>
      <c r="S4" s="6" t="s">
        <v>88</v>
      </c>
      <c r="T4" s="17" t="s">
        <v>189</v>
      </c>
      <c r="U4" s="1" t="s">
        <v>174</v>
      </c>
      <c r="V4" s="14">
        <v>0.02</v>
      </c>
      <c r="W4" s="1" t="s">
        <v>94</v>
      </c>
      <c r="X4" s="1"/>
      <c r="Y4" s="1"/>
      <c r="Z4" s="1"/>
    </row>
    <row r="5" spans="1:26" ht="24.9" customHeight="1" x14ac:dyDescent="0.3">
      <c r="A5" s="3" t="s">
        <v>27</v>
      </c>
      <c r="B5" s="3" t="s">
        <v>231</v>
      </c>
      <c r="C5" s="5">
        <v>46051</v>
      </c>
      <c r="D5" s="5">
        <v>46058</v>
      </c>
      <c r="E5" s="3" t="s">
        <v>232</v>
      </c>
      <c r="F5" s="3">
        <v>6</v>
      </c>
      <c r="G5" s="3">
        <v>12000</v>
      </c>
      <c r="H5" s="3">
        <v>17.510000000000002</v>
      </c>
      <c r="I5" s="3">
        <v>1644</v>
      </c>
      <c r="J5" s="3">
        <v>1</v>
      </c>
      <c r="K5" s="4">
        <f t="shared" si="0"/>
        <v>17.518248175182482</v>
      </c>
      <c r="L5" s="3"/>
      <c r="M5" s="1">
        <v>12.4</v>
      </c>
      <c r="N5" s="1">
        <v>16.399999999999999</v>
      </c>
      <c r="O5" s="2">
        <f t="shared" si="1"/>
        <v>16.399999999999999</v>
      </c>
      <c r="P5" s="1">
        <v>1400</v>
      </c>
      <c r="Q5" s="1">
        <v>19</v>
      </c>
      <c r="R5" s="1" t="s">
        <v>124</v>
      </c>
      <c r="S5" s="1" t="s">
        <v>88</v>
      </c>
      <c r="T5" s="11" t="s">
        <v>233</v>
      </c>
      <c r="U5" s="1" t="s">
        <v>234</v>
      </c>
      <c r="V5" s="1"/>
      <c r="W5" s="1" t="s">
        <v>156</v>
      </c>
      <c r="X5" s="1" t="s">
        <v>94</v>
      </c>
      <c r="Y5" s="1" t="s">
        <v>120</v>
      </c>
      <c r="Z5" s="1"/>
    </row>
    <row r="6" spans="1:26" ht="24.9" customHeight="1" x14ac:dyDescent="0.3">
      <c r="A6" s="3" t="s">
        <v>28</v>
      </c>
      <c r="B6" s="3" t="s">
        <v>286</v>
      </c>
      <c r="C6" s="5">
        <v>46069</v>
      </c>
      <c r="D6" s="5">
        <v>46083</v>
      </c>
      <c r="E6" s="3" t="s">
        <v>287</v>
      </c>
      <c r="F6" s="3">
        <v>4</v>
      </c>
      <c r="G6" s="3">
        <v>12000</v>
      </c>
      <c r="H6" s="3">
        <v>33.799999999999997</v>
      </c>
      <c r="I6" s="3">
        <v>852</v>
      </c>
      <c r="J6" s="3">
        <v>1</v>
      </c>
      <c r="K6" s="4">
        <f t="shared" si="0"/>
        <v>33.802816901408448</v>
      </c>
      <c r="L6" s="3">
        <v>3149</v>
      </c>
      <c r="M6" s="1">
        <v>9.5</v>
      </c>
      <c r="N6" s="1">
        <v>12.6</v>
      </c>
      <c r="O6" s="2">
        <f t="shared" si="1"/>
        <v>12.6</v>
      </c>
      <c r="P6" s="1">
        <v>1700</v>
      </c>
      <c r="Q6" s="1">
        <v>17.5</v>
      </c>
      <c r="R6" s="1" t="s">
        <v>124</v>
      </c>
      <c r="S6" s="1" t="s">
        <v>243</v>
      </c>
      <c r="T6" s="11" t="s">
        <v>288</v>
      </c>
      <c r="U6" s="1" t="s">
        <v>289</v>
      </c>
      <c r="V6" s="14">
        <v>0.02</v>
      </c>
      <c r="W6" s="1" t="s">
        <v>103</v>
      </c>
      <c r="X6" s="1"/>
      <c r="Y6" s="1"/>
      <c r="Z6" s="1"/>
    </row>
    <row r="7" spans="1:26" ht="24.9" customHeight="1" x14ac:dyDescent="0.3">
      <c r="A7" s="3" t="s">
        <v>29</v>
      </c>
      <c r="B7" s="3" t="s">
        <v>718</v>
      </c>
      <c r="C7" s="5">
        <v>46094</v>
      </c>
      <c r="D7" s="5">
        <v>46100</v>
      </c>
      <c r="E7" s="3" t="s">
        <v>719</v>
      </c>
      <c r="F7" s="3">
        <v>6</v>
      </c>
      <c r="G7" s="3">
        <v>12000</v>
      </c>
      <c r="H7" s="3">
        <v>17.739999999999998</v>
      </c>
      <c r="I7" s="3">
        <v>1623</v>
      </c>
      <c r="J7" s="3">
        <v>1</v>
      </c>
      <c r="K7" s="4">
        <f t="shared" si="0"/>
        <v>17.744916820702404</v>
      </c>
      <c r="L7" s="3">
        <v>366</v>
      </c>
      <c r="M7" s="1">
        <v>12.8</v>
      </c>
      <c r="N7" s="1">
        <v>16.7</v>
      </c>
      <c r="O7" s="2">
        <f t="shared" si="1"/>
        <v>16.7</v>
      </c>
      <c r="P7" s="1">
        <v>1400</v>
      </c>
      <c r="Q7" s="1">
        <v>19</v>
      </c>
      <c r="R7" s="1" t="s">
        <v>124</v>
      </c>
      <c r="S7" s="1" t="s">
        <v>650</v>
      </c>
      <c r="T7" s="11" t="s">
        <v>233</v>
      </c>
      <c r="U7" s="1" t="s">
        <v>234</v>
      </c>
      <c r="V7" s="1"/>
      <c r="W7" s="1" t="s">
        <v>678</v>
      </c>
      <c r="X7" s="1"/>
      <c r="Y7" s="1"/>
      <c r="Z7" s="1"/>
    </row>
    <row r="8" spans="1:26" ht="24.9" customHeight="1" x14ac:dyDescent="0.3">
      <c r="A8" s="3" t="s">
        <v>30</v>
      </c>
      <c r="B8" s="3" t="s">
        <v>286</v>
      </c>
      <c r="C8" s="5">
        <v>46128</v>
      </c>
      <c r="D8" s="5">
        <v>46133</v>
      </c>
      <c r="E8" s="5" t="s">
        <v>919</v>
      </c>
      <c r="F8" s="3">
        <v>5</v>
      </c>
      <c r="G8" s="3">
        <v>12000</v>
      </c>
      <c r="H8" s="3">
        <v>28.4</v>
      </c>
      <c r="I8" s="3">
        <v>1014</v>
      </c>
      <c r="J8" s="3">
        <v>1</v>
      </c>
      <c r="K8" s="4">
        <f t="shared" si="0"/>
        <v>28.402366863905325</v>
      </c>
      <c r="L8" s="3">
        <v>321</v>
      </c>
      <c r="M8" s="1">
        <v>9.6999999999999993</v>
      </c>
      <c r="N8" s="1">
        <v>12.8</v>
      </c>
      <c r="O8" s="2">
        <f t="shared" si="1"/>
        <v>12.8</v>
      </c>
      <c r="P8" s="1">
        <v>1700</v>
      </c>
      <c r="Q8" s="1">
        <v>17.5</v>
      </c>
      <c r="R8" s="1" t="s">
        <v>124</v>
      </c>
      <c r="S8" s="1" t="s">
        <v>650</v>
      </c>
      <c r="T8" s="11" t="s">
        <v>288</v>
      </c>
      <c r="U8" s="1" t="s">
        <v>289</v>
      </c>
      <c r="V8" s="14">
        <v>0.02</v>
      </c>
      <c r="W8" s="1" t="s">
        <v>920</v>
      </c>
      <c r="X8" s="1"/>
      <c r="Y8" s="1"/>
      <c r="Z8" s="1"/>
    </row>
    <row r="9" spans="1:26" ht="24.9" customHeight="1" x14ac:dyDescent="0.3">
      <c r="A9" s="3" t="s">
        <v>31</v>
      </c>
      <c r="B9" s="11" t="s">
        <v>1000</v>
      </c>
      <c r="C9" s="5">
        <v>46141</v>
      </c>
      <c r="D9" s="5">
        <v>46142</v>
      </c>
      <c r="E9" s="3" t="s">
        <v>1001</v>
      </c>
      <c r="F9" s="3">
        <v>4</v>
      </c>
      <c r="G9" s="3">
        <v>10000</v>
      </c>
      <c r="H9" s="3">
        <v>26</v>
      </c>
      <c r="I9" s="3">
        <v>2215</v>
      </c>
      <c r="J9" s="3">
        <v>2</v>
      </c>
      <c r="K9" s="4">
        <f t="shared" si="0"/>
        <v>26.004514672686231</v>
      </c>
      <c r="L9" s="3"/>
      <c r="M9" s="1">
        <v>6.1</v>
      </c>
      <c r="N9" s="1">
        <v>14.3</v>
      </c>
      <c r="O9" s="2">
        <f t="shared" si="1"/>
        <v>7.15</v>
      </c>
      <c r="P9" s="1">
        <v>4000</v>
      </c>
      <c r="Q9" s="1">
        <v>25.5</v>
      </c>
      <c r="R9" s="1" t="s">
        <v>124</v>
      </c>
      <c r="S9" s="1" t="s">
        <v>818</v>
      </c>
      <c r="T9" s="20" t="s">
        <v>1002</v>
      </c>
      <c r="U9" s="1" t="s">
        <v>174</v>
      </c>
      <c r="V9" s="14">
        <v>0.02</v>
      </c>
      <c r="W9" s="1" t="s">
        <v>678</v>
      </c>
      <c r="X9" s="1" t="s">
        <v>678</v>
      </c>
      <c r="Y9" s="1" t="s">
        <v>120</v>
      </c>
      <c r="Z9" s="1"/>
    </row>
    <row r="10" spans="1:26" ht="24.9" customHeight="1" x14ac:dyDescent="0.3">
      <c r="A10" s="3" t="s">
        <v>32</v>
      </c>
      <c r="B10" s="3" t="s">
        <v>1054</v>
      </c>
      <c r="C10" s="5">
        <v>46150</v>
      </c>
      <c r="D10" s="5">
        <v>46156</v>
      </c>
      <c r="E10" s="3" t="s">
        <v>1055</v>
      </c>
      <c r="F10" s="3">
        <v>5</v>
      </c>
      <c r="G10" s="3">
        <v>12000</v>
      </c>
      <c r="H10" s="3">
        <v>19.46</v>
      </c>
      <c r="I10" s="3">
        <v>1480</v>
      </c>
      <c r="J10" s="3">
        <v>1</v>
      </c>
      <c r="K10" s="4">
        <f t="shared" si="0"/>
        <v>19.45945945945946</v>
      </c>
      <c r="L10" s="3"/>
      <c r="M10" s="1">
        <v>12.9</v>
      </c>
      <c r="N10" s="1">
        <v>17</v>
      </c>
      <c r="O10" s="2">
        <f t="shared" si="1"/>
        <v>17</v>
      </c>
      <c r="P10" s="1">
        <v>1400</v>
      </c>
      <c r="Q10" s="1">
        <v>19</v>
      </c>
      <c r="R10" s="1" t="s">
        <v>124</v>
      </c>
      <c r="S10" s="1" t="s">
        <v>1017</v>
      </c>
      <c r="T10" s="11" t="s">
        <v>233</v>
      </c>
      <c r="U10" s="1" t="s">
        <v>234</v>
      </c>
      <c r="V10" s="14">
        <v>0.02</v>
      </c>
      <c r="W10" s="1" t="s">
        <v>678</v>
      </c>
      <c r="X10" s="1" t="s">
        <v>678</v>
      </c>
      <c r="Y10" s="1" t="s">
        <v>120</v>
      </c>
      <c r="Z10" s="1"/>
    </row>
    <row r="11" spans="1:26" ht="24.9" customHeight="1" x14ac:dyDescent="0.3">
      <c r="A11" s="3" t="s">
        <v>33</v>
      </c>
      <c r="B11" s="3" t="s">
        <v>1077</v>
      </c>
      <c r="C11" s="5">
        <v>46156</v>
      </c>
      <c r="D11" s="5">
        <v>46163</v>
      </c>
      <c r="E11" s="3" t="s">
        <v>1078</v>
      </c>
      <c r="F11" s="3">
        <v>5</v>
      </c>
      <c r="G11" s="3">
        <v>7600</v>
      </c>
      <c r="H11" s="3">
        <v>33.26</v>
      </c>
      <c r="I11" s="3">
        <v>865</v>
      </c>
      <c r="J11" s="3">
        <v>1</v>
      </c>
      <c r="K11" s="4">
        <f t="shared" si="0"/>
        <v>33.294797687861269</v>
      </c>
      <c r="L11" s="3">
        <v>31</v>
      </c>
      <c r="M11" s="1">
        <v>30.1</v>
      </c>
      <c r="N11" s="1">
        <v>30.1</v>
      </c>
      <c r="O11" s="2">
        <f t="shared" si="1"/>
        <v>30.1</v>
      </c>
      <c r="P11" s="1">
        <v>700</v>
      </c>
      <c r="Q11" s="1">
        <v>21.9</v>
      </c>
      <c r="R11" s="1" t="s">
        <v>124</v>
      </c>
      <c r="S11" s="1" t="s">
        <v>1017</v>
      </c>
      <c r="T11" s="20" t="s">
        <v>1079</v>
      </c>
      <c r="U11" s="1"/>
      <c r="V11" s="1"/>
      <c r="W11" s="1" t="s">
        <v>678</v>
      </c>
      <c r="X11" s="1"/>
      <c r="Y11" s="1"/>
      <c r="Z11" s="1"/>
    </row>
    <row r="12" spans="1:26" ht="24.9" customHeight="1" x14ac:dyDescent="0.3">
      <c r="A12" s="3" t="s">
        <v>34</v>
      </c>
      <c r="B12" s="3" t="s">
        <v>1080</v>
      </c>
      <c r="C12" s="5">
        <v>46156</v>
      </c>
      <c r="D12" s="3"/>
      <c r="E12" s="3" t="s">
        <v>1078</v>
      </c>
      <c r="F12" s="3">
        <v>5</v>
      </c>
      <c r="G12" s="3">
        <v>7600</v>
      </c>
      <c r="H12" s="3">
        <v>33.26</v>
      </c>
      <c r="I12" s="3">
        <v>865</v>
      </c>
      <c r="J12" s="3">
        <v>1</v>
      </c>
      <c r="K12" s="4">
        <f t="shared" si="0"/>
        <v>33.294797687861269</v>
      </c>
      <c r="L12" s="3">
        <v>31</v>
      </c>
      <c r="M12" s="1">
        <v>34.4</v>
      </c>
      <c r="N12" s="1">
        <v>34.4</v>
      </c>
      <c r="O12" s="2">
        <f t="shared" si="1"/>
        <v>34.4</v>
      </c>
      <c r="P12" s="1">
        <v>450</v>
      </c>
      <c r="Q12" s="1">
        <v>16.399999999999999</v>
      </c>
      <c r="R12" s="1" t="s">
        <v>124</v>
      </c>
      <c r="S12" s="1" t="s">
        <v>1017</v>
      </c>
      <c r="T12" s="20" t="s">
        <v>1079</v>
      </c>
      <c r="U12" s="1"/>
      <c r="V12" s="1"/>
      <c r="W12" s="1" t="s">
        <v>678</v>
      </c>
      <c r="X12" s="1"/>
      <c r="Y12" s="1"/>
      <c r="Z12" s="1"/>
    </row>
    <row r="13" spans="1:26" ht="24.9" customHeight="1" x14ac:dyDescent="0.3">
      <c r="A13" s="3" t="s">
        <v>35</v>
      </c>
      <c r="B13" s="3" t="s">
        <v>286</v>
      </c>
      <c r="C13" s="5">
        <v>46196</v>
      </c>
      <c r="D13" s="5">
        <v>46205</v>
      </c>
      <c r="E13" s="3" t="s">
        <v>1226</v>
      </c>
      <c r="F13" s="3">
        <v>3</v>
      </c>
      <c r="G13" s="3">
        <v>12000</v>
      </c>
      <c r="H13" s="3">
        <v>27.7</v>
      </c>
      <c r="I13" s="3">
        <v>1039</v>
      </c>
      <c r="J13" s="3">
        <v>1</v>
      </c>
      <c r="K13" s="4">
        <f t="shared" si="0"/>
        <v>27.71896053897979</v>
      </c>
      <c r="L13" s="3">
        <v>1200</v>
      </c>
      <c r="M13" s="1">
        <v>9.3000000000000007</v>
      </c>
      <c r="N13" s="1">
        <v>12.3</v>
      </c>
      <c r="O13" s="2">
        <f t="shared" si="1"/>
        <v>12.3</v>
      </c>
      <c r="P13" s="1">
        <v>1700</v>
      </c>
      <c r="Q13" s="1">
        <v>17.5</v>
      </c>
      <c r="R13" s="1" t="s">
        <v>124</v>
      </c>
      <c r="S13" s="1" t="s">
        <v>1156</v>
      </c>
      <c r="T13" s="25" t="s">
        <v>1227</v>
      </c>
      <c r="U13" s="1" t="s">
        <v>289</v>
      </c>
      <c r="V13" s="14">
        <v>0.02</v>
      </c>
      <c r="W13" s="1" t="s">
        <v>94</v>
      </c>
      <c r="X13" s="1" t="s">
        <v>670</v>
      </c>
      <c r="Y13" s="1" t="s">
        <v>151</v>
      </c>
      <c r="Z13" s="1"/>
    </row>
    <row r="14" spans="1:26" ht="24.9" customHeight="1" x14ac:dyDescent="0.3">
      <c r="A14" s="3" t="s">
        <v>36</v>
      </c>
      <c r="B14" s="3" t="s">
        <v>1235</v>
      </c>
      <c r="C14" s="5">
        <v>46199</v>
      </c>
      <c r="D14" s="5">
        <v>46205</v>
      </c>
      <c r="E14" s="3" t="s">
        <v>1236</v>
      </c>
      <c r="F14" s="3">
        <v>6</v>
      </c>
      <c r="G14" s="3">
        <v>12000</v>
      </c>
      <c r="H14" s="3">
        <v>18.95</v>
      </c>
      <c r="I14" s="3">
        <v>1520</v>
      </c>
      <c r="J14" s="3">
        <v>1</v>
      </c>
      <c r="K14" s="4">
        <f t="shared" si="0"/>
        <v>18.94736842105263</v>
      </c>
      <c r="L14" s="3">
        <v>314</v>
      </c>
      <c r="M14" s="1">
        <v>12.8</v>
      </c>
      <c r="N14" s="1">
        <v>17</v>
      </c>
      <c r="O14" s="2">
        <f t="shared" si="1"/>
        <v>17</v>
      </c>
      <c r="P14" s="1">
        <v>1400</v>
      </c>
      <c r="Q14" s="1">
        <v>19</v>
      </c>
      <c r="R14" s="1" t="s">
        <v>124</v>
      </c>
      <c r="S14" s="1" t="s">
        <v>1156</v>
      </c>
      <c r="T14" s="11" t="s">
        <v>1237</v>
      </c>
      <c r="U14" s="1" t="s">
        <v>1238</v>
      </c>
      <c r="V14" s="1"/>
      <c r="W14" s="1" t="s">
        <v>94</v>
      </c>
      <c r="X14" s="1" t="s">
        <v>1255</v>
      </c>
      <c r="Y14" s="1" t="s">
        <v>120</v>
      </c>
      <c r="Z14" s="1"/>
    </row>
    <row r="15" spans="1:26" ht="24.9" customHeight="1" x14ac:dyDescent="0.3">
      <c r="A15" s="3" t="s">
        <v>37</v>
      </c>
      <c r="B15" s="11" t="s">
        <v>187</v>
      </c>
      <c r="C15" s="5">
        <v>46230</v>
      </c>
      <c r="D15" s="5">
        <v>46232</v>
      </c>
      <c r="E15" s="3" t="s">
        <v>1372</v>
      </c>
      <c r="F15" s="3">
        <v>5</v>
      </c>
      <c r="G15" s="3">
        <v>5000</v>
      </c>
      <c r="H15" s="3">
        <v>28.56</v>
      </c>
      <c r="I15" s="3">
        <v>1008</v>
      </c>
      <c r="J15" s="3">
        <v>2</v>
      </c>
      <c r="K15" s="4">
        <f t="shared" si="0"/>
        <v>57.142857142857146</v>
      </c>
      <c r="L15" s="3"/>
      <c r="M15" s="1">
        <v>9.1999999999999993</v>
      </c>
      <c r="N15" s="1">
        <v>22.2</v>
      </c>
      <c r="O15" s="2">
        <f t="shared" si="1"/>
        <v>11.1</v>
      </c>
      <c r="P15" s="1">
        <v>1800</v>
      </c>
      <c r="Q15" s="1">
        <v>17</v>
      </c>
      <c r="R15" s="1" t="s">
        <v>92</v>
      </c>
      <c r="S15" s="1" t="s">
        <v>1252</v>
      </c>
      <c r="T15" s="11" t="s">
        <v>189</v>
      </c>
      <c r="U15" s="1" t="s">
        <v>174</v>
      </c>
      <c r="V15" s="14">
        <v>0.02</v>
      </c>
      <c r="W15" s="1" t="s">
        <v>94</v>
      </c>
      <c r="X15" s="1"/>
      <c r="Y15" s="1"/>
      <c r="Z15" s="1"/>
    </row>
    <row r="16" spans="1:26" ht="24.9" customHeight="1" x14ac:dyDescent="0.3">
      <c r="A16" s="3" t="s">
        <v>38</v>
      </c>
      <c r="B16" s="3" t="s">
        <v>1512</v>
      </c>
      <c r="C16" s="5">
        <v>46265</v>
      </c>
      <c r="D16" s="5">
        <v>46276</v>
      </c>
      <c r="E16" s="3" t="s">
        <v>1513</v>
      </c>
      <c r="F16" s="3">
        <v>4</v>
      </c>
      <c r="G16" s="3">
        <v>12000</v>
      </c>
      <c r="H16" s="3">
        <v>35.5</v>
      </c>
      <c r="I16" s="3">
        <v>820</v>
      </c>
      <c r="J16" s="3">
        <v>3</v>
      </c>
      <c r="K16" s="4">
        <f t="shared" si="0"/>
        <v>105.36585365853659</v>
      </c>
      <c r="L16" s="3"/>
      <c r="M16" s="1">
        <v>9.5</v>
      </c>
      <c r="N16" s="1">
        <v>34.1</v>
      </c>
      <c r="O16" s="2">
        <f t="shared" si="1"/>
        <v>11.366666666666667</v>
      </c>
      <c r="P16" s="1">
        <v>1700</v>
      </c>
      <c r="Q16" s="1">
        <v>17.5</v>
      </c>
      <c r="R16" s="1" t="s">
        <v>124</v>
      </c>
      <c r="S16" s="1" t="s">
        <v>1392</v>
      </c>
      <c r="T16" s="11" t="s">
        <v>1514</v>
      </c>
      <c r="U16" s="11" t="s">
        <v>1515</v>
      </c>
      <c r="V16" s="14">
        <v>0.03</v>
      </c>
      <c r="W16" s="1" t="s">
        <v>103</v>
      </c>
      <c r="X16" s="1"/>
      <c r="Y16" s="1"/>
      <c r="Z16" s="1"/>
    </row>
    <row r="17" spans="1:26" ht="24.9" customHeight="1" x14ac:dyDescent="0.3">
      <c r="A17" s="3" t="s">
        <v>39</v>
      </c>
      <c r="B17" s="3" t="s">
        <v>1516</v>
      </c>
      <c r="C17" s="5">
        <v>46265</v>
      </c>
      <c r="D17" s="5">
        <v>46269</v>
      </c>
      <c r="E17" s="3" t="s">
        <v>1513</v>
      </c>
      <c r="F17" s="3">
        <v>4</v>
      </c>
      <c r="G17" s="3">
        <v>6000</v>
      </c>
      <c r="H17" s="3">
        <v>39.4</v>
      </c>
      <c r="I17" s="3">
        <v>730</v>
      </c>
      <c r="J17" s="3">
        <v>3</v>
      </c>
      <c r="K17" s="4">
        <f t="shared" si="0"/>
        <v>118.35616438356165</v>
      </c>
      <c r="L17" s="3"/>
      <c r="M17" s="1">
        <v>9.8000000000000007</v>
      </c>
      <c r="N17" s="1">
        <v>34.1</v>
      </c>
      <c r="O17" s="2">
        <f t="shared" si="1"/>
        <v>11.366666666666667</v>
      </c>
      <c r="P17" s="1">
        <v>1600</v>
      </c>
      <c r="Q17" s="1">
        <v>16.899999999999999</v>
      </c>
      <c r="R17" s="1" t="s">
        <v>124</v>
      </c>
      <c r="S17" s="1" t="s">
        <v>1392</v>
      </c>
      <c r="T17" s="25" t="s">
        <v>1514</v>
      </c>
      <c r="U17" s="19" t="s">
        <v>1515</v>
      </c>
      <c r="V17" s="14">
        <v>0.03</v>
      </c>
      <c r="W17" s="1" t="s">
        <v>103</v>
      </c>
      <c r="X17" s="1"/>
      <c r="Y17" s="1"/>
      <c r="Z17" s="1"/>
    </row>
    <row r="18" spans="1:26" ht="24.9" customHeight="1" x14ac:dyDescent="0.3">
      <c r="A18" s="3" t="s">
        <v>40</v>
      </c>
      <c r="B18" s="3" t="s">
        <v>1517</v>
      </c>
      <c r="C18" s="5">
        <v>46265</v>
      </c>
      <c r="D18" s="5">
        <v>46269</v>
      </c>
      <c r="E18" s="3" t="s">
        <v>1513</v>
      </c>
      <c r="F18" s="3">
        <v>4</v>
      </c>
      <c r="G18" s="3">
        <v>6200</v>
      </c>
      <c r="H18" s="3">
        <v>39.4</v>
      </c>
      <c r="I18" s="3">
        <v>730</v>
      </c>
      <c r="J18" s="3">
        <v>3</v>
      </c>
      <c r="K18" s="4">
        <f t="shared" si="0"/>
        <v>118.35616438356165</v>
      </c>
      <c r="L18" s="3"/>
      <c r="M18" s="1">
        <v>9.8000000000000007</v>
      </c>
      <c r="N18" s="1">
        <v>34.1</v>
      </c>
      <c r="O18" s="2">
        <f t="shared" si="1"/>
        <v>11.366666666666667</v>
      </c>
      <c r="P18" s="1">
        <v>1600</v>
      </c>
      <c r="Q18" s="1">
        <v>16.899999999999999</v>
      </c>
      <c r="R18" s="1" t="s">
        <v>124</v>
      </c>
      <c r="S18" s="1" t="s">
        <v>1392</v>
      </c>
      <c r="T18" s="11" t="s">
        <v>1514</v>
      </c>
      <c r="U18" s="19" t="s">
        <v>1515</v>
      </c>
      <c r="V18" s="14">
        <v>0.03</v>
      </c>
      <c r="W18" s="1" t="s">
        <v>103</v>
      </c>
      <c r="X18" s="1"/>
      <c r="Y18" s="1"/>
      <c r="Z18" s="1"/>
    </row>
    <row r="19" spans="1:26" ht="24.9" customHeight="1" x14ac:dyDescent="0.3">
      <c r="A19" s="3" t="s">
        <v>41</v>
      </c>
      <c r="B19" s="3" t="s">
        <v>1235</v>
      </c>
      <c r="C19" s="5">
        <v>46276</v>
      </c>
      <c r="D19" s="5">
        <v>46283</v>
      </c>
      <c r="E19" s="3" t="s">
        <v>1563</v>
      </c>
      <c r="F19" s="3">
        <v>4</v>
      </c>
      <c r="G19" s="3">
        <v>12600</v>
      </c>
      <c r="H19" s="3">
        <v>35.4</v>
      </c>
      <c r="I19" s="3">
        <v>820</v>
      </c>
      <c r="J19" s="3">
        <v>1</v>
      </c>
      <c r="K19" s="4">
        <f t="shared" si="0"/>
        <v>35.121951219512198</v>
      </c>
      <c r="L19" s="3"/>
      <c r="M19" s="1">
        <v>12.8</v>
      </c>
      <c r="N19" s="1">
        <v>16.899999999999999</v>
      </c>
      <c r="O19" s="2">
        <f t="shared" si="1"/>
        <v>16.899999999999999</v>
      </c>
      <c r="P19" s="1">
        <v>1400</v>
      </c>
      <c r="Q19" s="1">
        <v>19</v>
      </c>
      <c r="R19" s="1" t="s">
        <v>124</v>
      </c>
      <c r="S19" s="1" t="s">
        <v>1533</v>
      </c>
      <c r="T19" s="20" t="s">
        <v>1237</v>
      </c>
      <c r="U19" s="1" t="s">
        <v>234</v>
      </c>
      <c r="V19" s="14">
        <v>0.02</v>
      </c>
      <c r="W19" s="1" t="s">
        <v>94</v>
      </c>
      <c r="X19" s="1"/>
      <c r="Y19" s="1"/>
      <c r="Z19" s="1"/>
    </row>
    <row r="20" spans="1:26" ht="24.9" customHeight="1" x14ac:dyDescent="0.3">
      <c r="A20" s="3" t="s">
        <v>42</v>
      </c>
      <c r="B20" s="3" t="s">
        <v>1823</v>
      </c>
      <c r="C20" s="5">
        <v>46308</v>
      </c>
      <c r="D20" s="3"/>
      <c r="E20" s="3" t="s">
        <v>1824</v>
      </c>
      <c r="F20" s="3">
        <v>5</v>
      </c>
      <c r="G20" s="3"/>
      <c r="H20" s="3"/>
      <c r="I20" s="3"/>
      <c r="J20" s="3">
        <v>1</v>
      </c>
      <c r="K20" s="4" t="e">
        <f t="shared" si="0"/>
        <v>#DIV/0!</v>
      </c>
      <c r="L20" s="3"/>
      <c r="M20" s="1">
        <v>9.9</v>
      </c>
      <c r="N20" s="1">
        <v>13</v>
      </c>
      <c r="O20" s="2">
        <f t="shared" si="1"/>
        <v>13</v>
      </c>
      <c r="P20" s="1">
        <v>1700</v>
      </c>
      <c r="Q20" s="1">
        <v>17.5</v>
      </c>
      <c r="R20" s="1" t="s">
        <v>124</v>
      </c>
      <c r="S20" s="1" t="s">
        <v>1739</v>
      </c>
      <c r="T20" s="11" t="s">
        <v>1227</v>
      </c>
      <c r="U20" s="19" t="s">
        <v>1515</v>
      </c>
      <c r="V20" s="14">
        <v>0.02</v>
      </c>
      <c r="W20" s="1" t="s">
        <v>103</v>
      </c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89F6-8A14-4CBE-BA87-6E32895A31A5}">
  <sheetPr codeName="Arkusz17"/>
  <dimension ref="A1:Z59"/>
  <sheetViews>
    <sheetView workbookViewId="0">
      <selection activeCell="H6" sqref="H6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/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157</v>
      </c>
      <c r="C3" s="5">
        <v>46042</v>
      </c>
      <c r="D3" s="5">
        <v>46050</v>
      </c>
      <c r="E3" s="13" t="s">
        <v>158</v>
      </c>
      <c r="F3" s="3">
        <v>1</v>
      </c>
      <c r="G3" s="3">
        <v>8400</v>
      </c>
      <c r="H3" s="3">
        <v>37.200000000000003</v>
      </c>
      <c r="I3" s="3">
        <v>774</v>
      </c>
      <c r="J3" s="3">
        <v>1</v>
      </c>
      <c r="K3" s="4">
        <f>(3600/(I3/8))*J3</f>
        <v>37.209302325581397</v>
      </c>
      <c r="L3" s="3"/>
      <c r="M3" s="1">
        <v>213.6</v>
      </c>
      <c r="N3" s="1">
        <v>218.3</v>
      </c>
      <c r="O3" s="2">
        <f>N3/J3</f>
        <v>218.3</v>
      </c>
      <c r="P3" s="1">
        <v>30</v>
      </c>
      <c r="Q3" s="1"/>
      <c r="R3" s="19" t="s">
        <v>159</v>
      </c>
      <c r="S3" s="6" t="s">
        <v>154</v>
      </c>
      <c r="T3" s="1" t="s">
        <v>160</v>
      </c>
      <c r="U3" s="1"/>
      <c r="V3" s="1"/>
      <c r="W3" s="1" t="s">
        <v>161</v>
      </c>
      <c r="X3" s="1" t="s">
        <v>103</v>
      </c>
      <c r="Y3" s="1" t="s">
        <v>120</v>
      </c>
      <c r="Z3" s="1"/>
    </row>
    <row r="4" spans="1:26" ht="24.9" customHeight="1" x14ac:dyDescent="0.3">
      <c r="A4" s="3" t="s">
        <v>26</v>
      </c>
      <c r="B4" s="3" t="s">
        <v>157</v>
      </c>
      <c r="C4" s="5">
        <v>46086</v>
      </c>
      <c r="D4" s="5">
        <v>46105</v>
      </c>
      <c r="E4" s="3" t="s">
        <v>692</v>
      </c>
      <c r="F4" s="3">
        <v>8</v>
      </c>
      <c r="G4" s="3">
        <v>18400</v>
      </c>
      <c r="H4" s="3">
        <v>38.700000000000003</v>
      </c>
      <c r="I4" s="3">
        <v>744</v>
      </c>
      <c r="J4" s="3">
        <v>1</v>
      </c>
      <c r="K4" s="4">
        <f t="shared" ref="K4:K59" si="0">(3600/(I4/8))*J4</f>
        <v>38.70967741935484</v>
      </c>
      <c r="L4" s="3"/>
      <c r="M4" s="1">
        <v>217.8</v>
      </c>
      <c r="N4" s="1">
        <v>222.5</v>
      </c>
      <c r="O4" s="2">
        <f t="shared" ref="O4:O59" si="1">N4/J4</f>
        <v>222.5</v>
      </c>
      <c r="P4" s="1">
        <v>30</v>
      </c>
      <c r="Q4" s="1"/>
      <c r="R4" s="19" t="s">
        <v>159</v>
      </c>
      <c r="S4" s="6" t="s">
        <v>650</v>
      </c>
      <c r="T4" s="1" t="s">
        <v>160</v>
      </c>
      <c r="U4" s="1"/>
      <c r="V4" s="1"/>
      <c r="W4" s="1" t="s">
        <v>161</v>
      </c>
      <c r="X4" s="1"/>
      <c r="Y4" s="1"/>
      <c r="Z4" s="1"/>
    </row>
    <row r="5" spans="1:26" ht="24.9" customHeight="1" x14ac:dyDescent="0.3">
      <c r="A5" s="3" t="s">
        <v>27</v>
      </c>
      <c r="B5" s="3"/>
      <c r="C5" s="3"/>
      <c r="D5" s="3"/>
      <c r="E5" s="3"/>
      <c r="F5" s="3"/>
      <c r="G5" s="3"/>
      <c r="H5" s="3"/>
      <c r="I5" s="3"/>
      <c r="J5" s="3"/>
      <c r="K5" s="4" t="e">
        <f t="shared" si="0"/>
        <v>#DIV/0!</v>
      </c>
      <c r="L5" s="3"/>
      <c r="M5" s="1"/>
      <c r="N5" s="1"/>
      <c r="O5" s="2" t="e">
        <f t="shared" si="1"/>
        <v>#DIV/0!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9" customHeight="1" x14ac:dyDescent="0.3">
      <c r="A6" s="3" t="s">
        <v>28</v>
      </c>
      <c r="B6" s="3"/>
      <c r="C6" s="3"/>
      <c r="D6" s="3"/>
      <c r="E6" s="3"/>
      <c r="F6" s="3"/>
      <c r="G6" s="3"/>
      <c r="H6" s="3"/>
      <c r="I6" s="3"/>
      <c r="J6" s="3"/>
      <c r="K6" s="4" t="e">
        <f t="shared" si="0"/>
        <v>#DIV/0!</v>
      </c>
      <c r="L6" s="3"/>
      <c r="M6" s="1"/>
      <c r="N6" s="1"/>
      <c r="O6" s="2" t="e">
        <f t="shared" si="1"/>
        <v>#DIV/0!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9" customHeight="1" x14ac:dyDescent="0.3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4" t="e">
        <f t="shared" si="0"/>
        <v>#DIV/0!</v>
      </c>
      <c r="L7" s="3"/>
      <c r="M7" s="1"/>
      <c r="N7" s="1"/>
      <c r="O7" s="2" t="e">
        <f t="shared" si="1"/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9" customHeight="1" x14ac:dyDescent="0.3">
      <c r="A8" s="3" t="s">
        <v>30</v>
      </c>
      <c r="B8" s="3"/>
      <c r="C8" s="5"/>
      <c r="D8" s="5"/>
      <c r="E8" s="5"/>
      <c r="F8" s="3"/>
      <c r="G8" s="3"/>
      <c r="H8" s="3"/>
      <c r="I8" s="3"/>
      <c r="J8" s="3"/>
      <c r="K8" s="4" t="e">
        <f t="shared" si="0"/>
        <v>#DIV/0!</v>
      </c>
      <c r="L8" s="3"/>
      <c r="M8" s="1"/>
      <c r="N8" s="1"/>
      <c r="O8" s="2" t="e">
        <f t="shared" si="1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1F99-9094-448B-A57C-AA3072A294D4}">
  <sheetPr codeName="Arkusz18"/>
  <dimension ref="A1:Z59"/>
  <sheetViews>
    <sheetView workbookViewId="0">
      <selection activeCell="M4" sqref="M4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/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152</v>
      </c>
      <c r="C3" s="5">
        <v>46041</v>
      </c>
      <c r="D3" s="5">
        <v>46043</v>
      </c>
      <c r="E3" s="13" t="s">
        <v>153</v>
      </c>
      <c r="F3" s="3">
        <v>4</v>
      </c>
      <c r="G3" s="3">
        <v>10000</v>
      </c>
      <c r="H3" s="3">
        <v>33.6</v>
      </c>
      <c r="I3" s="3">
        <v>3428</v>
      </c>
      <c r="J3" s="3">
        <v>4</v>
      </c>
      <c r="K3" s="4">
        <f>(3600/(I3/8))*J3</f>
        <v>33.605600933488915</v>
      </c>
      <c r="L3" s="3">
        <v>1156</v>
      </c>
      <c r="M3" s="1">
        <v>4</v>
      </c>
      <c r="N3" s="1">
        <v>21.9</v>
      </c>
      <c r="O3" s="2">
        <f>N3/J3</f>
        <v>5.4749999999999996</v>
      </c>
      <c r="P3" s="1">
        <v>1500</v>
      </c>
      <c r="Q3" s="1">
        <v>6.25</v>
      </c>
      <c r="R3" s="1" t="s">
        <v>87</v>
      </c>
      <c r="S3" s="6" t="s">
        <v>154</v>
      </c>
      <c r="T3" s="1" t="s">
        <v>155</v>
      </c>
      <c r="U3" s="1"/>
      <c r="V3" s="1"/>
      <c r="W3" s="1" t="s">
        <v>156</v>
      </c>
      <c r="X3" s="1" t="s">
        <v>103</v>
      </c>
      <c r="Y3" s="1" t="s">
        <v>120</v>
      </c>
      <c r="Z3" s="1"/>
    </row>
    <row r="4" spans="1:26" ht="24.9" customHeight="1" x14ac:dyDescent="0.3">
      <c r="A4" s="3" t="s">
        <v>26</v>
      </c>
      <c r="B4" s="3" t="s">
        <v>1256</v>
      </c>
      <c r="C4" s="5">
        <v>46205</v>
      </c>
      <c r="D4" s="5">
        <v>46206</v>
      </c>
      <c r="E4" s="3" t="s">
        <v>1257</v>
      </c>
      <c r="F4" s="3">
        <v>3</v>
      </c>
      <c r="G4" s="3">
        <v>10000</v>
      </c>
      <c r="H4" s="3">
        <v>30.2</v>
      </c>
      <c r="I4" s="3">
        <v>3814</v>
      </c>
      <c r="J4" s="3">
        <v>4</v>
      </c>
      <c r="K4" s="4">
        <f t="shared" ref="K4:K59" si="0">(3600/(I4/8))*J4</f>
        <v>30.204509701101205</v>
      </c>
      <c r="L4" s="3">
        <v>440</v>
      </c>
      <c r="M4" s="1">
        <v>1.6</v>
      </c>
      <c r="N4" s="1">
        <v>10.7</v>
      </c>
      <c r="O4" s="2">
        <f t="shared" ref="O4:O59" si="1">N4/J4</f>
        <v>2.6749999999999998</v>
      </c>
      <c r="P4" s="1">
        <v>4000</v>
      </c>
      <c r="Q4" s="1">
        <v>6.65</v>
      </c>
      <c r="R4" s="1" t="s">
        <v>87</v>
      </c>
      <c r="S4" s="6" t="s">
        <v>1252</v>
      </c>
      <c r="T4" s="1" t="s">
        <v>155</v>
      </c>
      <c r="U4" s="1"/>
      <c r="V4" s="1"/>
      <c r="W4" s="1" t="s">
        <v>670</v>
      </c>
      <c r="X4" s="1"/>
      <c r="Y4" s="1"/>
      <c r="Z4" s="1"/>
    </row>
    <row r="5" spans="1:26" ht="24.9" customHeight="1" x14ac:dyDescent="0.3">
      <c r="A5" s="3" t="s">
        <v>27</v>
      </c>
      <c r="B5" s="3"/>
      <c r="C5" s="3"/>
      <c r="D5" s="3"/>
      <c r="E5" s="3"/>
      <c r="F5" s="3"/>
      <c r="G5" s="3"/>
      <c r="H5" s="3"/>
      <c r="I5" s="3"/>
      <c r="J5" s="3"/>
      <c r="K5" s="4" t="e">
        <f t="shared" si="0"/>
        <v>#DIV/0!</v>
      </c>
      <c r="L5" s="3"/>
      <c r="M5" s="1"/>
      <c r="N5" s="1"/>
      <c r="O5" s="2" t="e">
        <f t="shared" si="1"/>
        <v>#DIV/0!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9" customHeight="1" x14ac:dyDescent="0.3">
      <c r="A6" s="3" t="s">
        <v>28</v>
      </c>
      <c r="B6" s="3"/>
      <c r="C6" s="3"/>
      <c r="D6" s="3"/>
      <c r="E6" s="3"/>
      <c r="F6" s="3"/>
      <c r="G6" s="3"/>
      <c r="H6" s="3"/>
      <c r="I6" s="3"/>
      <c r="J6" s="3"/>
      <c r="K6" s="4" t="e">
        <f t="shared" si="0"/>
        <v>#DIV/0!</v>
      </c>
      <c r="L6" s="3"/>
      <c r="M6" s="1"/>
      <c r="N6" s="1"/>
      <c r="O6" s="2" t="e">
        <f t="shared" si="1"/>
        <v>#DIV/0!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9" customHeight="1" x14ac:dyDescent="0.3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4" t="e">
        <f t="shared" si="0"/>
        <v>#DIV/0!</v>
      </c>
      <c r="L7" s="3"/>
      <c r="M7" s="1"/>
      <c r="N7" s="1"/>
      <c r="O7" s="2" t="e">
        <f t="shared" si="1"/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9" customHeight="1" x14ac:dyDescent="0.3">
      <c r="A8" s="3" t="s">
        <v>30</v>
      </c>
      <c r="B8" s="3"/>
      <c r="C8" s="5"/>
      <c r="D8" s="5"/>
      <c r="E8" s="5"/>
      <c r="F8" s="3"/>
      <c r="G8" s="3"/>
      <c r="H8" s="3"/>
      <c r="I8" s="3"/>
      <c r="J8" s="3"/>
      <c r="K8" s="4" t="e">
        <f t="shared" si="0"/>
        <v>#DIV/0!</v>
      </c>
      <c r="L8" s="3"/>
      <c r="M8" s="1"/>
      <c r="N8" s="1"/>
      <c r="O8" s="2" t="e">
        <f t="shared" si="1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DDA7-CCBA-4660-A554-31B908DADB0B}">
  <sheetPr codeName="Arkusz19"/>
  <dimension ref="A1:Z59"/>
  <sheetViews>
    <sheetView workbookViewId="0">
      <selection activeCell="X21" sqref="X21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121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122</v>
      </c>
      <c r="C3" s="5">
        <v>46036</v>
      </c>
      <c r="D3" s="5">
        <v>46051</v>
      </c>
      <c r="E3" s="13" t="s">
        <v>123</v>
      </c>
      <c r="F3" s="3">
        <v>7</v>
      </c>
      <c r="G3" s="3">
        <v>20400</v>
      </c>
      <c r="H3" s="3">
        <v>29.7</v>
      </c>
      <c r="I3" s="3">
        <v>969</v>
      </c>
      <c r="J3" s="3">
        <v>1</v>
      </c>
      <c r="K3" s="4">
        <f>(3600/(I3/8))*J3</f>
        <v>29.721362229102166</v>
      </c>
      <c r="L3" s="3">
        <v>315</v>
      </c>
      <c r="M3" s="1">
        <v>127.2</v>
      </c>
      <c r="N3" s="1">
        <v>129.9</v>
      </c>
      <c r="O3" s="2">
        <f>N3/J3</f>
        <v>129.9</v>
      </c>
      <c r="P3" s="1">
        <v>80</v>
      </c>
      <c r="Q3" s="1">
        <v>12.5</v>
      </c>
      <c r="R3" s="1" t="s">
        <v>124</v>
      </c>
      <c r="S3" s="6" t="s">
        <v>88</v>
      </c>
      <c r="T3" s="1" t="s">
        <v>125</v>
      </c>
      <c r="U3" s="1"/>
      <c r="V3" s="1"/>
      <c r="W3" s="1" t="s">
        <v>126</v>
      </c>
      <c r="X3" s="1"/>
      <c r="Y3" s="1"/>
      <c r="Z3" s="1"/>
    </row>
    <row r="4" spans="1:26" ht="24.9" customHeight="1" x14ac:dyDescent="0.3">
      <c r="A4" s="3" t="s">
        <v>26</v>
      </c>
      <c r="B4" s="3" t="s">
        <v>122</v>
      </c>
      <c r="C4" s="5">
        <v>46051</v>
      </c>
      <c r="D4" s="5">
        <v>46084</v>
      </c>
      <c r="E4" s="3" t="s">
        <v>219</v>
      </c>
      <c r="F4" s="3">
        <v>7</v>
      </c>
      <c r="G4" s="3">
        <v>40800</v>
      </c>
      <c r="H4" s="3">
        <v>29.6</v>
      </c>
      <c r="I4" s="3">
        <v>973</v>
      </c>
      <c r="J4" s="3">
        <v>1</v>
      </c>
      <c r="K4" s="4">
        <f t="shared" ref="K4:K59" si="0">(3600/(I4/8))*J4</f>
        <v>29.599177800616651</v>
      </c>
      <c r="L4" s="3">
        <v>125</v>
      </c>
      <c r="M4" s="1">
        <v>127.2</v>
      </c>
      <c r="N4" s="1">
        <v>129.9</v>
      </c>
      <c r="O4" s="2">
        <f t="shared" ref="O4:O59" si="1">N4/J4</f>
        <v>129.9</v>
      </c>
      <c r="P4" s="1">
        <v>80</v>
      </c>
      <c r="Q4" s="1">
        <v>12.5</v>
      </c>
      <c r="R4" s="1" t="s">
        <v>124</v>
      </c>
      <c r="S4" s="6" t="s">
        <v>88</v>
      </c>
      <c r="T4" s="1" t="s">
        <v>125</v>
      </c>
      <c r="U4" s="1"/>
      <c r="V4" s="1"/>
      <c r="W4" s="1"/>
      <c r="X4" s="1"/>
      <c r="Y4" s="1"/>
      <c r="Z4" s="1" t="s">
        <v>220</v>
      </c>
    </row>
    <row r="5" spans="1:26" ht="24.9" customHeight="1" x14ac:dyDescent="0.3">
      <c r="A5" s="3" t="s">
        <v>27</v>
      </c>
      <c r="B5" s="3" t="s">
        <v>122</v>
      </c>
      <c r="C5" s="5">
        <v>46084</v>
      </c>
      <c r="D5" s="5">
        <v>46100</v>
      </c>
      <c r="E5" s="3" t="s">
        <v>666</v>
      </c>
      <c r="F5" s="3">
        <v>7</v>
      </c>
      <c r="G5" s="3">
        <v>22360</v>
      </c>
      <c r="H5" s="3">
        <v>26.6</v>
      </c>
      <c r="I5" s="3">
        <v>973</v>
      </c>
      <c r="J5" s="3">
        <v>1</v>
      </c>
      <c r="K5" s="4">
        <f t="shared" si="0"/>
        <v>29.599177800616651</v>
      </c>
      <c r="L5" s="3"/>
      <c r="M5" s="1">
        <v>127.2</v>
      </c>
      <c r="N5" s="1">
        <v>129.9</v>
      </c>
      <c r="O5" s="2">
        <f t="shared" si="1"/>
        <v>129.9</v>
      </c>
      <c r="P5" s="1">
        <v>80</v>
      </c>
      <c r="Q5" s="1">
        <v>12.5</v>
      </c>
      <c r="R5" s="1" t="s">
        <v>124</v>
      </c>
      <c r="S5" s="1" t="s">
        <v>650</v>
      </c>
      <c r="T5" s="1" t="s">
        <v>125</v>
      </c>
      <c r="U5" s="1"/>
      <c r="V5" s="1"/>
      <c r="W5" s="1"/>
      <c r="X5" s="1"/>
      <c r="Y5" s="1"/>
      <c r="Z5" s="1"/>
    </row>
    <row r="6" spans="1:26" ht="24.9" customHeight="1" x14ac:dyDescent="0.3">
      <c r="A6" s="3" t="s">
        <v>28</v>
      </c>
      <c r="B6" s="3" t="s">
        <v>796</v>
      </c>
      <c r="C6" s="5">
        <v>46091</v>
      </c>
      <c r="D6" s="5">
        <v>46098</v>
      </c>
      <c r="E6" s="3" t="s">
        <v>699</v>
      </c>
      <c r="F6" s="3">
        <v>1</v>
      </c>
      <c r="G6" s="3">
        <v>2400</v>
      </c>
      <c r="H6" s="3">
        <v>48.1</v>
      </c>
      <c r="I6" s="3">
        <v>598</v>
      </c>
      <c r="J6" s="3">
        <v>1</v>
      </c>
      <c r="K6" s="4">
        <f t="shared" si="0"/>
        <v>48.16053511705686</v>
      </c>
      <c r="L6" s="3"/>
      <c r="M6" s="1">
        <v>129.4</v>
      </c>
      <c r="N6" s="1">
        <v>132.69999999999999</v>
      </c>
      <c r="O6" s="2">
        <f t="shared" si="1"/>
        <v>132.69999999999999</v>
      </c>
      <c r="P6" s="1">
        <v>104</v>
      </c>
      <c r="Q6" s="1">
        <v>12.45</v>
      </c>
      <c r="R6" s="32" t="s">
        <v>700</v>
      </c>
      <c r="S6" s="1" t="s">
        <v>650</v>
      </c>
      <c r="T6" s="1" t="s">
        <v>701</v>
      </c>
      <c r="U6" s="1"/>
      <c r="V6" s="1"/>
      <c r="W6" s="1" t="s">
        <v>103</v>
      </c>
      <c r="X6" s="1"/>
      <c r="Y6" s="1"/>
      <c r="Z6" s="1"/>
    </row>
    <row r="7" spans="1:26" ht="24.9" customHeight="1" x14ac:dyDescent="0.3">
      <c r="A7" s="3" t="s">
        <v>29</v>
      </c>
      <c r="B7" s="3" t="s">
        <v>797</v>
      </c>
      <c r="C7" s="5">
        <v>46092</v>
      </c>
      <c r="D7" s="5">
        <v>46093</v>
      </c>
      <c r="E7" s="3" t="s">
        <v>699</v>
      </c>
      <c r="F7" s="3">
        <v>1</v>
      </c>
      <c r="G7" s="3">
        <v>2337</v>
      </c>
      <c r="H7" s="3">
        <v>38.4</v>
      </c>
      <c r="I7" s="3">
        <v>750</v>
      </c>
      <c r="J7" s="3">
        <v>1</v>
      </c>
      <c r="K7" s="4">
        <f t="shared" si="0"/>
        <v>38.4</v>
      </c>
      <c r="L7" s="3">
        <v>199</v>
      </c>
      <c r="M7" s="1">
        <v>121.3</v>
      </c>
      <c r="N7" s="1">
        <v>123.8</v>
      </c>
      <c r="O7" s="2">
        <f t="shared" si="1"/>
        <v>123.8</v>
      </c>
      <c r="P7" s="1">
        <v>130</v>
      </c>
      <c r="Q7" s="1">
        <v>16.55</v>
      </c>
      <c r="R7" s="32" t="s">
        <v>700</v>
      </c>
      <c r="S7" s="1" t="s">
        <v>664</v>
      </c>
      <c r="T7" s="1" t="s">
        <v>701</v>
      </c>
      <c r="U7" s="1"/>
      <c r="V7" s="1"/>
      <c r="W7" s="1" t="s">
        <v>103</v>
      </c>
      <c r="X7" s="1"/>
      <c r="Y7" s="1"/>
      <c r="Z7" s="1"/>
    </row>
    <row r="8" spans="1:26" ht="24.9" customHeight="1" x14ac:dyDescent="0.3">
      <c r="A8" s="3" t="s">
        <v>30</v>
      </c>
      <c r="B8" s="3" t="s">
        <v>796</v>
      </c>
      <c r="C8" s="5">
        <v>46112</v>
      </c>
      <c r="D8" s="5">
        <v>46135</v>
      </c>
      <c r="E8" s="5" t="s">
        <v>798</v>
      </c>
      <c r="F8" s="3">
        <v>1</v>
      </c>
      <c r="G8" s="3">
        <v>16016</v>
      </c>
      <c r="H8" s="3">
        <v>43.1</v>
      </c>
      <c r="I8" s="3">
        <v>668</v>
      </c>
      <c r="J8" s="3">
        <v>1</v>
      </c>
      <c r="K8" s="4">
        <f t="shared" si="0"/>
        <v>43.113772455089823</v>
      </c>
      <c r="L8" s="3"/>
      <c r="M8" s="1">
        <v>126.9</v>
      </c>
      <c r="N8" s="1">
        <v>130.19999999999999</v>
      </c>
      <c r="O8" s="2">
        <f t="shared" si="1"/>
        <v>130.19999999999999</v>
      </c>
      <c r="P8" s="1">
        <v>104</v>
      </c>
      <c r="Q8" s="1">
        <v>12.45</v>
      </c>
      <c r="R8" s="19" t="s">
        <v>700</v>
      </c>
      <c r="S8" s="1" t="s">
        <v>650</v>
      </c>
      <c r="T8" s="1" t="s">
        <v>701</v>
      </c>
      <c r="U8" s="1"/>
      <c r="V8" s="1"/>
      <c r="W8" s="1" t="s">
        <v>678</v>
      </c>
      <c r="X8" s="1"/>
      <c r="Y8" s="1"/>
      <c r="Z8" s="1"/>
    </row>
    <row r="9" spans="1:26" ht="24.9" customHeight="1" x14ac:dyDescent="0.3">
      <c r="A9" s="3" t="s">
        <v>31</v>
      </c>
      <c r="B9" s="3" t="s">
        <v>797</v>
      </c>
      <c r="C9" s="5">
        <v>46120</v>
      </c>
      <c r="D9" s="5">
        <v>46132</v>
      </c>
      <c r="E9" s="3" t="s">
        <v>885</v>
      </c>
      <c r="F9" s="3">
        <v>1</v>
      </c>
      <c r="G9" s="3">
        <v>16000</v>
      </c>
      <c r="H9" s="3">
        <v>41.4</v>
      </c>
      <c r="I9" s="3">
        <v>695</v>
      </c>
      <c r="J9" s="3">
        <v>1</v>
      </c>
      <c r="K9" s="4">
        <f t="shared" si="0"/>
        <v>41.438848920863308</v>
      </c>
      <c r="L9" s="3"/>
      <c r="M9" s="1">
        <v>118.2</v>
      </c>
      <c r="N9" s="1">
        <v>120.2</v>
      </c>
      <c r="O9" s="2">
        <f t="shared" si="1"/>
        <v>120.2</v>
      </c>
      <c r="P9" s="1">
        <v>130</v>
      </c>
      <c r="Q9" s="1">
        <v>16.55</v>
      </c>
      <c r="R9" s="19" t="s">
        <v>700</v>
      </c>
      <c r="S9" s="1" t="s">
        <v>817</v>
      </c>
      <c r="T9" s="1" t="s">
        <v>701</v>
      </c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 t="s">
        <v>797</v>
      </c>
      <c r="C10" s="5">
        <v>46149</v>
      </c>
      <c r="D10" s="5">
        <v>46182</v>
      </c>
      <c r="E10" s="3" t="s">
        <v>1053</v>
      </c>
      <c r="F10" s="3">
        <v>1</v>
      </c>
      <c r="G10" s="3">
        <v>18200</v>
      </c>
      <c r="H10" s="3">
        <v>42.5</v>
      </c>
      <c r="I10" s="3">
        <v>677</v>
      </c>
      <c r="J10" s="3">
        <v>1</v>
      </c>
      <c r="K10" s="4">
        <f t="shared" si="0"/>
        <v>42.540620384047266</v>
      </c>
      <c r="L10" s="3"/>
      <c r="M10" s="1">
        <v>119.6</v>
      </c>
      <c r="N10" s="1">
        <v>122.3</v>
      </c>
      <c r="O10" s="2">
        <f t="shared" si="1"/>
        <v>122.3</v>
      </c>
      <c r="P10" s="1">
        <v>130</v>
      </c>
      <c r="Q10" s="1">
        <v>16.55</v>
      </c>
      <c r="R10" s="19" t="s">
        <v>700</v>
      </c>
      <c r="S10" s="1" t="s">
        <v>1017</v>
      </c>
      <c r="T10" s="1" t="s">
        <v>701</v>
      </c>
      <c r="U10" s="1"/>
      <c r="V10" s="1"/>
      <c r="W10" s="1" t="s">
        <v>103</v>
      </c>
      <c r="X10" s="1" t="s">
        <v>103</v>
      </c>
      <c r="Y10" s="1"/>
      <c r="Z10" s="1" t="s">
        <v>1073</v>
      </c>
    </row>
    <row r="11" spans="1:26" ht="24.9" customHeight="1" x14ac:dyDescent="0.3">
      <c r="A11" s="3" t="s">
        <v>33</v>
      </c>
      <c r="B11" s="3" t="s">
        <v>1071</v>
      </c>
      <c r="C11" s="5">
        <v>46156</v>
      </c>
      <c r="D11" s="5">
        <v>46170</v>
      </c>
      <c r="E11" s="3" t="s">
        <v>1072</v>
      </c>
      <c r="F11" s="3">
        <v>1</v>
      </c>
      <c r="G11" s="3">
        <v>16000</v>
      </c>
      <c r="H11" s="3">
        <v>41.8</v>
      </c>
      <c r="I11" s="3">
        <v>988</v>
      </c>
      <c r="J11" s="3">
        <v>1</v>
      </c>
      <c r="K11" s="4">
        <f t="shared" si="0"/>
        <v>29.149797570850204</v>
      </c>
      <c r="L11" s="3">
        <v>15</v>
      </c>
      <c r="M11" s="1">
        <v>123.2</v>
      </c>
      <c r="N11" s="1">
        <v>126.3</v>
      </c>
      <c r="O11" s="2">
        <f t="shared" si="1"/>
        <v>126.3</v>
      </c>
      <c r="P11" s="1">
        <v>104</v>
      </c>
      <c r="Q11" s="1">
        <v>12.45</v>
      </c>
      <c r="R11" s="19" t="s">
        <v>700</v>
      </c>
      <c r="S11" s="1" t="s">
        <v>1045</v>
      </c>
      <c r="T11" s="1" t="s">
        <v>701</v>
      </c>
      <c r="U11" s="1"/>
      <c r="V11" s="1"/>
      <c r="W11" s="1" t="s">
        <v>103</v>
      </c>
      <c r="X11" s="1"/>
      <c r="Y11" s="1"/>
      <c r="Z11" s="1"/>
    </row>
    <row r="12" spans="1:26" ht="24.9" customHeight="1" x14ac:dyDescent="0.3">
      <c r="A12" s="3" t="s">
        <v>34</v>
      </c>
      <c r="B12" s="3" t="s">
        <v>797</v>
      </c>
      <c r="C12" s="5">
        <v>46182</v>
      </c>
      <c r="D12" s="5">
        <v>46218</v>
      </c>
      <c r="E12" s="3" t="s">
        <v>1189</v>
      </c>
      <c r="F12" s="3">
        <v>1</v>
      </c>
      <c r="G12" s="3">
        <v>18200</v>
      </c>
      <c r="H12" s="3">
        <v>41</v>
      </c>
      <c r="I12" s="3">
        <v>702</v>
      </c>
      <c r="J12" s="3">
        <v>1</v>
      </c>
      <c r="K12" s="4">
        <f t="shared" si="0"/>
        <v>41.025641025641029</v>
      </c>
      <c r="L12" s="3"/>
      <c r="M12" s="1">
        <v>119.5</v>
      </c>
      <c r="N12" s="1">
        <v>122.2</v>
      </c>
      <c r="O12" s="2">
        <f t="shared" si="1"/>
        <v>122.2</v>
      </c>
      <c r="P12" s="1">
        <v>130</v>
      </c>
      <c r="Q12" s="1">
        <v>16.55</v>
      </c>
      <c r="R12" s="19" t="s">
        <v>700</v>
      </c>
      <c r="S12" s="1" t="s">
        <v>1156</v>
      </c>
      <c r="T12" s="1" t="s">
        <v>701</v>
      </c>
      <c r="U12" s="1"/>
      <c r="V12" s="1"/>
      <c r="W12" s="1" t="s">
        <v>103</v>
      </c>
      <c r="X12" s="1" t="s">
        <v>94</v>
      </c>
      <c r="Y12" s="1"/>
      <c r="Z12" s="1"/>
    </row>
    <row r="13" spans="1:26" ht="24.9" customHeight="1" x14ac:dyDescent="0.3">
      <c r="A13" s="3" t="s">
        <v>35</v>
      </c>
      <c r="B13" s="3" t="s">
        <v>1071</v>
      </c>
      <c r="C13" s="5">
        <v>46192</v>
      </c>
      <c r="D13" s="5">
        <v>46212</v>
      </c>
      <c r="E13" s="3" t="s">
        <v>1225</v>
      </c>
      <c r="F13" s="3">
        <v>1</v>
      </c>
      <c r="G13" s="3">
        <v>18720</v>
      </c>
      <c r="H13" s="3">
        <v>45</v>
      </c>
      <c r="I13" s="3">
        <v>640</v>
      </c>
      <c r="J13" s="3">
        <v>1</v>
      </c>
      <c r="K13" s="4">
        <f t="shared" si="0"/>
        <v>45</v>
      </c>
      <c r="L13" s="3"/>
      <c r="M13" s="1">
        <v>125.2</v>
      </c>
      <c r="N13" s="1">
        <v>128.19999999999999</v>
      </c>
      <c r="O13" s="2">
        <f t="shared" si="1"/>
        <v>128.19999999999999</v>
      </c>
      <c r="P13" s="1">
        <v>104</v>
      </c>
      <c r="Q13" s="1">
        <v>12.45</v>
      </c>
      <c r="R13" s="19" t="s">
        <v>700</v>
      </c>
      <c r="S13" s="1" t="s">
        <v>1162</v>
      </c>
      <c r="T13" s="1" t="s">
        <v>701</v>
      </c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 t="s">
        <v>797</v>
      </c>
      <c r="C14" s="5">
        <v>46218</v>
      </c>
      <c r="D14" s="5">
        <v>46233</v>
      </c>
      <c r="E14" s="3" t="s">
        <v>1319</v>
      </c>
      <c r="F14" s="3">
        <v>1</v>
      </c>
      <c r="G14" s="3">
        <v>18200</v>
      </c>
      <c r="H14" s="3">
        <v>40.9</v>
      </c>
      <c r="I14" s="3">
        <v>700</v>
      </c>
      <c r="J14" s="3">
        <v>1</v>
      </c>
      <c r="K14" s="4">
        <f t="shared" si="0"/>
        <v>41.142857142857146</v>
      </c>
      <c r="L14" s="3"/>
      <c r="M14" s="1">
        <v>119.5</v>
      </c>
      <c r="N14" s="1">
        <v>122.2</v>
      </c>
      <c r="O14" s="2">
        <f t="shared" si="1"/>
        <v>122.2</v>
      </c>
      <c r="P14" s="1">
        <v>130</v>
      </c>
      <c r="Q14" s="1">
        <v>16.55</v>
      </c>
      <c r="R14" s="19" t="s">
        <v>700</v>
      </c>
      <c r="S14" s="1" t="s">
        <v>1252</v>
      </c>
      <c r="T14" s="1" t="s">
        <v>701</v>
      </c>
      <c r="U14" s="1"/>
      <c r="V14" s="1"/>
      <c r="W14" s="1" t="s">
        <v>94</v>
      </c>
      <c r="X14" s="1"/>
      <c r="Y14" s="1"/>
      <c r="Z14" s="1"/>
    </row>
    <row r="15" spans="1:26" ht="24.9" customHeight="1" x14ac:dyDescent="0.3">
      <c r="A15" s="3" t="s">
        <v>37</v>
      </c>
      <c r="B15" s="3" t="s">
        <v>1071</v>
      </c>
      <c r="C15" s="5">
        <v>46219</v>
      </c>
      <c r="D15" s="5">
        <v>46234</v>
      </c>
      <c r="E15" s="3" t="s">
        <v>1330</v>
      </c>
      <c r="F15" s="3">
        <v>7</v>
      </c>
      <c r="G15" s="3">
        <v>18720</v>
      </c>
      <c r="H15" s="3">
        <v>38</v>
      </c>
      <c r="I15" s="3">
        <v>757</v>
      </c>
      <c r="J15" s="3">
        <v>1</v>
      </c>
      <c r="K15" s="4">
        <f t="shared" si="0"/>
        <v>38.044914134742406</v>
      </c>
      <c r="L15" s="3"/>
      <c r="M15" s="1">
        <v>122.8</v>
      </c>
      <c r="N15" s="1">
        <v>122.8</v>
      </c>
      <c r="O15" s="2">
        <f t="shared" si="1"/>
        <v>122.8</v>
      </c>
      <c r="P15" s="1">
        <v>104</v>
      </c>
      <c r="Q15" s="1">
        <v>12.45</v>
      </c>
      <c r="R15" s="19" t="s">
        <v>700</v>
      </c>
      <c r="S15" s="1" t="s">
        <v>1252</v>
      </c>
      <c r="T15" s="1" t="s">
        <v>701</v>
      </c>
      <c r="U15" s="1"/>
      <c r="V15" s="1"/>
      <c r="W15" s="1" t="s">
        <v>94</v>
      </c>
      <c r="X15" s="1"/>
      <c r="Y15" s="1"/>
      <c r="Z15" s="1"/>
    </row>
    <row r="16" spans="1:26" ht="24.9" customHeight="1" x14ac:dyDescent="0.3">
      <c r="A16" s="3" t="s">
        <v>38</v>
      </c>
      <c r="B16" s="3" t="s">
        <v>797</v>
      </c>
      <c r="C16" s="5">
        <v>46233</v>
      </c>
      <c r="D16" s="5">
        <v>46252</v>
      </c>
      <c r="E16" s="3" t="s">
        <v>1383</v>
      </c>
      <c r="F16" s="3">
        <v>1</v>
      </c>
      <c r="G16" s="3">
        <v>18200</v>
      </c>
      <c r="H16" s="3">
        <v>45.8</v>
      </c>
      <c r="I16" s="3">
        <v>628</v>
      </c>
      <c r="J16" s="3">
        <v>1</v>
      </c>
      <c r="K16" s="4">
        <f t="shared" si="0"/>
        <v>45.859872611464965</v>
      </c>
      <c r="L16" s="3"/>
      <c r="M16" s="1">
        <v>119.5</v>
      </c>
      <c r="N16" s="1">
        <v>122.3</v>
      </c>
      <c r="O16" s="2">
        <f t="shared" si="1"/>
        <v>122.3</v>
      </c>
      <c r="P16" s="1">
        <v>130</v>
      </c>
      <c r="Q16" s="1">
        <v>16.55</v>
      </c>
      <c r="R16" s="19" t="s">
        <v>700</v>
      </c>
      <c r="S16" s="1" t="s">
        <v>1270</v>
      </c>
      <c r="T16" s="1" t="s">
        <v>701</v>
      </c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 t="s">
        <v>796</v>
      </c>
      <c r="C17" s="5">
        <v>46234</v>
      </c>
      <c r="D17" s="5">
        <v>46255</v>
      </c>
      <c r="E17" s="3" t="s">
        <v>1394</v>
      </c>
      <c r="F17" s="3">
        <v>7</v>
      </c>
      <c r="G17" s="3">
        <v>18720</v>
      </c>
      <c r="H17" s="3">
        <v>37.5</v>
      </c>
      <c r="I17" s="3">
        <v>768</v>
      </c>
      <c r="J17" s="3">
        <v>1</v>
      </c>
      <c r="K17" s="4">
        <f t="shared" si="0"/>
        <v>37.5</v>
      </c>
      <c r="L17" s="3"/>
      <c r="M17" s="1">
        <v>122.8</v>
      </c>
      <c r="N17" s="1">
        <v>122.8</v>
      </c>
      <c r="O17" s="2">
        <f t="shared" si="1"/>
        <v>122.8</v>
      </c>
      <c r="P17" s="1">
        <v>104</v>
      </c>
      <c r="Q17" s="1">
        <v>12.45</v>
      </c>
      <c r="R17" s="32" t="s">
        <v>700</v>
      </c>
      <c r="S17" s="1" t="s">
        <v>1392</v>
      </c>
      <c r="T17" s="1" t="s">
        <v>701</v>
      </c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 t="s">
        <v>797</v>
      </c>
      <c r="C18" s="5">
        <v>46258</v>
      </c>
      <c r="D18" s="5">
        <v>46274</v>
      </c>
      <c r="E18" s="3" t="s">
        <v>1466</v>
      </c>
      <c r="F18" s="3">
        <v>1</v>
      </c>
      <c r="G18" s="3">
        <v>15600</v>
      </c>
      <c r="H18" s="3">
        <v>43.6</v>
      </c>
      <c r="I18" s="3">
        <v>660</v>
      </c>
      <c r="J18" s="3">
        <v>1</v>
      </c>
      <c r="K18" s="4">
        <f t="shared" si="0"/>
        <v>43.636363636363633</v>
      </c>
      <c r="L18" s="3">
        <v>97</v>
      </c>
      <c r="M18" s="1">
        <v>119.8</v>
      </c>
      <c r="N18" s="1">
        <v>119.8</v>
      </c>
      <c r="O18" s="2">
        <f t="shared" si="1"/>
        <v>119.8</v>
      </c>
      <c r="P18" s="1">
        <v>130</v>
      </c>
      <c r="Q18" s="1">
        <v>16.55</v>
      </c>
      <c r="R18" s="19" t="s">
        <v>700</v>
      </c>
      <c r="S18" s="1" t="s">
        <v>1392</v>
      </c>
      <c r="T18" s="1" t="s">
        <v>701</v>
      </c>
      <c r="U18" s="1"/>
      <c r="V18" s="1"/>
      <c r="W18" s="1" t="s">
        <v>156</v>
      </c>
      <c r="X18" s="1" t="s">
        <v>103</v>
      </c>
      <c r="Y18" s="1" t="s">
        <v>120</v>
      </c>
      <c r="Z18" s="1"/>
    </row>
    <row r="19" spans="1:26" ht="24.9" customHeight="1" x14ac:dyDescent="0.3">
      <c r="A19" s="3" t="s">
        <v>41</v>
      </c>
      <c r="B19" s="3" t="s">
        <v>1475</v>
      </c>
      <c r="C19" s="3" t="s">
        <v>1476</v>
      </c>
      <c r="D19" s="5">
        <v>46272</v>
      </c>
      <c r="E19" s="3" t="s">
        <v>1477</v>
      </c>
      <c r="F19" s="3">
        <v>7</v>
      </c>
      <c r="G19" s="3">
        <v>16640</v>
      </c>
      <c r="H19" s="3">
        <v>37.6</v>
      </c>
      <c r="I19" s="3">
        <v>765</v>
      </c>
      <c r="J19" s="3">
        <v>1</v>
      </c>
      <c r="K19" s="4">
        <f t="shared" si="0"/>
        <v>37.647058823529413</v>
      </c>
      <c r="L19" s="3">
        <v>850</v>
      </c>
      <c r="M19" s="1">
        <v>124.1</v>
      </c>
      <c r="N19" s="1">
        <v>124.6</v>
      </c>
      <c r="O19" s="2">
        <f t="shared" si="1"/>
        <v>124.6</v>
      </c>
      <c r="P19" s="1">
        <v>104</v>
      </c>
      <c r="Q19" s="1">
        <v>12.45</v>
      </c>
      <c r="R19" s="19" t="s">
        <v>700</v>
      </c>
      <c r="S19" s="1" t="s">
        <v>1392</v>
      </c>
      <c r="T19" s="1" t="s">
        <v>701</v>
      </c>
      <c r="U19" s="1"/>
      <c r="V19" s="1"/>
      <c r="W19" s="1" t="s">
        <v>103</v>
      </c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9DC9-9FDB-4512-B8F0-9873BC4DEEB1}">
  <sheetPr codeName="Arkusz20"/>
  <dimension ref="A1:Z59"/>
  <sheetViews>
    <sheetView tabSelected="1" topLeftCell="A7" workbookViewId="0">
      <selection activeCell="I12" sqref="I12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110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111</v>
      </c>
      <c r="C3" s="5">
        <v>46035</v>
      </c>
      <c r="D3" s="5">
        <v>46041</v>
      </c>
      <c r="E3" s="13" t="s">
        <v>112</v>
      </c>
      <c r="F3" s="3">
        <v>8</v>
      </c>
      <c r="G3" s="3">
        <v>9318</v>
      </c>
      <c r="H3" s="3">
        <v>50.6</v>
      </c>
      <c r="I3" s="3">
        <v>1138</v>
      </c>
      <c r="J3" s="3">
        <v>2</v>
      </c>
      <c r="K3" s="4">
        <f>(3600/(I3/8))*J3</f>
        <v>50.615114235500876</v>
      </c>
      <c r="L3" s="3">
        <v>156</v>
      </c>
      <c r="M3" s="1">
        <v>130.30000000000001</v>
      </c>
      <c r="N3" s="1">
        <v>267.8</v>
      </c>
      <c r="O3" s="2">
        <f>N3/J3</f>
        <v>133.9</v>
      </c>
      <c r="P3" s="1">
        <v>2765</v>
      </c>
      <c r="Q3" s="1"/>
      <c r="R3" s="1" t="s">
        <v>113</v>
      </c>
      <c r="S3" s="6" t="s">
        <v>88</v>
      </c>
      <c r="T3" s="11" t="s">
        <v>114</v>
      </c>
      <c r="U3" s="1" t="s">
        <v>115</v>
      </c>
      <c r="V3" s="14">
        <v>0.02</v>
      </c>
      <c r="W3" s="1" t="s">
        <v>94</v>
      </c>
      <c r="X3" s="1"/>
      <c r="Y3" s="1"/>
      <c r="Z3" s="1"/>
    </row>
    <row r="4" spans="1:26" ht="24.9" customHeight="1" x14ac:dyDescent="0.3">
      <c r="A4" s="3" t="s">
        <v>26</v>
      </c>
      <c r="B4" s="3" t="s">
        <v>1241</v>
      </c>
      <c r="C4" s="5">
        <v>46198</v>
      </c>
      <c r="D4" s="5">
        <v>46199</v>
      </c>
      <c r="E4" s="3" t="s">
        <v>1240</v>
      </c>
      <c r="F4" s="3">
        <v>8</v>
      </c>
      <c r="G4" s="3">
        <v>3036</v>
      </c>
      <c r="H4" s="3">
        <v>43.5</v>
      </c>
      <c r="I4" s="3">
        <v>1324</v>
      </c>
      <c r="J4" s="3">
        <v>2</v>
      </c>
      <c r="K4" s="4">
        <f t="shared" ref="K4:K59" si="0">(3600/(I4/8))*J4</f>
        <v>43.504531722054381</v>
      </c>
      <c r="L4" s="3"/>
      <c r="M4" s="1">
        <v>86.7</v>
      </c>
      <c r="N4" s="1">
        <v>179.4</v>
      </c>
      <c r="O4" s="2">
        <f t="shared" ref="O4:O59" si="1">N4/J4</f>
        <v>89.7</v>
      </c>
      <c r="P4" s="1">
        <v>2528</v>
      </c>
      <c r="Q4" s="1"/>
      <c r="R4" s="1" t="s">
        <v>113</v>
      </c>
      <c r="S4" s="6" t="s">
        <v>1156</v>
      </c>
      <c r="T4" s="1" t="s">
        <v>1242</v>
      </c>
      <c r="U4" s="1" t="s">
        <v>115</v>
      </c>
      <c r="V4" s="14">
        <v>0.02</v>
      </c>
      <c r="W4" s="1" t="s">
        <v>678</v>
      </c>
      <c r="X4" s="1"/>
      <c r="Y4" s="1"/>
      <c r="Z4" s="1"/>
    </row>
    <row r="5" spans="1:26" ht="24.9" customHeight="1" x14ac:dyDescent="0.3">
      <c r="A5" s="3" t="s">
        <v>27</v>
      </c>
      <c r="B5" s="3" t="s">
        <v>1408</v>
      </c>
      <c r="C5" s="5">
        <v>46239</v>
      </c>
      <c r="D5" s="5">
        <v>46239</v>
      </c>
      <c r="E5" s="3" t="s">
        <v>1400</v>
      </c>
      <c r="F5" s="3">
        <v>2</v>
      </c>
      <c r="G5" s="3">
        <v>2750</v>
      </c>
      <c r="H5" s="3">
        <v>51.3</v>
      </c>
      <c r="I5" s="3">
        <v>1122</v>
      </c>
      <c r="J5" s="3">
        <v>2</v>
      </c>
      <c r="K5" s="4">
        <f t="shared" si="0"/>
        <v>51.336898395721924</v>
      </c>
      <c r="L5" s="3">
        <v>56</v>
      </c>
      <c r="M5" s="1">
        <v>86</v>
      </c>
      <c r="N5" s="1">
        <v>777.5</v>
      </c>
      <c r="O5" s="2">
        <f t="shared" si="1"/>
        <v>388.75</v>
      </c>
      <c r="P5" s="1">
        <v>2765</v>
      </c>
      <c r="Q5" s="1"/>
      <c r="R5" s="1" t="s">
        <v>113</v>
      </c>
      <c r="S5" s="1" t="s">
        <v>1392</v>
      </c>
      <c r="T5" s="1" t="s">
        <v>1242</v>
      </c>
      <c r="U5" s="1" t="s">
        <v>115</v>
      </c>
      <c r="V5" s="14">
        <v>0.02</v>
      </c>
      <c r="W5" s="1" t="s">
        <v>1401</v>
      </c>
      <c r="X5" s="1"/>
      <c r="Y5" s="1"/>
      <c r="Z5" s="1"/>
    </row>
    <row r="6" spans="1:26" ht="24.9" customHeight="1" x14ac:dyDescent="0.3">
      <c r="A6" s="3" t="s">
        <v>28</v>
      </c>
      <c r="B6" s="3" t="s">
        <v>1409</v>
      </c>
      <c r="C6" s="5">
        <v>46239</v>
      </c>
      <c r="D6" s="5">
        <v>46239</v>
      </c>
      <c r="E6" s="3" t="s">
        <v>1400</v>
      </c>
      <c r="F6" s="3">
        <v>2</v>
      </c>
      <c r="G6" s="3">
        <v>1078</v>
      </c>
      <c r="H6" s="3">
        <v>51.3</v>
      </c>
      <c r="I6" s="3">
        <v>1122</v>
      </c>
      <c r="J6" s="3">
        <v>2</v>
      </c>
      <c r="K6" s="4">
        <f t="shared" si="0"/>
        <v>51.336898395721924</v>
      </c>
      <c r="L6" s="3"/>
      <c r="M6" s="1">
        <v>85.1</v>
      </c>
      <c r="N6" s="1">
        <v>175.4</v>
      </c>
      <c r="O6" s="2">
        <f t="shared" si="1"/>
        <v>87.7</v>
      </c>
      <c r="P6" s="1">
        <v>2765</v>
      </c>
      <c r="Q6" s="1"/>
      <c r="R6" s="1" t="s">
        <v>113</v>
      </c>
      <c r="S6" s="1" t="s">
        <v>1403</v>
      </c>
      <c r="T6" s="1" t="s">
        <v>1242</v>
      </c>
      <c r="U6" s="1" t="s">
        <v>1410</v>
      </c>
      <c r="V6" s="14">
        <v>0.02</v>
      </c>
      <c r="W6" s="1"/>
      <c r="X6" s="1" t="s">
        <v>678</v>
      </c>
      <c r="Y6" s="1"/>
      <c r="Z6" s="1"/>
    </row>
    <row r="7" spans="1:26" ht="24.9" customHeight="1" x14ac:dyDescent="0.3">
      <c r="A7" s="3" t="s">
        <v>29</v>
      </c>
      <c r="B7" s="3" t="s">
        <v>1411</v>
      </c>
      <c r="C7" s="5">
        <v>46240</v>
      </c>
      <c r="D7" s="5">
        <v>46241</v>
      </c>
      <c r="E7" s="3" t="s">
        <v>1412</v>
      </c>
      <c r="F7" s="3">
        <v>2</v>
      </c>
      <c r="G7" s="3">
        <v>2936</v>
      </c>
      <c r="H7" s="3">
        <v>50.5</v>
      </c>
      <c r="I7" s="3">
        <v>1140</v>
      </c>
      <c r="J7" s="3">
        <v>2</v>
      </c>
      <c r="K7" s="4">
        <f t="shared" si="0"/>
        <v>50.526315789473685</v>
      </c>
      <c r="L7" s="3">
        <v>84</v>
      </c>
      <c r="M7" s="1">
        <v>125.4</v>
      </c>
      <c r="N7" s="1">
        <v>216.7</v>
      </c>
      <c r="O7" s="2">
        <f t="shared" si="1"/>
        <v>108.35</v>
      </c>
      <c r="P7" s="1">
        <v>2765</v>
      </c>
      <c r="Q7" s="1"/>
      <c r="R7" s="1" t="s">
        <v>113</v>
      </c>
      <c r="S7" s="1" t="s">
        <v>1392</v>
      </c>
      <c r="T7" s="1" t="s">
        <v>1413</v>
      </c>
      <c r="U7" s="1" t="s">
        <v>115</v>
      </c>
      <c r="V7" s="14">
        <v>0.02</v>
      </c>
      <c r="W7" s="1" t="s">
        <v>678</v>
      </c>
      <c r="X7" s="1"/>
      <c r="Y7" s="1"/>
      <c r="Z7" s="1"/>
    </row>
    <row r="8" spans="1:26" ht="24.9" customHeight="1" x14ac:dyDescent="0.3">
      <c r="A8" s="3" t="s">
        <v>30</v>
      </c>
      <c r="B8" s="3" t="s">
        <v>1411</v>
      </c>
      <c r="C8" s="5">
        <v>46251</v>
      </c>
      <c r="D8" s="5">
        <v>46252</v>
      </c>
      <c r="E8" s="5" t="s">
        <v>1443</v>
      </c>
      <c r="F8" s="3">
        <v>7</v>
      </c>
      <c r="G8" s="3">
        <v>2800</v>
      </c>
      <c r="H8" s="3">
        <v>44.7</v>
      </c>
      <c r="I8" s="3">
        <v>1288</v>
      </c>
      <c r="J8" s="3">
        <v>2</v>
      </c>
      <c r="K8" s="4">
        <f t="shared" si="0"/>
        <v>44.720496894409941</v>
      </c>
      <c r="L8" s="3"/>
      <c r="M8" s="1">
        <v>131.9</v>
      </c>
      <c r="N8" s="1">
        <v>271</v>
      </c>
      <c r="O8" s="2">
        <f t="shared" si="1"/>
        <v>135.5</v>
      </c>
      <c r="P8" s="1">
        <v>2765</v>
      </c>
      <c r="Q8" s="1"/>
      <c r="R8" s="1" t="s">
        <v>113</v>
      </c>
      <c r="S8" s="1" t="s">
        <v>1392</v>
      </c>
      <c r="T8" s="1" t="s">
        <v>1413</v>
      </c>
      <c r="U8" s="1" t="s">
        <v>115</v>
      </c>
      <c r="V8" s="14">
        <v>0.02</v>
      </c>
      <c r="W8" s="1" t="s">
        <v>1444</v>
      </c>
      <c r="X8" s="1" t="s">
        <v>103</v>
      </c>
      <c r="Y8" s="1" t="s">
        <v>120</v>
      </c>
      <c r="Z8" s="1"/>
    </row>
    <row r="9" spans="1:26" ht="24.9" customHeight="1" x14ac:dyDescent="0.3">
      <c r="A9" s="3" t="s">
        <v>31</v>
      </c>
      <c r="B9" s="3" t="s">
        <v>1463</v>
      </c>
      <c r="C9" s="5">
        <v>46252</v>
      </c>
      <c r="D9" s="5">
        <v>46253</v>
      </c>
      <c r="E9" s="3" t="s">
        <v>1464</v>
      </c>
      <c r="F9" s="3">
        <v>7</v>
      </c>
      <c r="G9" s="3">
        <v>1000</v>
      </c>
      <c r="H9" s="3">
        <v>57.8</v>
      </c>
      <c r="I9" s="3">
        <v>996</v>
      </c>
      <c r="J9" s="3">
        <v>2</v>
      </c>
      <c r="K9" s="4">
        <f t="shared" si="0"/>
        <v>57.831325301204821</v>
      </c>
      <c r="L9" s="3"/>
      <c r="M9" s="1">
        <v>83.8</v>
      </c>
      <c r="N9" s="1">
        <v>175</v>
      </c>
      <c r="O9" s="2">
        <f t="shared" si="1"/>
        <v>87.5</v>
      </c>
      <c r="P9" s="1">
        <v>2765</v>
      </c>
      <c r="Q9" s="1"/>
      <c r="R9" s="1" t="s">
        <v>113</v>
      </c>
      <c r="S9" s="1" t="s">
        <v>1403</v>
      </c>
      <c r="T9" s="1" t="s">
        <v>1242</v>
      </c>
      <c r="U9" s="1" t="s">
        <v>1465</v>
      </c>
      <c r="V9" s="14">
        <v>0.02</v>
      </c>
      <c r="W9" s="1" t="s">
        <v>103</v>
      </c>
      <c r="X9" s="1"/>
      <c r="Y9" s="1"/>
      <c r="Z9" s="1"/>
    </row>
    <row r="10" spans="1:26" ht="24.9" customHeight="1" x14ac:dyDescent="0.3">
      <c r="A10" s="3" t="s">
        <v>32</v>
      </c>
      <c r="B10" s="3" t="s">
        <v>1409</v>
      </c>
      <c r="C10" s="5">
        <v>46296</v>
      </c>
      <c r="D10" s="5">
        <v>46296</v>
      </c>
      <c r="E10" s="3" t="s">
        <v>1738</v>
      </c>
      <c r="F10" s="3">
        <v>8</v>
      </c>
      <c r="G10" s="3">
        <v>2003</v>
      </c>
      <c r="H10" s="3">
        <v>49.6</v>
      </c>
      <c r="I10" s="3">
        <v>1160</v>
      </c>
      <c r="J10" s="3">
        <v>2</v>
      </c>
      <c r="K10" s="4">
        <f t="shared" si="0"/>
        <v>49.655172413793103</v>
      </c>
      <c r="L10" s="3"/>
      <c r="M10" s="1">
        <v>84</v>
      </c>
      <c r="N10" s="1">
        <v>176</v>
      </c>
      <c r="O10" s="2">
        <f t="shared" si="1"/>
        <v>88</v>
      </c>
      <c r="P10" s="1">
        <v>2765</v>
      </c>
      <c r="Q10" s="1"/>
      <c r="R10" s="1" t="s">
        <v>113</v>
      </c>
      <c r="S10" s="1" t="s">
        <v>1739</v>
      </c>
      <c r="T10" s="1" t="s">
        <v>1242</v>
      </c>
      <c r="U10" s="1" t="s">
        <v>1465</v>
      </c>
      <c r="V10" s="14">
        <v>0.02</v>
      </c>
      <c r="W10" s="1" t="s">
        <v>678</v>
      </c>
      <c r="X10" s="1" t="s">
        <v>94</v>
      </c>
      <c r="Y10" s="1"/>
      <c r="Z10" s="1"/>
    </row>
    <row r="11" spans="1:26" ht="24.9" customHeight="1" x14ac:dyDescent="0.3">
      <c r="A11" s="3" t="s">
        <v>33</v>
      </c>
      <c r="B11" s="3" t="s">
        <v>1408</v>
      </c>
      <c r="C11" s="5">
        <v>46296</v>
      </c>
      <c r="D11" s="5">
        <v>46300</v>
      </c>
      <c r="E11" s="3" t="s">
        <v>1771</v>
      </c>
      <c r="F11" s="3">
        <v>8</v>
      </c>
      <c r="G11" s="3">
        <v>4002</v>
      </c>
      <c r="H11" s="3">
        <v>49.6</v>
      </c>
      <c r="I11" s="3">
        <v>1160</v>
      </c>
      <c r="J11" s="3">
        <v>2</v>
      </c>
      <c r="K11" s="4">
        <f t="shared" si="0"/>
        <v>49.655172413793103</v>
      </c>
      <c r="L11" s="3">
        <v>248</v>
      </c>
      <c r="M11" s="1">
        <v>85</v>
      </c>
      <c r="N11" s="1">
        <v>175.2</v>
      </c>
      <c r="O11" s="2">
        <f t="shared" si="1"/>
        <v>87.6</v>
      </c>
      <c r="P11" s="1">
        <v>2765</v>
      </c>
      <c r="Q11" s="1"/>
      <c r="R11" s="1" t="s">
        <v>113</v>
      </c>
      <c r="S11" s="1" t="s">
        <v>1739</v>
      </c>
      <c r="T11" s="1" t="s">
        <v>1242</v>
      </c>
      <c r="U11" s="1" t="s">
        <v>115</v>
      </c>
      <c r="V11" s="14">
        <v>0.02</v>
      </c>
      <c r="W11" s="1" t="s">
        <v>1772</v>
      </c>
      <c r="X11" s="1" t="s">
        <v>849</v>
      </c>
      <c r="Y11" s="1" t="s">
        <v>120</v>
      </c>
      <c r="Z11" s="1"/>
    </row>
    <row r="12" spans="1:26" ht="24.9" customHeight="1" x14ac:dyDescent="0.3">
      <c r="A12" s="3" t="s">
        <v>34</v>
      </c>
      <c r="B12" s="3" t="s">
        <v>1773</v>
      </c>
      <c r="C12" s="5">
        <v>46300</v>
      </c>
      <c r="D12" s="5">
        <v>46308</v>
      </c>
      <c r="E12" s="3" t="s">
        <v>1774</v>
      </c>
      <c r="F12" s="3">
        <v>8</v>
      </c>
      <c r="G12" s="3">
        <v>12008</v>
      </c>
      <c r="H12" s="3">
        <v>51</v>
      </c>
      <c r="I12" s="3"/>
      <c r="J12" s="3">
        <v>2</v>
      </c>
      <c r="K12" s="4" t="e">
        <f t="shared" si="0"/>
        <v>#DIV/0!</v>
      </c>
      <c r="L12" s="3"/>
      <c r="M12" s="1">
        <v>128.69999999999999</v>
      </c>
      <c r="N12" s="1">
        <v>265</v>
      </c>
      <c r="O12" s="2">
        <f t="shared" si="1"/>
        <v>132.5</v>
      </c>
      <c r="P12" s="1">
        <v>2765</v>
      </c>
      <c r="Q12" s="1"/>
      <c r="R12" s="1" t="s">
        <v>113</v>
      </c>
      <c r="S12" s="1" t="s">
        <v>1739</v>
      </c>
      <c r="T12" s="1" t="s">
        <v>114</v>
      </c>
      <c r="U12" s="39" t="s">
        <v>115</v>
      </c>
      <c r="V12" s="14">
        <v>0.02</v>
      </c>
      <c r="W12" s="1" t="s">
        <v>678</v>
      </c>
      <c r="X12" s="1"/>
      <c r="Y12" s="1"/>
      <c r="Z12" s="1"/>
    </row>
    <row r="13" spans="1:26" ht="24.9" customHeight="1" x14ac:dyDescent="0.3">
      <c r="A13" s="3" t="s">
        <v>35</v>
      </c>
      <c r="B13" s="17" t="s">
        <v>1806</v>
      </c>
      <c r="C13" s="5">
        <v>46301</v>
      </c>
      <c r="D13" s="5">
        <v>46302</v>
      </c>
      <c r="E13" s="3" t="s">
        <v>1794</v>
      </c>
      <c r="F13" s="3">
        <v>2</v>
      </c>
      <c r="G13" s="3">
        <v>630</v>
      </c>
      <c r="H13" s="3">
        <v>62.2</v>
      </c>
      <c r="I13" s="3">
        <v>465</v>
      </c>
      <c r="J13" s="3">
        <v>1</v>
      </c>
      <c r="K13" s="4">
        <f t="shared" si="0"/>
        <v>61.935483870967744</v>
      </c>
      <c r="L13" s="3">
        <v>35</v>
      </c>
      <c r="M13" s="1">
        <v>250</v>
      </c>
      <c r="N13" s="1">
        <v>250</v>
      </c>
      <c r="O13" s="2">
        <f t="shared" si="1"/>
        <v>250</v>
      </c>
      <c r="P13" s="1">
        <v>18</v>
      </c>
      <c r="Q13" s="1">
        <v>4.8499999999999996</v>
      </c>
      <c r="R13" s="1" t="s">
        <v>1803</v>
      </c>
      <c r="S13" s="1" t="s">
        <v>1739</v>
      </c>
      <c r="T13" s="11" t="s">
        <v>1804</v>
      </c>
      <c r="U13" s="39">
        <v>191378</v>
      </c>
      <c r="V13" s="14">
        <v>0.02</v>
      </c>
      <c r="W13" s="1" t="s">
        <v>678</v>
      </c>
      <c r="X13" s="1"/>
      <c r="Y13" s="1"/>
      <c r="Z13" s="1"/>
    </row>
    <row r="14" spans="1:26" ht="24.9" customHeight="1" x14ac:dyDescent="0.3">
      <c r="A14" s="3" t="s">
        <v>36</v>
      </c>
      <c r="B14" s="3" t="s">
        <v>1805</v>
      </c>
      <c r="C14" s="5">
        <v>46302</v>
      </c>
      <c r="D14" s="5">
        <v>46304</v>
      </c>
      <c r="E14" s="3" t="s">
        <v>1794</v>
      </c>
      <c r="F14" s="3">
        <v>2</v>
      </c>
      <c r="G14" s="3">
        <v>1404</v>
      </c>
      <c r="H14" s="3">
        <v>61.5</v>
      </c>
      <c r="I14" s="3">
        <v>486</v>
      </c>
      <c r="J14" s="3">
        <v>1</v>
      </c>
      <c r="K14" s="4">
        <f t="shared" si="0"/>
        <v>59.25925925925926</v>
      </c>
      <c r="L14" s="3"/>
      <c r="M14" s="1">
        <v>250</v>
      </c>
      <c r="N14" s="1">
        <v>250</v>
      </c>
      <c r="O14" s="2">
        <f t="shared" si="1"/>
        <v>250</v>
      </c>
      <c r="P14" s="1">
        <v>18</v>
      </c>
      <c r="Q14" s="1">
        <v>4.8499999999999996</v>
      </c>
      <c r="R14" s="1" t="s">
        <v>1803</v>
      </c>
      <c r="S14" s="1" t="s">
        <v>1757</v>
      </c>
      <c r="T14" s="11" t="s">
        <v>1804</v>
      </c>
      <c r="U14" s="39">
        <v>191385</v>
      </c>
      <c r="V14" s="14">
        <v>0.02</v>
      </c>
      <c r="W14" s="1" t="s">
        <v>678</v>
      </c>
      <c r="X14" s="1" t="s">
        <v>678</v>
      </c>
      <c r="Y14" s="1" t="s">
        <v>151</v>
      </c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8658-27F5-4F5D-A92F-8C7F8479EAC6}">
  <sheetPr codeName="Arkusz21"/>
  <dimension ref="A1:Z59"/>
  <sheetViews>
    <sheetView topLeftCell="A27" workbookViewId="0">
      <selection activeCell="B40" sqref="B40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146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107</v>
      </c>
      <c r="C3" s="5">
        <v>46035</v>
      </c>
      <c r="D3" s="5">
        <v>46036</v>
      </c>
      <c r="E3" s="13" t="s">
        <v>108</v>
      </c>
      <c r="F3" s="3">
        <v>1</v>
      </c>
      <c r="G3" s="3">
        <v>2000</v>
      </c>
      <c r="H3" s="3">
        <v>32.5</v>
      </c>
      <c r="I3" s="3">
        <v>886</v>
      </c>
      <c r="J3" s="3">
        <v>2</v>
      </c>
      <c r="K3" s="4">
        <f>(3600/(I3/8))*J3</f>
        <v>65.011286681715575</v>
      </c>
      <c r="L3" s="3">
        <v>62</v>
      </c>
      <c r="M3" s="1">
        <v>39</v>
      </c>
      <c r="N3" s="1">
        <v>39</v>
      </c>
      <c r="O3" s="2">
        <f>N3/J3</f>
        <v>19.5</v>
      </c>
      <c r="P3" s="1">
        <v>500</v>
      </c>
      <c r="Q3" s="1">
        <v>20.5</v>
      </c>
      <c r="R3" s="1" t="s">
        <v>99</v>
      </c>
      <c r="S3" s="6" t="s">
        <v>88</v>
      </c>
      <c r="T3" s="1" t="s">
        <v>109</v>
      </c>
      <c r="U3" s="1"/>
      <c r="V3" s="1"/>
      <c r="W3" s="1" t="s">
        <v>94</v>
      </c>
      <c r="X3" s="1"/>
      <c r="Y3" s="1"/>
      <c r="Z3" s="1"/>
    </row>
    <row r="4" spans="1:26" ht="24.9" customHeight="1" x14ac:dyDescent="0.3">
      <c r="A4" s="3" t="s">
        <v>26</v>
      </c>
      <c r="B4" s="3" t="s">
        <v>106</v>
      </c>
      <c r="C4" s="5">
        <v>46035</v>
      </c>
      <c r="D4" s="5">
        <v>46036</v>
      </c>
      <c r="E4" s="13" t="s">
        <v>108</v>
      </c>
      <c r="F4" s="3">
        <v>1</v>
      </c>
      <c r="G4" s="3">
        <v>2000</v>
      </c>
      <c r="H4" s="3">
        <v>32.5</v>
      </c>
      <c r="I4" s="3">
        <v>886</v>
      </c>
      <c r="J4" s="3">
        <v>2</v>
      </c>
      <c r="K4" s="4">
        <f t="shared" ref="K4:K59" si="0">(3600/(I4/8))*J4</f>
        <v>65.011286681715575</v>
      </c>
      <c r="L4" s="3">
        <v>62</v>
      </c>
      <c r="M4" s="1">
        <v>39</v>
      </c>
      <c r="N4" s="1">
        <v>39</v>
      </c>
      <c r="O4" s="2">
        <f t="shared" ref="O4:O59" si="1">N4/J4</f>
        <v>19.5</v>
      </c>
      <c r="P4" s="1">
        <v>500</v>
      </c>
      <c r="Q4" s="1">
        <v>20.5</v>
      </c>
      <c r="R4" s="1" t="s">
        <v>99</v>
      </c>
      <c r="S4" s="6" t="s">
        <v>101</v>
      </c>
      <c r="T4" s="1" t="s">
        <v>109</v>
      </c>
      <c r="U4" s="1"/>
      <c r="V4" s="1"/>
      <c r="W4" s="1" t="s">
        <v>94</v>
      </c>
      <c r="X4" s="1"/>
      <c r="Y4" s="1"/>
      <c r="Z4" s="1"/>
    </row>
    <row r="5" spans="1:26" ht="24.9" customHeight="1" x14ac:dyDescent="0.3">
      <c r="A5" s="3" t="s">
        <v>27</v>
      </c>
      <c r="B5" s="3" t="s">
        <v>116</v>
      </c>
      <c r="C5" s="5">
        <v>46036</v>
      </c>
      <c r="D5" s="5">
        <v>46038</v>
      </c>
      <c r="E5" s="13" t="s">
        <v>108</v>
      </c>
      <c r="F5" s="3">
        <v>1</v>
      </c>
      <c r="G5" s="3">
        <v>2000</v>
      </c>
      <c r="H5" s="3">
        <v>32.4</v>
      </c>
      <c r="I5" s="3">
        <v>886</v>
      </c>
      <c r="J5" s="3">
        <v>2</v>
      </c>
      <c r="K5" s="4">
        <f t="shared" si="0"/>
        <v>65.011286681715575</v>
      </c>
      <c r="L5" s="3">
        <v>100</v>
      </c>
      <c r="M5" s="1">
        <v>38.5</v>
      </c>
      <c r="N5" s="1">
        <v>38.5</v>
      </c>
      <c r="O5" s="2">
        <f t="shared" si="1"/>
        <v>19.25</v>
      </c>
      <c r="P5" s="1">
        <v>500</v>
      </c>
      <c r="Q5" s="1">
        <v>20.3</v>
      </c>
      <c r="R5" s="1" t="s">
        <v>99</v>
      </c>
      <c r="S5" s="1" t="s">
        <v>117</v>
      </c>
      <c r="T5" s="1" t="s">
        <v>109</v>
      </c>
      <c r="U5" s="1"/>
      <c r="V5" s="1"/>
      <c r="W5" s="1" t="s">
        <v>103</v>
      </c>
      <c r="X5" s="1"/>
      <c r="Y5" s="1"/>
      <c r="Z5" s="1"/>
    </row>
    <row r="6" spans="1:26" ht="24.9" customHeight="1" x14ac:dyDescent="0.3">
      <c r="A6" s="3" t="s">
        <v>28</v>
      </c>
      <c r="B6" s="3" t="s">
        <v>118</v>
      </c>
      <c r="C6" s="5">
        <v>46036</v>
      </c>
      <c r="D6" s="5">
        <v>46038</v>
      </c>
      <c r="E6" s="13" t="s">
        <v>108</v>
      </c>
      <c r="F6" s="3">
        <v>1</v>
      </c>
      <c r="G6" s="3">
        <v>2000</v>
      </c>
      <c r="H6" s="3">
        <v>32.4</v>
      </c>
      <c r="I6" s="3">
        <v>886</v>
      </c>
      <c r="J6" s="3">
        <v>2</v>
      </c>
      <c r="K6" s="4">
        <f t="shared" si="0"/>
        <v>65.011286681715575</v>
      </c>
      <c r="L6" s="3">
        <v>100</v>
      </c>
      <c r="M6" s="1">
        <v>39.5</v>
      </c>
      <c r="N6" s="1">
        <v>39.5</v>
      </c>
      <c r="O6" s="2">
        <f t="shared" si="1"/>
        <v>19.75</v>
      </c>
      <c r="P6" s="1">
        <v>500</v>
      </c>
      <c r="Q6" s="1">
        <v>21</v>
      </c>
      <c r="R6" s="1" t="s">
        <v>99</v>
      </c>
      <c r="S6" s="1" t="s">
        <v>119</v>
      </c>
      <c r="T6" s="1" t="s">
        <v>109</v>
      </c>
      <c r="U6" s="1"/>
      <c r="V6" s="1"/>
      <c r="W6" s="1" t="s">
        <v>103</v>
      </c>
      <c r="X6" s="1"/>
      <c r="Y6" s="1"/>
      <c r="Z6" s="1"/>
    </row>
    <row r="7" spans="1:26" ht="24.9" customHeight="1" x14ac:dyDescent="0.3">
      <c r="A7" s="3" t="s">
        <v>29</v>
      </c>
      <c r="B7" s="3" t="s">
        <v>144</v>
      </c>
      <c r="C7" s="5">
        <v>46038</v>
      </c>
      <c r="D7" s="5">
        <v>46042</v>
      </c>
      <c r="E7" s="13" t="s">
        <v>108</v>
      </c>
      <c r="F7" s="3">
        <v>1</v>
      </c>
      <c r="G7" s="3">
        <v>2000</v>
      </c>
      <c r="H7" s="3">
        <v>32.4</v>
      </c>
      <c r="I7" s="3">
        <v>886</v>
      </c>
      <c r="J7" s="3">
        <v>2</v>
      </c>
      <c r="K7" s="4">
        <f t="shared" si="0"/>
        <v>65.011286681715575</v>
      </c>
      <c r="L7" s="3">
        <v>116</v>
      </c>
      <c r="M7" s="1">
        <v>39.5</v>
      </c>
      <c r="N7" s="1">
        <v>39.5</v>
      </c>
      <c r="O7" s="2">
        <f t="shared" si="1"/>
        <v>19.75</v>
      </c>
      <c r="P7" s="1">
        <v>500</v>
      </c>
      <c r="Q7" s="1">
        <v>21</v>
      </c>
      <c r="R7" s="1" t="s">
        <v>99</v>
      </c>
      <c r="S7" s="1" t="s">
        <v>142</v>
      </c>
      <c r="T7" s="1" t="s">
        <v>109</v>
      </c>
      <c r="U7" s="1"/>
      <c r="V7" s="1"/>
      <c r="W7" s="1" t="s">
        <v>94</v>
      </c>
      <c r="X7" s="1"/>
      <c r="Y7" s="1"/>
      <c r="Z7" s="1"/>
    </row>
    <row r="8" spans="1:26" ht="24.9" customHeight="1" x14ac:dyDescent="0.3">
      <c r="A8" s="3" t="s">
        <v>30</v>
      </c>
      <c r="B8" s="3" t="s">
        <v>145</v>
      </c>
      <c r="C8" s="5">
        <v>46038</v>
      </c>
      <c r="D8" s="5">
        <v>46042</v>
      </c>
      <c r="E8" s="13" t="s">
        <v>108</v>
      </c>
      <c r="F8" s="3">
        <v>1</v>
      </c>
      <c r="G8" s="3">
        <v>2000</v>
      </c>
      <c r="H8" s="3">
        <v>32.4</v>
      </c>
      <c r="I8" s="3">
        <v>886</v>
      </c>
      <c r="J8" s="3">
        <v>2</v>
      </c>
      <c r="K8" s="4">
        <f t="shared" si="0"/>
        <v>65.011286681715575</v>
      </c>
      <c r="L8" s="3">
        <v>116</v>
      </c>
      <c r="M8" s="1">
        <v>39</v>
      </c>
      <c r="N8" s="1">
        <v>39</v>
      </c>
      <c r="O8" s="2">
        <f t="shared" si="1"/>
        <v>19.5</v>
      </c>
      <c r="P8" s="1">
        <v>500</v>
      </c>
      <c r="Q8" s="1">
        <v>20.5</v>
      </c>
      <c r="R8" s="1" t="s">
        <v>99</v>
      </c>
      <c r="S8" s="1" t="s">
        <v>143</v>
      </c>
      <c r="T8" s="1" t="s">
        <v>109</v>
      </c>
      <c r="U8" s="1"/>
      <c r="V8" s="1"/>
      <c r="W8" s="1" t="s">
        <v>94</v>
      </c>
      <c r="X8" s="1"/>
      <c r="Y8" s="1"/>
      <c r="Z8" s="1"/>
    </row>
    <row r="9" spans="1:26" ht="24.9" customHeight="1" x14ac:dyDescent="0.3">
      <c r="A9" s="3" t="s">
        <v>31</v>
      </c>
      <c r="B9" s="3" t="s">
        <v>928</v>
      </c>
      <c r="C9" s="5">
        <v>46128</v>
      </c>
      <c r="D9" s="5">
        <v>46132</v>
      </c>
      <c r="E9" s="13" t="s">
        <v>929</v>
      </c>
      <c r="F9" s="3">
        <v>7</v>
      </c>
      <c r="G9" s="3">
        <v>4320</v>
      </c>
      <c r="H9" s="3">
        <v>35.4</v>
      </c>
      <c r="I9" s="3">
        <v>813</v>
      </c>
      <c r="J9" s="3">
        <v>1</v>
      </c>
      <c r="K9" s="4">
        <f t="shared" si="0"/>
        <v>35.424354243542439</v>
      </c>
      <c r="L9" s="3">
        <v>747</v>
      </c>
      <c r="M9" s="1">
        <v>172.6</v>
      </c>
      <c r="N9" s="1">
        <v>172.6</v>
      </c>
      <c r="O9" s="2">
        <f t="shared" si="1"/>
        <v>172.6</v>
      </c>
      <c r="P9" s="1">
        <v>90</v>
      </c>
      <c r="Q9" s="1">
        <v>16.8</v>
      </c>
      <c r="R9" s="1" t="s">
        <v>124</v>
      </c>
      <c r="S9" s="1" t="s">
        <v>88</v>
      </c>
      <c r="T9" s="1" t="s">
        <v>109</v>
      </c>
      <c r="U9" s="1"/>
      <c r="V9" s="1"/>
      <c r="W9" s="1" t="s">
        <v>103</v>
      </c>
      <c r="X9" s="1"/>
      <c r="Y9" s="1"/>
      <c r="Z9" s="1"/>
    </row>
    <row r="10" spans="1:26" ht="24.9" customHeight="1" x14ac:dyDescent="0.3">
      <c r="A10" s="3" t="s">
        <v>32</v>
      </c>
      <c r="B10" s="3" t="s">
        <v>946</v>
      </c>
      <c r="C10" s="5">
        <v>46133</v>
      </c>
      <c r="D10" s="5">
        <v>46135</v>
      </c>
      <c r="E10" s="13" t="s">
        <v>929</v>
      </c>
      <c r="F10" s="3">
        <v>7</v>
      </c>
      <c r="G10" s="3">
        <v>4320</v>
      </c>
      <c r="H10" s="3">
        <v>35.4</v>
      </c>
      <c r="I10" s="3">
        <v>813</v>
      </c>
      <c r="J10" s="3">
        <v>1</v>
      </c>
      <c r="K10" s="4">
        <f t="shared" si="0"/>
        <v>35.424354243542439</v>
      </c>
      <c r="L10" s="3">
        <v>395</v>
      </c>
      <c r="M10" s="1">
        <v>176.5</v>
      </c>
      <c r="N10" s="1">
        <v>176.5</v>
      </c>
      <c r="O10" s="2">
        <f t="shared" si="1"/>
        <v>176.5</v>
      </c>
      <c r="P10" s="1">
        <v>90</v>
      </c>
      <c r="Q10" s="1">
        <v>17.2</v>
      </c>
      <c r="R10" s="1" t="s">
        <v>124</v>
      </c>
      <c r="S10" s="1" t="s">
        <v>101</v>
      </c>
      <c r="T10" s="1" t="s">
        <v>109</v>
      </c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 t="s">
        <v>966</v>
      </c>
      <c r="C11" s="5">
        <v>46139</v>
      </c>
      <c r="D11" s="5">
        <v>46139</v>
      </c>
      <c r="E11" s="13" t="s">
        <v>967</v>
      </c>
      <c r="F11" s="3">
        <v>1</v>
      </c>
      <c r="G11" s="3">
        <v>2000</v>
      </c>
      <c r="H11" s="3">
        <v>31.5</v>
      </c>
      <c r="I11" s="3">
        <v>571</v>
      </c>
      <c r="J11" s="3">
        <v>1</v>
      </c>
      <c r="K11" s="4">
        <f t="shared" si="0"/>
        <v>50.437828371278457</v>
      </c>
      <c r="L11" s="3">
        <v>123</v>
      </c>
      <c r="M11" s="1">
        <v>37.9</v>
      </c>
      <c r="N11" s="1">
        <v>37.9</v>
      </c>
      <c r="O11" s="2">
        <f t="shared" si="1"/>
        <v>37.9</v>
      </c>
      <c r="P11" s="1">
        <v>500</v>
      </c>
      <c r="Q11" s="1">
        <v>20.7</v>
      </c>
      <c r="R11" s="1" t="s">
        <v>99</v>
      </c>
      <c r="S11" s="1" t="s">
        <v>818</v>
      </c>
      <c r="T11" s="1" t="s">
        <v>109</v>
      </c>
      <c r="U11" s="1"/>
      <c r="V11" s="1"/>
      <c r="W11" s="1" t="s">
        <v>94</v>
      </c>
      <c r="X11" s="1"/>
      <c r="Y11" s="1"/>
      <c r="Z11" s="1"/>
    </row>
    <row r="12" spans="1:26" ht="24.9" customHeight="1" x14ac:dyDescent="0.3">
      <c r="A12" s="3" t="s">
        <v>34</v>
      </c>
      <c r="B12" s="3" t="s">
        <v>968</v>
      </c>
      <c r="C12" s="5">
        <v>46139</v>
      </c>
      <c r="D12" s="3" t="s">
        <v>984</v>
      </c>
      <c r="E12" s="13" t="s">
        <v>967</v>
      </c>
      <c r="F12" s="3">
        <v>1</v>
      </c>
      <c r="G12" s="3">
        <v>2000</v>
      </c>
      <c r="H12" s="3">
        <v>31.5</v>
      </c>
      <c r="I12" s="3">
        <v>571</v>
      </c>
      <c r="J12" s="3">
        <v>1</v>
      </c>
      <c r="K12" s="4">
        <f t="shared" si="0"/>
        <v>50.437828371278457</v>
      </c>
      <c r="L12" s="3">
        <v>123</v>
      </c>
      <c r="M12" s="1">
        <v>41.9</v>
      </c>
      <c r="N12" s="1">
        <v>41.9</v>
      </c>
      <c r="O12" s="2">
        <f t="shared" si="1"/>
        <v>41.9</v>
      </c>
      <c r="P12" s="1">
        <v>500</v>
      </c>
      <c r="Q12" s="1">
        <v>22.2</v>
      </c>
      <c r="R12" s="1" t="s">
        <v>99</v>
      </c>
      <c r="S12" s="1" t="s">
        <v>817</v>
      </c>
      <c r="T12" s="1" t="s">
        <v>109</v>
      </c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 t="s">
        <v>985</v>
      </c>
      <c r="C13" s="5">
        <v>46139</v>
      </c>
      <c r="D13" s="5">
        <v>46140</v>
      </c>
      <c r="E13" s="13" t="s">
        <v>967</v>
      </c>
      <c r="F13" s="3">
        <v>1</v>
      </c>
      <c r="G13" s="3">
        <v>2000</v>
      </c>
      <c r="H13" s="3">
        <v>31.5</v>
      </c>
      <c r="I13" s="3">
        <v>571</v>
      </c>
      <c r="J13" s="3">
        <v>1</v>
      </c>
      <c r="K13" s="4">
        <f t="shared" si="0"/>
        <v>50.437828371278457</v>
      </c>
      <c r="L13" s="3">
        <v>210</v>
      </c>
      <c r="M13" s="1">
        <v>39.5</v>
      </c>
      <c r="N13" s="1">
        <v>39.5</v>
      </c>
      <c r="O13" s="2">
        <f t="shared" si="1"/>
        <v>39.5</v>
      </c>
      <c r="P13" s="1">
        <v>500</v>
      </c>
      <c r="Q13" s="1">
        <v>20.75</v>
      </c>
      <c r="R13" s="1" t="s">
        <v>99</v>
      </c>
      <c r="S13" s="1" t="s">
        <v>832</v>
      </c>
      <c r="T13" s="1" t="s">
        <v>109</v>
      </c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 t="s">
        <v>986</v>
      </c>
      <c r="C14" s="5">
        <v>46139</v>
      </c>
      <c r="D14" s="5">
        <v>46140</v>
      </c>
      <c r="E14" s="13" t="s">
        <v>967</v>
      </c>
      <c r="F14" s="3">
        <v>1</v>
      </c>
      <c r="G14" s="3">
        <v>2000</v>
      </c>
      <c r="H14" s="3">
        <v>31.5</v>
      </c>
      <c r="I14" s="3">
        <v>571</v>
      </c>
      <c r="J14" s="3">
        <v>1</v>
      </c>
      <c r="K14" s="4">
        <f t="shared" si="0"/>
        <v>50.437828371278457</v>
      </c>
      <c r="L14" s="3">
        <v>210</v>
      </c>
      <c r="M14" s="1">
        <v>38.799999999999997</v>
      </c>
      <c r="N14" s="1">
        <v>38.799999999999997</v>
      </c>
      <c r="O14" s="2">
        <f t="shared" si="1"/>
        <v>38.799999999999997</v>
      </c>
      <c r="P14" s="1">
        <v>500</v>
      </c>
      <c r="Q14" s="1">
        <v>20.399999999999999</v>
      </c>
      <c r="R14" s="1" t="s">
        <v>99</v>
      </c>
      <c r="S14" s="1" t="s">
        <v>810</v>
      </c>
      <c r="T14" s="1" t="s">
        <v>109</v>
      </c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 t="s">
        <v>998</v>
      </c>
      <c r="C15" s="5">
        <v>46140</v>
      </c>
      <c r="D15" s="5">
        <v>46141</v>
      </c>
      <c r="E15" s="13" t="s">
        <v>967</v>
      </c>
      <c r="F15" s="3">
        <v>1</v>
      </c>
      <c r="G15" s="3">
        <v>2000</v>
      </c>
      <c r="H15" s="3">
        <v>31.5</v>
      </c>
      <c r="I15" s="3">
        <v>571</v>
      </c>
      <c r="J15" s="3">
        <v>1</v>
      </c>
      <c r="K15" s="4">
        <f t="shared" si="0"/>
        <v>50.437828371278457</v>
      </c>
      <c r="L15" s="3">
        <v>30</v>
      </c>
      <c r="M15" s="1">
        <v>39</v>
      </c>
      <c r="N15" s="1">
        <v>39</v>
      </c>
      <c r="O15" s="2">
        <f t="shared" si="1"/>
        <v>39</v>
      </c>
      <c r="P15" s="1">
        <v>500</v>
      </c>
      <c r="Q15" s="1">
        <v>20.5</v>
      </c>
      <c r="R15" s="1" t="s">
        <v>99</v>
      </c>
      <c r="S15" s="1" t="s">
        <v>820</v>
      </c>
      <c r="T15" s="1" t="s">
        <v>109</v>
      </c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 t="s">
        <v>999</v>
      </c>
      <c r="C16" s="5">
        <v>46140</v>
      </c>
      <c r="D16" s="5">
        <v>46141</v>
      </c>
      <c r="E16" s="13" t="s">
        <v>967</v>
      </c>
      <c r="F16" s="3">
        <v>1</v>
      </c>
      <c r="G16" s="3">
        <v>2000</v>
      </c>
      <c r="H16" s="3">
        <v>31.5</v>
      </c>
      <c r="I16" s="3">
        <v>571</v>
      </c>
      <c r="J16" s="3">
        <v>1</v>
      </c>
      <c r="K16" s="4">
        <f t="shared" si="0"/>
        <v>50.437828371278457</v>
      </c>
      <c r="L16" s="3">
        <v>30</v>
      </c>
      <c r="M16" s="1">
        <v>37.700000000000003</v>
      </c>
      <c r="N16" s="1">
        <v>37.700000000000003</v>
      </c>
      <c r="O16" s="2">
        <f t="shared" si="1"/>
        <v>37.700000000000003</v>
      </c>
      <c r="P16" s="1">
        <v>500</v>
      </c>
      <c r="Q16" s="1">
        <v>19.899999999999999</v>
      </c>
      <c r="R16" s="1" t="s">
        <v>99</v>
      </c>
      <c r="S16" s="1" t="s">
        <v>918</v>
      </c>
      <c r="T16" s="1" t="s">
        <v>109</v>
      </c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 t="s">
        <v>1006</v>
      </c>
      <c r="C17" s="5">
        <v>46141</v>
      </c>
      <c r="D17" s="5">
        <v>46142</v>
      </c>
      <c r="E17" s="13" t="s">
        <v>967</v>
      </c>
      <c r="F17" s="3">
        <v>1</v>
      </c>
      <c r="G17" s="3">
        <v>2000</v>
      </c>
      <c r="H17" s="3">
        <v>31.5</v>
      </c>
      <c r="I17" s="3">
        <v>571</v>
      </c>
      <c r="J17" s="3">
        <v>1</v>
      </c>
      <c r="K17" s="4">
        <f t="shared" si="0"/>
        <v>50.437828371278457</v>
      </c>
      <c r="L17" s="3">
        <v>20</v>
      </c>
      <c r="M17" s="1">
        <v>36.700000000000003</v>
      </c>
      <c r="N17" s="1">
        <v>36.700000000000003</v>
      </c>
      <c r="O17" s="2">
        <f t="shared" si="1"/>
        <v>36.700000000000003</v>
      </c>
      <c r="P17" s="1">
        <v>500</v>
      </c>
      <c r="Q17" s="1">
        <v>19.45</v>
      </c>
      <c r="R17" s="1" t="s">
        <v>99</v>
      </c>
      <c r="S17" s="1" t="s">
        <v>924</v>
      </c>
      <c r="T17" s="1" t="s">
        <v>109</v>
      </c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 t="s">
        <v>1007</v>
      </c>
      <c r="C18" s="5">
        <v>46141</v>
      </c>
      <c r="D18" s="5">
        <v>46142</v>
      </c>
      <c r="E18" s="13" t="s">
        <v>967</v>
      </c>
      <c r="F18" s="3">
        <v>1</v>
      </c>
      <c r="G18" s="3">
        <v>2000</v>
      </c>
      <c r="H18" s="3">
        <v>31.5</v>
      </c>
      <c r="I18" s="3">
        <v>571</v>
      </c>
      <c r="J18" s="3">
        <v>1</v>
      </c>
      <c r="K18" s="4">
        <f t="shared" si="0"/>
        <v>50.437828371278457</v>
      </c>
      <c r="L18" s="3">
        <v>20</v>
      </c>
      <c r="M18" s="1">
        <v>38.9</v>
      </c>
      <c r="N18" s="1">
        <v>38.9</v>
      </c>
      <c r="O18" s="2">
        <f t="shared" si="1"/>
        <v>38.9</v>
      </c>
      <c r="P18" s="1">
        <v>500</v>
      </c>
      <c r="Q18" s="1">
        <v>20.45</v>
      </c>
      <c r="R18" s="1" t="s">
        <v>99</v>
      </c>
      <c r="S18" s="1" t="s">
        <v>927</v>
      </c>
      <c r="T18" s="1" t="s">
        <v>109</v>
      </c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 t="s">
        <v>1022</v>
      </c>
      <c r="C19" s="5">
        <v>46142</v>
      </c>
      <c r="D19" s="5">
        <v>46146</v>
      </c>
      <c r="E19" s="13" t="s">
        <v>967</v>
      </c>
      <c r="F19" s="3">
        <v>1</v>
      </c>
      <c r="G19" s="3">
        <v>2000</v>
      </c>
      <c r="H19" s="3">
        <v>31.5</v>
      </c>
      <c r="I19" s="3">
        <v>571</v>
      </c>
      <c r="J19" s="3">
        <v>1</v>
      </c>
      <c r="K19" s="4">
        <f t="shared" si="0"/>
        <v>50.437828371278457</v>
      </c>
      <c r="L19" s="3"/>
      <c r="M19" s="1">
        <v>38.4</v>
      </c>
      <c r="N19" s="1">
        <v>38.4</v>
      </c>
      <c r="O19" s="2">
        <f t="shared" si="1"/>
        <v>38.4</v>
      </c>
      <c r="P19" s="1">
        <v>500</v>
      </c>
      <c r="Q19" s="1">
        <v>21.3</v>
      </c>
      <c r="R19" s="1" t="s">
        <v>99</v>
      </c>
      <c r="S19" s="1" t="s">
        <v>1023</v>
      </c>
      <c r="T19" s="1" t="s">
        <v>109</v>
      </c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 t="s">
        <v>1024</v>
      </c>
      <c r="C20" s="5">
        <v>46142</v>
      </c>
      <c r="D20" s="5">
        <v>46146</v>
      </c>
      <c r="E20" s="13" t="s">
        <v>967</v>
      </c>
      <c r="F20" s="3">
        <v>1</v>
      </c>
      <c r="G20" s="3">
        <v>2000</v>
      </c>
      <c r="H20" s="3">
        <v>31.5</v>
      </c>
      <c r="I20" s="3">
        <v>571</v>
      </c>
      <c r="J20" s="3">
        <v>1</v>
      </c>
      <c r="K20" s="4">
        <f t="shared" si="0"/>
        <v>50.437828371278457</v>
      </c>
      <c r="L20" s="3"/>
      <c r="M20" s="1">
        <v>38.9</v>
      </c>
      <c r="N20" s="1">
        <v>38.9</v>
      </c>
      <c r="O20" s="2">
        <f t="shared" si="1"/>
        <v>38.9</v>
      </c>
      <c r="P20" s="1">
        <v>500</v>
      </c>
      <c r="Q20" s="1">
        <v>20.399999999999999</v>
      </c>
      <c r="R20" s="1" t="s">
        <v>99</v>
      </c>
      <c r="S20" s="1" t="s">
        <v>1025</v>
      </c>
      <c r="T20" s="1" t="s">
        <v>109</v>
      </c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 t="s">
        <v>1026</v>
      </c>
      <c r="C21" s="5">
        <v>46146</v>
      </c>
      <c r="D21" s="5">
        <v>46147</v>
      </c>
      <c r="E21" s="13" t="s">
        <v>967</v>
      </c>
      <c r="F21" s="3">
        <v>1</v>
      </c>
      <c r="G21" s="3">
        <v>2000</v>
      </c>
      <c r="H21" s="3">
        <v>31.5</v>
      </c>
      <c r="I21" s="3">
        <v>571</v>
      </c>
      <c r="J21" s="3">
        <v>1</v>
      </c>
      <c r="K21" s="4">
        <f t="shared" si="0"/>
        <v>50.437828371278457</v>
      </c>
      <c r="L21" s="3"/>
      <c r="M21" s="1">
        <v>38.299999999999997</v>
      </c>
      <c r="N21" s="1">
        <v>38.299999999999997</v>
      </c>
      <c r="O21" s="2">
        <f t="shared" si="1"/>
        <v>38.299999999999997</v>
      </c>
      <c r="P21" s="1">
        <v>500</v>
      </c>
      <c r="Q21" s="1">
        <v>20.2</v>
      </c>
      <c r="R21" s="1" t="s">
        <v>99</v>
      </c>
      <c r="S21" s="1" t="s">
        <v>1027</v>
      </c>
      <c r="T21" s="1" t="s">
        <v>109</v>
      </c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 t="s">
        <v>1028</v>
      </c>
      <c r="C22" s="5">
        <v>46146</v>
      </c>
      <c r="D22" s="5">
        <v>46147</v>
      </c>
      <c r="E22" s="13" t="s">
        <v>967</v>
      </c>
      <c r="F22" s="3">
        <v>1</v>
      </c>
      <c r="G22" s="3">
        <v>2000</v>
      </c>
      <c r="H22" s="3">
        <v>31.5</v>
      </c>
      <c r="I22" s="3">
        <v>571</v>
      </c>
      <c r="J22" s="3">
        <v>1</v>
      </c>
      <c r="K22" s="4">
        <f t="shared" si="0"/>
        <v>50.437828371278457</v>
      </c>
      <c r="L22" s="3"/>
      <c r="M22" s="1">
        <v>38.799999999999997</v>
      </c>
      <c r="N22" s="1">
        <v>38.799999999999997</v>
      </c>
      <c r="O22" s="2">
        <f t="shared" si="1"/>
        <v>38.799999999999997</v>
      </c>
      <c r="P22" s="1">
        <v>500</v>
      </c>
      <c r="Q22" s="1">
        <v>20.399999999999999</v>
      </c>
      <c r="R22" s="1" t="s">
        <v>99</v>
      </c>
      <c r="S22" s="1" t="s">
        <v>1029</v>
      </c>
      <c r="T22" s="1" t="s">
        <v>109</v>
      </c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 t="s">
        <v>1035</v>
      </c>
      <c r="C23" s="5">
        <v>46147</v>
      </c>
      <c r="D23" s="5">
        <v>46148</v>
      </c>
      <c r="E23" s="13" t="s">
        <v>967</v>
      </c>
      <c r="F23" s="3">
        <v>1</v>
      </c>
      <c r="G23" s="3">
        <v>2000</v>
      </c>
      <c r="H23" s="3">
        <v>31.5</v>
      </c>
      <c r="I23" s="3">
        <v>571</v>
      </c>
      <c r="J23" s="3">
        <v>1</v>
      </c>
      <c r="K23" s="4">
        <f t="shared" si="0"/>
        <v>50.437828371278457</v>
      </c>
      <c r="L23" s="3"/>
      <c r="M23" s="1">
        <v>41.3</v>
      </c>
      <c r="N23" s="1">
        <v>41.3</v>
      </c>
      <c r="O23" s="2">
        <f t="shared" si="1"/>
        <v>41.3</v>
      </c>
      <c r="P23" s="1">
        <v>500</v>
      </c>
      <c r="Q23" s="1">
        <v>21.6</v>
      </c>
      <c r="R23" s="1" t="s">
        <v>99</v>
      </c>
      <c r="S23" s="1" t="s">
        <v>1036</v>
      </c>
      <c r="T23" s="1" t="s">
        <v>109</v>
      </c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 t="s">
        <v>1037</v>
      </c>
      <c r="C24" s="5">
        <v>46147</v>
      </c>
      <c r="D24" s="5">
        <v>46148</v>
      </c>
      <c r="E24" s="13" t="s">
        <v>967</v>
      </c>
      <c r="F24" s="3">
        <v>1</v>
      </c>
      <c r="G24" s="3">
        <v>2000</v>
      </c>
      <c r="H24" s="3">
        <v>31.5</v>
      </c>
      <c r="I24" s="3">
        <v>571</v>
      </c>
      <c r="J24" s="3">
        <v>1</v>
      </c>
      <c r="K24" s="4">
        <f t="shared" si="0"/>
        <v>50.437828371278457</v>
      </c>
      <c r="L24" s="3"/>
      <c r="M24" s="1">
        <v>44.9</v>
      </c>
      <c r="N24" s="1">
        <v>44.9</v>
      </c>
      <c r="O24" s="2">
        <f t="shared" si="1"/>
        <v>44.9</v>
      </c>
      <c r="P24" s="1">
        <v>500</v>
      </c>
      <c r="Q24" s="1">
        <v>23.5</v>
      </c>
      <c r="R24" s="1" t="s">
        <v>99</v>
      </c>
      <c r="S24" s="1" t="s">
        <v>1038</v>
      </c>
      <c r="T24" s="1" t="s">
        <v>109</v>
      </c>
      <c r="U24" s="1"/>
      <c r="V24" s="1"/>
      <c r="W24" s="1"/>
      <c r="X24" s="1" t="s">
        <v>103</v>
      </c>
      <c r="Y24" s="1" t="s">
        <v>120</v>
      </c>
      <c r="Z24" s="1"/>
    </row>
    <row r="25" spans="1:26" ht="24.9" customHeight="1" x14ac:dyDescent="0.3">
      <c r="A25" s="3" t="s">
        <v>47</v>
      </c>
      <c r="B25" s="3" t="s">
        <v>1271</v>
      </c>
      <c r="C25" s="5">
        <v>46206</v>
      </c>
      <c r="D25" s="5">
        <v>46210</v>
      </c>
      <c r="E25" s="13" t="s">
        <v>1272</v>
      </c>
      <c r="F25" s="3">
        <v>7</v>
      </c>
      <c r="G25" s="3">
        <v>3000</v>
      </c>
      <c r="H25" s="3">
        <v>30.9</v>
      </c>
      <c r="I25" s="3">
        <v>932</v>
      </c>
      <c r="J25" s="3">
        <v>1</v>
      </c>
      <c r="K25" s="4">
        <f t="shared" si="0"/>
        <v>30.901287553648068</v>
      </c>
      <c r="L25" s="3"/>
      <c r="M25" s="1">
        <v>39.1</v>
      </c>
      <c r="N25" s="1">
        <v>39.1</v>
      </c>
      <c r="O25" s="2">
        <f t="shared" si="1"/>
        <v>39.1</v>
      </c>
      <c r="P25" s="1">
        <v>500</v>
      </c>
      <c r="Q25" s="1">
        <v>20.6</v>
      </c>
      <c r="R25" s="1" t="s">
        <v>99</v>
      </c>
      <c r="S25" s="1" t="s">
        <v>1252</v>
      </c>
      <c r="T25" s="1" t="s">
        <v>1273</v>
      </c>
      <c r="U25" s="1"/>
      <c r="V25" s="1"/>
      <c r="W25" s="1" t="s">
        <v>94</v>
      </c>
      <c r="X25" s="1"/>
      <c r="Y25" s="1"/>
      <c r="Z25" s="1"/>
    </row>
    <row r="26" spans="1:26" ht="24.9" customHeight="1" x14ac:dyDescent="0.3">
      <c r="A26" s="3" t="s">
        <v>48</v>
      </c>
      <c r="B26" s="3" t="s">
        <v>144</v>
      </c>
      <c r="C26" s="5">
        <v>46206</v>
      </c>
      <c r="D26" s="5">
        <v>46210</v>
      </c>
      <c r="E26" s="13" t="s">
        <v>1272</v>
      </c>
      <c r="F26" s="3">
        <v>7</v>
      </c>
      <c r="G26" s="3">
        <v>4000</v>
      </c>
      <c r="H26" s="3">
        <v>30.9</v>
      </c>
      <c r="I26" s="3">
        <v>932</v>
      </c>
      <c r="J26" s="3">
        <v>1</v>
      </c>
      <c r="K26" s="4">
        <f t="shared" si="0"/>
        <v>30.901287553648068</v>
      </c>
      <c r="L26" s="3"/>
      <c r="M26" s="1">
        <v>39.4</v>
      </c>
      <c r="N26" s="1">
        <v>39.4</v>
      </c>
      <c r="O26" s="2">
        <f t="shared" si="1"/>
        <v>39.4</v>
      </c>
      <c r="P26" s="1">
        <v>500</v>
      </c>
      <c r="Q26" s="1">
        <v>20.7</v>
      </c>
      <c r="R26" s="1" t="s">
        <v>99</v>
      </c>
      <c r="S26" s="1" t="s">
        <v>1270</v>
      </c>
      <c r="T26" s="1" t="s">
        <v>1273</v>
      </c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 t="s">
        <v>1282</v>
      </c>
      <c r="C27" s="5">
        <v>46210</v>
      </c>
      <c r="D27" s="5">
        <v>46212</v>
      </c>
      <c r="E27" s="13" t="s">
        <v>1272</v>
      </c>
      <c r="F27" s="3">
        <v>7</v>
      </c>
      <c r="G27" s="3">
        <v>4000</v>
      </c>
      <c r="H27" s="3">
        <v>30.9</v>
      </c>
      <c r="I27" s="3">
        <v>932</v>
      </c>
      <c r="J27" s="3">
        <v>1</v>
      </c>
      <c r="K27" s="4">
        <f t="shared" si="0"/>
        <v>30.901287553648068</v>
      </c>
      <c r="L27" s="3"/>
      <c r="M27" s="1">
        <v>38.6</v>
      </c>
      <c r="N27" s="1">
        <v>38.6</v>
      </c>
      <c r="O27" s="2">
        <f t="shared" si="1"/>
        <v>38.6</v>
      </c>
      <c r="P27" s="1">
        <v>500</v>
      </c>
      <c r="Q27" s="1">
        <v>20.3</v>
      </c>
      <c r="R27" s="1" t="s">
        <v>99</v>
      </c>
      <c r="S27" s="1" t="s">
        <v>1274</v>
      </c>
      <c r="T27" s="1" t="s">
        <v>1273</v>
      </c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 t="s">
        <v>1283</v>
      </c>
      <c r="C28" s="5">
        <v>46210</v>
      </c>
      <c r="D28" s="5">
        <v>46212</v>
      </c>
      <c r="E28" s="13" t="s">
        <v>1272</v>
      </c>
      <c r="F28" s="3">
        <v>7</v>
      </c>
      <c r="G28" s="3">
        <v>3000</v>
      </c>
      <c r="H28" s="3">
        <v>30.9</v>
      </c>
      <c r="I28" s="3">
        <v>932</v>
      </c>
      <c r="J28" s="3">
        <v>1</v>
      </c>
      <c r="K28" s="4">
        <f t="shared" si="0"/>
        <v>30.901287553648068</v>
      </c>
      <c r="L28" s="3"/>
      <c r="M28" s="1">
        <v>38</v>
      </c>
      <c r="N28" s="1">
        <v>38</v>
      </c>
      <c r="O28" s="2">
        <f t="shared" si="1"/>
        <v>38</v>
      </c>
      <c r="P28" s="1">
        <v>500</v>
      </c>
      <c r="Q28" s="1">
        <v>20</v>
      </c>
      <c r="R28" s="1" t="s">
        <v>99</v>
      </c>
      <c r="S28" s="1" t="s">
        <v>1276</v>
      </c>
      <c r="T28" s="1" t="s">
        <v>1273</v>
      </c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 t="s">
        <v>1294</v>
      </c>
      <c r="C29" s="5">
        <v>46212</v>
      </c>
      <c r="D29" s="5">
        <v>46212</v>
      </c>
      <c r="E29" s="13" t="s">
        <v>1272</v>
      </c>
      <c r="F29" s="3">
        <v>7</v>
      </c>
      <c r="G29" s="3">
        <v>1000</v>
      </c>
      <c r="H29" s="3">
        <v>30.9</v>
      </c>
      <c r="I29" s="3">
        <v>932</v>
      </c>
      <c r="J29" s="3">
        <v>1</v>
      </c>
      <c r="K29" s="4">
        <f t="shared" si="0"/>
        <v>30.901287553648068</v>
      </c>
      <c r="L29" s="3"/>
      <c r="M29" s="1">
        <v>44.8</v>
      </c>
      <c r="N29" s="1">
        <v>44.8</v>
      </c>
      <c r="O29" s="2">
        <f t="shared" si="1"/>
        <v>44.8</v>
      </c>
      <c r="P29" s="1">
        <v>500</v>
      </c>
      <c r="Q29" s="1">
        <v>23.5</v>
      </c>
      <c r="R29" s="1" t="s">
        <v>99</v>
      </c>
      <c r="S29" s="1" t="s">
        <v>1278</v>
      </c>
      <c r="T29" s="1" t="s">
        <v>1273</v>
      </c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 t="s">
        <v>1295</v>
      </c>
      <c r="C30" s="5">
        <v>46212</v>
      </c>
      <c r="D30" s="5">
        <v>46212</v>
      </c>
      <c r="E30" s="13" t="s">
        <v>1272</v>
      </c>
      <c r="F30" s="3">
        <v>7</v>
      </c>
      <c r="G30" s="3">
        <v>1000</v>
      </c>
      <c r="H30" s="3">
        <v>30.9</v>
      </c>
      <c r="I30" s="3">
        <v>932</v>
      </c>
      <c r="J30" s="3">
        <v>1</v>
      </c>
      <c r="K30" s="4">
        <f t="shared" si="0"/>
        <v>30.901287553648068</v>
      </c>
      <c r="L30" s="3"/>
      <c r="M30" s="1">
        <v>37.700000000000003</v>
      </c>
      <c r="N30" s="1">
        <v>37.700000000000003</v>
      </c>
      <c r="O30" s="2">
        <f t="shared" si="1"/>
        <v>37.700000000000003</v>
      </c>
      <c r="P30" s="1">
        <v>500</v>
      </c>
      <c r="Q30" s="1">
        <v>19.899999999999999</v>
      </c>
      <c r="R30" s="1" t="s">
        <v>99</v>
      </c>
      <c r="S30" s="1" t="s">
        <v>1280</v>
      </c>
      <c r="T30" s="1" t="s">
        <v>1273</v>
      </c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 t="s">
        <v>1299</v>
      </c>
      <c r="C31" s="5">
        <v>46212</v>
      </c>
      <c r="D31" s="5">
        <v>46216</v>
      </c>
      <c r="E31" s="13" t="s">
        <v>1272</v>
      </c>
      <c r="F31" s="3">
        <v>7</v>
      </c>
      <c r="G31" s="3">
        <v>4000</v>
      </c>
      <c r="H31" s="3">
        <v>30.9</v>
      </c>
      <c r="I31" s="3">
        <v>932</v>
      </c>
      <c r="J31" s="3">
        <v>1</v>
      </c>
      <c r="K31" s="4">
        <f t="shared" si="0"/>
        <v>30.901287553648068</v>
      </c>
      <c r="L31" s="3"/>
      <c r="M31" s="1">
        <v>38.4</v>
      </c>
      <c r="N31" s="1">
        <v>38.4</v>
      </c>
      <c r="O31" s="2">
        <f t="shared" si="1"/>
        <v>38.4</v>
      </c>
      <c r="P31" s="1">
        <v>500</v>
      </c>
      <c r="Q31" s="1">
        <v>20.2</v>
      </c>
      <c r="R31" s="1" t="s">
        <v>99</v>
      </c>
      <c r="S31" s="1" t="s">
        <v>1285</v>
      </c>
      <c r="T31" s="1" t="s">
        <v>1273</v>
      </c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 t="s">
        <v>1300</v>
      </c>
      <c r="C32" s="5">
        <v>46212</v>
      </c>
      <c r="D32" s="5">
        <v>46216</v>
      </c>
      <c r="E32" s="13" t="s">
        <v>1272</v>
      </c>
      <c r="F32" s="3">
        <v>7</v>
      </c>
      <c r="G32" s="3">
        <v>4000</v>
      </c>
      <c r="H32" s="3">
        <v>30.9</v>
      </c>
      <c r="I32" s="3">
        <v>932</v>
      </c>
      <c r="J32" s="3">
        <v>1</v>
      </c>
      <c r="K32" s="4">
        <f t="shared" si="0"/>
        <v>30.901287553648068</v>
      </c>
      <c r="L32" s="3"/>
      <c r="M32" s="1">
        <v>40.6</v>
      </c>
      <c r="N32" s="1">
        <v>40.6</v>
      </c>
      <c r="O32" s="2">
        <f t="shared" si="1"/>
        <v>40.6</v>
      </c>
      <c r="P32" s="1">
        <v>500</v>
      </c>
      <c r="Q32" s="1">
        <v>21.3</v>
      </c>
      <c r="R32" s="1" t="s">
        <v>99</v>
      </c>
      <c r="S32" s="1" t="s">
        <v>1301</v>
      </c>
      <c r="T32" s="1" t="s">
        <v>1273</v>
      </c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19" t="s">
        <v>1349</v>
      </c>
      <c r="C33" s="5">
        <v>46225</v>
      </c>
      <c r="D33" s="5">
        <v>46237</v>
      </c>
      <c r="E33" s="3" t="s">
        <v>1350</v>
      </c>
      <c r="F33" s="3">
        <v>2</v>
      </c>
      <c r="G33" s="3">
        <v>10800</v>
      </c>
      <c r="H33" s="3">
        <v>37.799999999999997</v>
      </c>
      <c r="I33" s="3">
        <v>760</v>
      </c>
      <c r="J33" s="3">
        <v>1</v>
      </c>
      <c r="K33" s="4">
        <f t="shared" si="0"/>
        <v>37.89473684210526</v>
      </c>
      <c r="L33" s="3"/>
      <c r="M33" s="1">
        <v>172.6</v>
      </c>
      <c r="N33" s="1">
        <v>172.6</v>
      </c>
      <c r="O33" s="2">
        <f t="shared" si="1"/>
        <v>172.6</v>
      </c>
      <c r="P33" s="1">
        <v>90</v>
      </c>
      <c r="Q33" s="1">
        <v>16.8</v>
      </c>
      <c r="R33" s="1" t="s">
        <v>124</v>
      </c>
      <c r="S33" s="1" t="s">
        <v>1252</v>
      </c>
      <c r="T33" s="1" t="s">
        <v>1813</v>
      </c>
      <c r="U33" s="1"/>
      <c r="V33" s="1"/>
      <c r="W33" s="1" t="s">
        <v>678</v>
      </c>
      <c r="X33" s="1" t="s">
        <v>849</v>
      </c>
      <c r="Y33" s="1" t="s">
        <v>120</v>
      </c>
      <c r="Z33" s="1"/>
    </row>
    <row r="34" spans="1:26" ht="24.9" customHeight="1" x14ac:dyDescent="0.3">
      <c r="A34" s="3" t="s">
        <v>56</v>
      </c>
      <c r="B34" s="3" t="s">
        <v>966</v>
      </c>
      <c r="C34" s="5">
        <v>46241</v>
      </c>
      <c r="D34" s="5">
        <v>46245</v>
      </c>
      <c r="E34" s="13" t="s">
        <v>1416</v>
      </c>
      <c r="F34" s="3">
        <v>2</v>
      </c>
      <c r="G34" s="3">
        <v>4000</v>
      </c>
      <c r="H34" s="3">
        <v>33</v>
      </c>
      <c r="I34" s="3">
        <v>872</v>
      </c>
      <c r="J34" s="3">
        <v>1</v>
      </c>
      <c r="K34" s="4">
        <f t="shared" si="0"/>
        <v>33.027522935779814</v>
      </c>
      <c r="L34" s="3"/>
      <c r="M34" s="1">
        <v>39</v>
      </c>
      <c r="N34" s="1">
        <v>77.3</v>
      </c>
      <c r="O34" s="2">
        <f t="shared" si="1"/>
        <v>77.3</v>
      </c>
      <c r="P34" s="1">
        <v>500</v>
      </c>
      <c r="Q34" s="1">
        <v>20.5</v>
      </c>
      <c r="R34" s="1" t="s">
        <v>99</v>
      </c>
      <c r="S34" s="1" t="s">
        <v>1403</v>
      </c>
      <c r="T34" s="1" t="s">
        <v>1273</v>
      </c>
      <c r="U34" s="1"/>
      <c r="V34" s="1"/>
      <c r="W34" s="1" t="s">
        <v>849</v>
      </c>
      <c r="X34" s="1"/>
      <c r="Y34" s="1"/>
      <c r="Z34" s="1"/>
    </row>
    <row r="35" spans="1:26" ht="24.9" customHeight="1" x14ac:dyDescent="0.3">
      <c r="A35" s="3" t="s">
        <v>57</v>
      </c>
      <c r="B35" s="3" t="s">
        <v>998</v>
      </c>
      <c r="C35" s="5">
        <v>46241</v>
      </c>
      <c r="D35" s="5">
        <v>46245</v>
      </c>
      <c r="E35" s="13" t="s">
        <v>1416</v>
      </c>
      <c r="F35" s="3">
        <v>2</v>
      </c>
      <c r="G35" s="3">
        <v>4000</v>
      </c>
      <c r="H35" s="3">
        <v>33</v>
      </c>
      <c r="I35" s="3">
        <v>872</v>
      </c>
      <c r="J35" s="3">
        <v>1</v>
      </c>
      <c r="K35" s="4">
        <f t="shared" si="0"/>
        <v>33.027522935779814</v>
      </c>
      <c r="L35" s="3"/>
      <c r="M35" s="1">
        <v>39</v>
      </c>
      <c r="N35" s="1">
        <v>77.3</v>
      </c>
      <c r="O35" s="2">
        <f t="shared" si="1"/>
        <v>77.3</v>
      </c>
      <c r="P35" s="1">
        <v>500</v>
      </c>
      <c r="Q35" s="1">
        <v>20.5</v>
      </c>
      <c r="R35" s="1" t="s">
        <v>99</v>
      </c>
      <c r="S35" s="1" t="s">
        <v>1392</v>
      </c>
      <c r="T35" s="1" t="s">
        <v>1273</v>
      </c>
      <c r="U35" s="1"/>
      <c r="V35" s="1"/>
      <c r="W35" s="1" t="s">
        <v>849</v>
      </c>
      <c r="X35" s="1"/>
      <c r="Y35" s="1"/>
      <c r="Z35" s="1"/>
    </row>
    <row r="36" spans="1:26" ht="24.9" customHeight="1" x14ac:dyDescent="0.3">
      <c r="A36" s="3" t="s">
        <v>58</v>
      </c>
      <c r="B36" s="3" t="s">
        <v>1427</v>
      </c>
      <c r="C36" s="5">
        <v>46245</v>
      </c>
      <c r="D36" s="5">
        <v>46246</v>
      </c>
      <c r="E36" s="3" t="s">
        <v>1416</v>
      </c>
      <c r="F36" s="3">
        <v>2</v>
      </c>
      <c r="G36" s="3">
        <v>2000</v>
      </c>
      <c r="H36" s="3">
        <v>33.4</v>
      </c>
      <c r="I36" s="3">
        <v>862</v>
      </c>
      <c r="J36" s="3">
        <v>1</v>
      </c>
      <c r="K36" s="4">
        <f t="shared" si="0"/>
        <v>33.410672853828309</v>
      </c>
      <c r="L36" s="3"/>
      <c r="M36" s="1">
        <v>37</v>
      </c>
      <c r="N36" s="1">
        <v>76.2</v>
      </c>
      <c r="O36" s="2">
        <f t="shared" si="1"/>
        <v>76.2</v>
      </c>
      <c r="P36" s="1">
        <v>500</v>
      </c>
      <c r="Q36" s="1">
        <v>19.5</v>
      </c>
      <c r="R36" s="1" t="s">
        <v>99</v>
      </c>
      <c r="S36" s="1" t="s">
        <v>1414</v>
      </c>
      <c r="T36" s="1" t="s">
        <v>1273</v>
      </c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 t="s">
        <v>1271</v>
      </c>
      <c r="C37" s="5">
        <v>46245</v>
      </c>
      <c r="D37" s="5">
        <v>46246</v>
      </c>
      <c r="E37" s="3" t="s">
        <v>1416</v>
      </c>
      <c r="F37" s="3">
        <v>2</v>
      </c>
      <c r="G37" s="3">
        <v>2000</v>
      </c>
      <c r="H37" s="3">
        <v>33.4</v>
      </c>
      <c r="I37" s="3">
        <v>862</v>
      </c>
      <c r="J37" s="3">
        <v>1</v>
      </c>
      <c r="K37" s="4">
        <f t="shared" si="0"/>
        <v>33.410672853828309</v>
      </c>
      <c r="L37" s="3"/>
      <c r="M37" s="1">
        <v>39.200000000000003</v>
      </c>
      <c r="N37" s="1">
        <v>76.2</v>
      </c>
      <c r="O37" s="2">
        <f t="shared" si="1"/>
        <v>76.2</v>
      </c>
      <c r="P37" s="1">
        <v>500</v>
      </c>
      <c r="Q37" s="1">
        <v>20.6</v>
      </c>
      <c r="R37" s="1" t="s">
        <v>99</v>
      </c>
      <c r="S37" s="1" t="s">
        <v>1415</v>
      </c>
      <c r="T37" s="1" t="s">
        <v>1273</v>
      </c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 t="s">
        <v>985</v>
      </c>
      <c r="C38" s="5">
        <v>46304</v>
      </c>
      <c r="D38" s="5">
        <v>46308</v>
      </c>
      <c r="E38" s="3" t="s">
        <v>1812</v>
      </c>
      <c r="F38" s="3">
        <v>1</v>
      </c>
      <c r="G38" s="3">
        <v>2000</v>
      </c>
      <c r="H38" s="3">
        <v>33.700000000000003</v>
      </c>
      <c r="I38" s="3">
        <v>854</v>
      </c>
      <c r="J38" s="3">
        <v>1</v>
      </c>
      <c r="K38" s="4">
        <f t="shared" si="0"/>
        <v>33.723653395784545</v>
      </c>
      <c r="L38" s="3"/>
      <c r="M38" s="1">
        <v>40.9</v>
      </c>
      <c r="N38" s="1">
        <v>81.599999999999994</v>
      </c>
      <c r="O38" s="2">
        <f t="shared" si="1"/>
        <v>81.599999999999994</v>
      </c>
      <c r="P38" s="1">
        <v>500</v>
      </c>
      <c r="Q38" s="1">
        <v>21.5</v>
      </c>
      <c r="R38" s="1" t="s">
        <v>99</v>
      </c>
      <c r="S38" s="1" t="s">
        <v>1739</v>
      </c>
      <c r="T38" s="1" t="s">
        <v>1273</v>
      </c>
      <c r="U38" s="1"/>
      <c r="V38" s="1"/>
      <c r="W38" s="1" t="s">
        <v>678</v>
      </c>
      <c r="X38" s="1"/>
      <c r="Y38" s="1"/>
      <c r="Z38" s="1"/>
    </row>
    <row r="39" spans="1:26" ht="24.9" customHeight="1" x14ac:dyDescent="0.3">
      <c r="A39" s="3" t="s">
        <v>61</v>
      </c>
      <c r="B39" s="3" t="s">
        <v>1814</v>
      </c>
      <c r="C39" s="5">
        <v>46304</v>
      </c>
      <c r="D39" s="5">
        <v>46308</v>
      </c>
      <c r="E39" s="3" t="s">
        <v>1812</v>
      </c>
      <c r="F39" s="3">
        <v>1</v>
      </c>
      <c r="G39" s="3">
        <v>2000</v>
      </c>
      <c r="H39" s="3">
        <v>33.700000000000003</v>
      </c>
      <c r="I39" s="3">
        <v>854</v>
      </c>
      <c r="J39" s="3">
        <v>1</v>
      </c>
      <c r="K39" s="4">
        <f t="shared" si="0"/>
        <v>33.723653395784545</v>
      </c>
      <c r="L39" s="3"/>
      <c r="M39" s="1">
        <v>40.6</v>
      </c>
      <c r="N39" s="1">
        <v>81.599999999999994</v>
      </c>
      <c r="O39" s="2">
        <f t="shared" si="1"/>
        <v>81.599999999999994</v>
      </c>
      <c r="P39" s="1">
        <v>500</v>
      </c>
      <c r="Q39" s="1">
        <v>21.3</v>
      </c>
      <c r="R39" s="1" t="s">
        <v>99</v>
      </c>
      <c r="S39" s="1" t="s">
        <v>1757</v>
      </c>
      <c r="T39" s="1" t="s">
        <v>1273</v>
      </c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A600-51FF-4D6C-B237-84FA10C02121}">
  <sheetPr codeName="Arkusz22"/>
  <dimension ref="A1:Z59"/>
  <sheetViews>
    <sheetView topLeftCell="A7" workbookViewId="0">
      <selection activeCell="T7" sqref="T7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99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11" t="s">
        <v>105</v>
      </c>
      <c r="C3" s="5">
        <v>46034</v>
      </c>
      <c r="D3" s="5">
        <v>46037</v>
      </c>
      <c r="E3" s="5" t="s">
        <v>100</v>
      </c>
      <c r="F3" s="3">
        <v>2</v>
      </c>
      <c r="G3" s="3">
        <v>13200</v>
      </c>
      <c r="H3" s="3">
        <v>22.4</v>
      </c>
      <c r="I3" s="3">
        <v>5142</v>
      </c>
      <c r="J3" s="3">
        <v>2</v>
      </c>
      <c r="K3" s="4">
        <f>(3600/(I3/8))*J3</f>
        <v>11.201866977829638</v>
      </c>
      <c r="L3" s="3">
        <v>216</v>
      </c>
      <c r="M3" s="1">
        <v>27.8</v>
      </c>
      <c r="N3" s="1">
        <v>55.4</v>
      </c>
      <c r="O3" s="2">
        <f>N3/J3</f>
        <v>27.7</v>
      </c>
      <c r="P3" s="1">
        <v>300</v>
      </c>
      <c r="Q3" s="1">
        <v>9.4499999999999993</v>
      </c>
      <c r="R3" s="1" t="s">
        <v>99</v>
      </c>
      <c r="S3" s="6" t="s">
        <v>101</v>
      </c>
      <c r="T3" s="1" t="s">
        <v>102</v>
      </c>
      <c r="U3" s="1" t="s">
        <v>104</v>
      </c>
      <c r="V3" s="14">
        <v>0.03</v>
      </c>
      <c r="W3" s="1" t="s">
        <v>103</v>
      </c>
      <c r="X3" s="1"/>
      <c r="Y3" s="1"/>
      <c r="Z3" s="1"/>
    </row>
    <row r="4" spans="1:26" ht="24.9" customHeight="1" x14ac:dyDescent="0.3">
      <c r="A4" s="3" t="s">
        <v>26</v>
      </c>
      <c r="B4" s="11" t="s">
        <v>137</v>
      </c>
      <c r="C4" s="5">
        <v>46037</v>
      </c>
      <c r="D4" s="5">
        <v>46042</v>
      </c>
      <c r="E4" s="3" t="s">
        <v>100</v>
      </c>
      <c r="F4" s="3">
        <v>2</v>
      </c>
      <c r="G4" s="3">
        <v>13135</v>
      </c>
      <c r="H4" s="3">
        <v>21.5</v>
      </c>
      <c r="I4" s="3">
        <v>670</v>
      </c>
      <c r="J4" s="3">
        <v>2</v>
      </c>
      <c r="K4" s="4">
        <f t="shared" ref="K4:K59" si="0">(3600/(I4/8))*J4</f>
        <v>85.97014925373135</v>
      </c>
      <c r="L4" s="3">
        <v>52</v>
      </c>
      <c r="M4" s="1">
        <v>27.4</v>
      </c>
      <c r="N4" s="1">
        <v>54.7</v>
      </c>
      <c r="O4" s="2">
        <f t="shared" ref="O4:O59" si="1">N4/J4</f>
        <v>27.35</v>
      </c>
      <c r="P4" s="1">
        <v>300</v>
      </c>
      <c r="Q4" s="1">
        <v>9.4499999999999993</v>
      </c>
      <c r="R4" s="1" t="s">
        <v>99</v>
      </c>
      <c r="S4" s="6" t="s">
        <v>117</v>
      </c>
      <c r="T4" s="1" t="s">
        <v>102</v>
      </c>
      <c r="U4" s="1" t="s">
        <v>138</v>
      </c>
      <c r="V4" s="14">
        <v>0.02</v>
      </c>
      <c r="W4" s="1" t="s">
        <v>103</v>
      </c>
      <c r="X4" s="1" t="s">
        <v>94</v>
      </c>
      <c r="Y4" s="1" t="s">
        <v>120</v>
      </c>
      <c r="Z4" s="1"/>
    </row>
    <row r="5" spans="1:26" ht="24.9" customHeight="1" x14ac:dyDescent="0.3">
      <c r="A5" s="3" t="s">
        <v>27</v>
      </c>
      <c r="B5" s="3" t="s">
        <v>338</v>
      </c>
      <c r="C5" s="5">
        <v>46079</v>
      </c>
      <c r="D5" s="5">
        <v>46091</v>
      </c>
      <c r="E5" s="3" t="s">
        <v>339</v>
      </c>
      <c r="F5" s="3">
        <v>1</v>
      </c>
      <c r="G5" s="3">
        <v>38200</v>
      </c>
      <c r="H5" s="3">
        <v>21.2</v>
      </c>
      <c r="I5" s="3">
        <v>2716</v>
      </c>
      <c r="J5" s="3">
        <v>2</v>
      </c>
      <c r="K5" s="4">
        <f t="shared" si="0"/>
        <v>21.207658321060382</v>
      </c>
      <c r="L5" s="3">
        <v>1416</v>
      </c>
      <c r="M5" s="1">
        <v>40.5</v>
      </c>
      <c r="N5" s="1">
        <v>81</v>
      </c>
      <c r="O5" s="2">
        <f t="shared" si="1"/>
        <v>40.5</v>
      </c>
      <c r="P5" s="1">
        <v>200</v>
      </c>
      <c r="Q5" s="1">
        <v>9.25</v>
      </c>
      <c r="R5" s="1" t="s">
        <v>99</v>
      </c>
      <c r="S5" s="1" t="s">
        <v>243</v>
      </c>
      <c r="T5" s="1" t="s">
        <v>340</v>
      </c>
      <c r="U5" s="1"/>
      <c r="V5" s="1"/>
      <c r="W5" s="1" t="s">
        <v>94</v>
      </c>
      <c r="X5" s="1"/>
      <c r="Y5" s="1"/>
      <c r="Z5" s="1"/>
    </row>
    <row r="6" spans="1:26" ht="24.9" customHeight="1" x14ac:dyDescent="0.3">
      <c r="A6" s="3" t="s">
        <v>28</v>
      </c>
      <c r="B6" s="19" t="s">
        <v>750</v>
      </c>
      <c r="C6" s="5">
        <v>46104</v>
      </c>
      <c r="D6" s="5">
        <v>46119</v>
      </c>
      <c r="E6" s="3" t="s">
        <v>751</v>
      </c>
      <c r="F6" s="3">
        <v>5</v>
      </c>
      <c r="G6" s="3">
        <v>90000</v>
      </c>
      <c r="H6" s="3">
        <v>23.36</v>
      </c>
      <c r="I6" s="3">
        <v>4928</v>
      </c>
      <c r="J6" s="3">
        <v>4</v>
      </c>
      <c r="K6" s="4">
        <f t="shared" si="0"/>
        <v>23.376623376623378</v>
      </c>
      <c r="L6" s="3">
        <v>632</v>
      </c>
      <c r="M6" s="1">
        <v>9.1999999999999993</v>
      </c>
      <c r="N6" s="1">
        <v>38.299999999999997</v>
      </c>
      <c r="O6" s="2">
        <f t="shared" si="1"/>
        <v>9.5749999999999993</v>
      </c>
      <c r="P6" s="1">
        <v>1000</v>
      </c>
      <c r="Q6" s="1">
        <v>10.4</v>
      </c>
      <c r="R6" s="1" t="s">
        <v>99</v>
      </c>
      <c r="S6" s="1" t="s">
        <v>650</v>
      </c>
      <c r="T6" s="1" t="s">
        <v>752</v>
      </c>
      <c r="U6" s="1"/>
      <c r="V6" s="1"/>
      <c r="W6" s="1" t="s">
        <v>94</v>
      </c>
      <c r="X6" s="1" t="s">
        <v>103</v>
      </c>
      <c r="Y6" s="1" t="s">
        <v>120</v>
      </c>
      <c r="Z6" s="1"/>
    </row>
    <row r="7" spans="1:26" ht="24.9" customHeight="1" x14ac:dyDescent="0.3">
      <c r="A7" s="3" t="s">
        <v>29</v>
      </c>
      <c r="B7" s="11" t="s">
        <v>862</v>
      </c>
      <c r="C7" s="5">
        <v>46120</v>
      </c>
      <c r="D7" s="5">
        <v>46122</v>
      </c>
      <c r="E7" s="3" t="s">
        <v>863</v>
      </c>
      <c r="F7" s="3">
        <v>2</v>
      </c>
      <c r="G7" s="3">
        <v>20100</v>
      </c>
      <c r="H7" s="3">
        <v>19.399999999999999</v>
      </c>
      <c r="I7" s="3">
        <v>2922</v>
      </c>
      <c r="J7" s="3">
        <v>2</v>
      </c>
      <c r="K7" s="4">
        <f t="shared" si="0"/>
        <v>19.71252566735113</v>
      </c>
      <c r="L7" s="3"/>
      <c r="M7" s="1">
        <v>27.5</v>
      </c>
      <c r="N7" s="1">
        <v>55</v>
      </c>
      <c r="O7" s="2">
        <f t="shared" si="1"/>
        <v>27.5</v>
      </c>
      <c r="P7" s="1">
        <v>300</v>
      </c>
      <c r="Q7" s="1">
        <v>9.4499999999999993</v>
      </c>
      <c r="R7" s="1" t="s">
        <v>99</v>
      </c>
      <c r="S7" s="1" t="s">
        <v>818</v>
      </c>
      <c r="T7" s="1" t="s">
        <v>102</v>
      </c>
      <c r="U7" s="1" t="s">
        <v>864</v>
      </c>
      <c r="V7" s="14">
        <v>0.02</v>
      </c>
      <c r="W7" s="1" t="s">
        <v>103</v>
      </c>
      <c r="X7" s="1"/>
      <c r="Y7" s="1"/>
      <c r="Z7" s="1"/>
    </row>
    <row r="8" spans="1:26" ht="24.9" customHeight="1" x14ac:dyDescent="0.3">
      <c r="A8" s="3" t="s">
        <v>30</v>
      </c>
      <c r="B8" s="11" t="s">
        <v>887</v>
      </c>
      <c r="C8" s="5">
        <v>46122</v>
      </c>
      <c r="D8" s="5">
        <v>46126</v>
      </c>
      <c r="E8" s="5" t="s">
        <v>863</v>
      </c>
      <c r="F8" s="3">
        <v>2</v>
      </c>
      <c r="G8" s="3">
        <v>2005</v>
      </c>
      <c r="H8" s="3">
        <v>18.899999999999999</v>
      </c>
      <c r="I8" s="3">
        <v>3047</v>
      </c>
      <c r="J8" s="3">
        <v>2</v>
      </c>
      <c r="K8" s="4">
        <f t="shared" si="0"/>
        <v>18.903839842468003</v>
      </c>
      <c r="L8" s="3"/>
      <c r="M8" s="1">
        <v>27.3</v>
      </c>
      <c r="N8" s="1">
        <v>54.6</v>
      </c>
      <c r="O8" s="2">
        <f t="shared" si="1"/>
        <v>27.3</v>
      </c>
      <c r="P8" s="1">
        <v>300</v>
      </c>
      <c r="Q8" s="1">
        <v>9.4499999999999993</v>
      </c>
      <c r="R8" s="1" t="s">
        <v>99</v>
      </c>
      <c r="S8" s="1" t="s">
        <v>817</v>
      </c>
      <c r="T8" s="1" t="s">
        <v>102</v>
      </c>
      <c r="U8" s="1" t="s">
        <v>104</v>
      </c>
      <c r="V8" s="27" t="s">
        <v>888</v>
      </c>
      <c r="W8" s="1"/>
      <c r="X8" s="1"/>
      <c r="Y8" s="1"/>
      <c r="Z8" s="1"/>
    </row>
    <row r="9" spans="1:26" ht="24.9" customHeight="1" x14ac:dyDescent="0.3">
      <c r="A9" s="3" t="s">
        <v>31</v>
      </c>
      <c r="B9" s="11" t="s">
        <v>137</v>
      </c>
      <c r="C9" s="5">
        <v>46126</v>
      </c>
      <c r="D9" s="5">
        <v>46128</v>
      </c>
      <c r="E9" s="3" t="s">
        <v>863</v>
      </c>
      <c r="F9" s="3">
        <v>2</v>
      </c>
      <c r="G9" s="3">
        <v>21000</v>
      </c>
      <c r="H9" s="3">
        <v>18.899999999999999</v>
      </c>
      <c r="I9" s="3">
        <v>3047</v>
      </c>
      <c r="J9" s="3">
        <v>2</v>
      </c>
      <c r="K9" s="4">
        <f t="shared" si="0"/>
        <v>18.903839842468003</v>
      </c>
      <c r="L9" s="3"/>
      <c r="M9" s="1">
        <v>27.2</v>
      </c>
      <c r="N9" s="1">
        <v>54.4</v>
      </c>
      <c r="O9" s="2">
        <f t="shared" si="1"/>
        <v>27.2</v>
      </c>
      <c r="P9" s="1">
        <v>300</v>
      </c>
      <c r="Q9" s="1">
        <v>9.4499999999999993</v>
      </c>
      <c r="R9" s="1" t="s">
        <v>99</v>
      </c>
      <c r="S9" s="1" t="s">
        <v>832</v>
      </c>
      <c r="T9" s="1" t="s">
        <v>102</v>
      </c>
      <c r="U9" s="1" t="s">
        <v>138</v>
      </c>
      <c r="V9" s="14">
        <v>0.02</v>
      </c>
      <c r="W9" s="1"/>
      <c r="X9" s="1"/>
      <c r="Y9" s="1"/>
      <c r="Z9" s="1"/>
    </row>
    <row r="10" spans="1:26" ht="24.9" customHeight="1" x14ac:dyDescent="0.3">
      <c r="A10" s="3" t="s">
        <v>32</v>
      </c>
      <c r="B10" s="3" t="s">
        <v>338</v>
      </c>
      <c r="C10" s="5">
        <v>46156</v>
      </c>
      <c r="D10" s="5">
        <v>46169</v>
      </c>
      <c r="E10" s="3" t="s">
        <v>1075</v>
      </c>
      <c r="F10" s="3">
        <v>2</v>
      </c>
      <c r="G10" s="3">
        <v>60282</v>
      </c>
      <c r="H10" s="3">
        <v>20.3</v>
      </c>
      <c r="I10" s="3">
        <v>2837</v>
      </c>
      <c r="J10" s="3">
        <v>2</v>
      </c>
      <c r="K10" s="4">
        <f t="shared" si="0"/>
        <v>20.303137116672541</v>
      </c>
      <c r="L10" s="3"/>
      <c r="M10" s="1">
        <v>41</v>
      </c>
      <c r="N10" s="1">
        <v>82.2</v>
      </c>
      <c r="O10" s="2">
        <f t="shared" si="1"/>
        <v>41.1</v>
      </c>
      <c r="P10" s="1">
        <v>200</v>
      </c>
      <c r="Q10" s="1">
        <v>9.25</v>
      </c>
      <c r="R10" s="1" t="s">
        <v>99</v>
      </c>
      <c r="S10" s="1" t="s">
        <v>1017</v>
      </c>
      <c r="T10" s="1" t="s">
        <v>1076</v>
      </c>
      <c r="U10" s="1"/>
      <c r="V10" s="1"/>
      <c r="W10" s="1" t="s">
        <v>678</v>
      </c>
      <c r="X10" s="1" t="s">
        <v>94</v>
      </c>
      <c r="Y10" s="1" t="s">
        <v>120</v>
      </c>
      <c r="Z10" s="1"/>
    </row>
    <row r="11" spans="1:26" ht="24.9" customHeight="1" x14ac:dyDescent="0.3">
      <c r="A11" s="3" t="s">
        <v>33</v>
      </c>
      <c r="B11" s="11" t="s">
        <v>1134</v>
      </c>
      <c r="C11" s="5">
        <v>46169</v>
      </c>
      <c r="D11" s="5">
        <v>46227</v>
      </c>
      <c r="E11" s="3" t="s">
        <v>1341</v>
      </c>
      <c r="F11" s="3">
        <v>2</v>
      </c>
      <c r="G11" s="3">
        <v>43780</v>
      </c>
      <c r="H11" s="3">
        <v>18.899999999999999</v>
      </c>
      <c r="I11" s="3">
        <v>3047</v>
      </c>
      <c r="J11" s="3">
        <v>2</v>
      </c>
      <c r="K11" s="4">
        <f t="shared" si="0"/>
        <v>18.903839842468003</v>
      </c>
      <c r="L11" s="3"/>
      <c r="M11" s="1">
        <v>27.3</v>
      </c>
      <c r="N11" s="1">
        <v>54.6</v>
      </c>
      <c r="O11" s="2">
        <f t="shared" si="1"/>
        <v>27.3</v>
      </c>
      <c r="P11" s="1">
        <v>300</v>
      </c>
      <c r="Q11" s="1">
        <v>9.4499999999999993</v>
      </c>
      <c r="R11" s="1" t="s">
        <v>99</v>
      </c>
      <c r="S11" s="1" t="s">
        <v>1017</v>
      </c>
      <c r="T11" s="1" t="s">
        <v>102</v>
      </c>
      <c r="U11" s="1" t="s">
        <v>864</v>
      </c>
      <c r="V11" s="14">
        <v>0.02</v>
      </c>
      <c r="W11" s="1" t="s">
        <v>1124</v>
      </c>
      <c r="X11" s="1" t="s">
        <v>678</v>
      </c>
      <c r="Y11" s="1" t="s">
        <v>151</v>
      </c>
      <c r="Z11" s="1"/>
    </row>
    <row r="12" spans="1:26" ht="24.9" customHeight="1" x14ac:dyDescent="0.3">
      <c r="A12" s="3" t="s">
        <v>34</v>
      </c>
      <c r="B12" s="11" t="s">
        <v>862</v>
      </c>
      <c r="C12" s="5">
        <v>46223</v>
      </c>
      <c r="D12" s="5">
        <v>46230</v>
      </c>
      <c r="E12" s="3" t="s">
        <v>1341</v>
      </c>
      <c r="F12" s="3">
        <v>8</v>
      </c>
      <c r="G12" s="3">
        <v>43780</v>
      </c>
      <c r="H12" s="3">
        <v>15.6</v>
      </c>
      <c r="I12" s="3">
        <v>3692</v>
      </c>
      <c r="J12" s="3">
        <v>2</v>
      </c>
      <c r="K12" s="4">
        <f t="shared" si="0"/>
        <v>15.601300108342361</v>
      </c>
      <c r="L12" s="3"/>
      <c r="M12" s="1">
        <v>27.7</v>
      </c>
      <c r="N12" s="1">
        <v>55.4</v>
      </c>
      <c r="O12" s="2">
        <f t="shared" si="1"/>
        <v>27.7</v>
      </c>
      <c r="P12" s="1">
        <v>300</v>
      </c>
      <c r="Q12" s="1">
        <v>9.4499999999999993</v>
      </c>
      <c r="R12" s="1" t="s">
        <v>99</v>
      </c>
      <c r="S12" s="1" t="s">
        <v>1252</v>
      </c>
      <c r="T12" s="1" t="s">
        <v>102</v>
      </c>
      <c r="U12" s="1" t="s">
        <v>864</v>
      </c>
      <c r="V12" s="14">
        <v>0.02</v>
      </c>
      <c r="W12" s="1" t="s">
        <v>94</v>
      </c>
      <c r="X12" s="1"/>
      <c r="Y12" s="1"/>
      <c r="Z12" s="1"/>
    </row>
    <row r="13" spans="1:26" ht="24.9" customHeight="1" x14ac:dyDescent="0.3">
      <c r="A13" s="3" t="s">
        <v>35</v>
      </c>
      <c r="B13" s="11" t="s">
        <v>137</v>
      </c>
      <c r="C13" s="5">
        <v>46230</v>
      </c>
      <c r="D13" s="5">
        <v>46232</v>
      </c>
      <c r="E13" s="3" t="s">
        <v>1341</v>
      </c>
      <c r="F13" s="3">
        <v>8</v>
      </c>
      <c r="G13" s="3">
        <v>19028</v>
      </c>
      <c r="H13" s="3">
        <v>15.6</v>
      </c>
      <c r="I13" s="3">
        <v>3692</v>
      </c>
      <c r="J13" s="3">
        <v>2</v>
      </c>
      <c r="K13" s="4">
        <f t="shared" si="0"/>
        <v>15.601300108342361</v>
      </c>
      <c r="L13" s="3"/>
      <c r="M13" s="1">
        <v>27.4</v>
      </c>
      <c r="N13" s="1">
        <v>55</v>
      </c>
      <c r="O13" s="2">
        <f t="shared" si="1"/>
        <v>27.5</v>
      </c>
      <c r="P13" s="1">
        <v>300</v>
      </c>
      <c r="Q13" s="1">
        <v>9.4499999999999993</v>
      </c>
      <c r="R13" s="1" t="s">
        <v>99</v>
      </c>
      <c r="S13" s="1" t="s">
        <v>1270</v>
      </c>
      <c r="T13" s="1" t="s">
        <v>102</v>
      </c>
      <c r="U13" s="1" t="s">
        <v>138</v>
      </c>
      <c r="V13" s="14">
        <v>0.02</v>
      </c>
      <c r="W13" s="1"/>
      <c r="X13" s="1"/>
      <c r="Y13" s="1"/>
      <c r="Z13" s="1"/>
    </row>
    <row r="14" spans="1:26" ht="24.9" customHeight="1" x14ac:dyDescent="0.3">
      <c r="A14" s="3" t="s">
        <v>36</v>
      </c>
      <c r="B14" s="11" t="s">
        <v>105</v>
      </c>
      <c r="C14" s="5">
        <v>46232</v>
      </c>
      <c r="D14" s="5">
        <v>46237</v>
      </c>
      <c r="E14" s="3" t="s">
        <v>1341</v>
      </c>
      <c r="F14" s="3">
        <v>8</v>
      </c>
      <c r="G14" s="3">
        <v>19130</v>
      </c>
      <c r="H14" s="3">
        <v>15.6</v>
      </c>
      <c r="I14" s="3">
        <v>3692</v>
      </c>
      <c r="J14" s="3">
        <v>2</v>
      </c>
      <c r="K14" s="4">
        <f t="shared" si="0"/>
        <v>15.601300108342361</v>
      </c>
      <c r="L14" s="3"/>
      <c r="M14" s="1">
        <v>27.8</v>
      </c>
      <c r="N14" s="1">
        <v>55.6</v>
      </c>
      <c r="O14" s="2">
        <f t="shared" si="1"/>
        <v>27.8</v>
      </c>
      <c r="P14" s="1">
        <v>300</v>
      </c>
      <c r="Q14" s="1">
        <v>9.4499999999999993</v>
      </c>
      <c r="R14" s="1" t="s">
        <v>99</v>
      </c>
      <c r="S14" s="1" t="s">
        <v>1274</v>
      </c>
      <c r="T14" s="1" t="s">
        <v>102</v>
      </c>
      <c r="U14" s="1" t="s">
        <v>104</v>
      </c>
      <c r="V14" s="14">
        <v>0.04</v>
      </c>
      <c r="W14" s="1"/>
      <c r="X14" s="1" t="s">
        <v>103</v>
      </c>
      <c r="Y14" s="1" t="s">
        <v>120</v>
      </c>
      <c r="Z14" s="1"/>
    </row>
    <row r="15" spans="1:26" ht="24.9" customHeight="1" x14ac:dyDescent="0.3">
      <c r="A15" s="3" t="s">
        <v>37</v>
      </c>
      <c r="B15" s="3" t="s">
        <v>750</v>
      </c>
      <c r="C15" s="5">
        <v>46232</v>
      </c>
      <c r="D15" s="5">
        <v>46244</v>
      </c>
      <c r="E15" s="3" t="s">
        <v>1380</v>
      </c>
      <c r="F15" s="3">
        <v>5</v>
      </c>
      <c r="G15" s="3">
        <v>79000</v>
      </c>
      <c r="H15" s="3">
        <v>21.97</v>
      </c>
      <c r="I15" s="3">
        <v>5243</v>
      </c>
      <c r="J15" s="3">
        <v>4</v>
      </c>
      <c r="K15" s="4">
        <f t="shared" si="0"/>
        <v>21.972153347320237</v>
      </c>
      <c r="L15" s="3">
        <v>1756</v>
      </c>
      <c r="M15" s="1">
        <v>9</v>
      </c>
      <c r="N15" s="1">
        <v>37.6</v>
      </c>
      <c r="O15" s="2">
        <f t="shared" si="1"/>
        <v>9.4</v>
      </c>
      <c r="P15" s="1">
        <v>1000</v>
      </c>
      <c r="Q15" s="1">
        <v>10</v>
      </c>
      <c r="R15" s="1" t="s">
        <v>99</v>
      </c>
      <c r="S15" s="1" t="s">
        <v>1252</v>
      </c>
      <c r="T15" s="1" t="s">
        <v>1076</v>
      </c>
      <c r="U15" s="1"/>
      <c r="V15" s="1"/>
      <c r="W15" s="1" t="s">
        <v>94</v>
      </c>
      <c r="X15" s="1"/>
      <c r="Y15" s="1"/>
      <c r="Z15" s="1"/>
    </row>
    <row r="16" spans="1:26" ht="24.9" customHeight="1" x14ac:dyDescent="0.3">
      <c r="A16" s="3" t="s">
        <v>38</v>
      </c>
      <c r="B16" s="3" t="s">
        <v>338</v>
      </c>
      <c r="C16" s="5">
        <v>46237</v>
      </c>
      <c r="D16" s="5">
        <v>46259</v>
      </c>
      <c r="E16" s="3" t="s">
        <v>1395</v>
      </c>
      <c r="F16" s="3">
        <v>8</v>
      </c>
      <c r="G16" s="3">
        <v>79000</v>
      </c>
      <c r="H16" s="3">
        <v>23.2</v>
      </c>
      <c r="I16" s="3">
        <v>2482</v>
      </c>
      <c r="J16" s="3">
        <v>2</v>
      </c>
      <c r="K16" s="4">
        <f t="shared" si="0"/>
        <v>23.207091055600323</v>
      </c>
      <c r="L16" s="3"/>
      <c r="M16" s="1">
        <v>40.6</v>
      </c>
      <c r="N16" s="1">
        <v>81.2</v>
      </c>
      <c r="O16" s="2">
        <f t="shared" si="1"/>
        <v>40.6</v>
      </c>
      <c r="P16" s="1">
        <v>200</v>
      </c>
      <c r="Q16" s="1">
        <v>9.25</v>
      </c>
      <c r="R16" s="1" t="s">
        <v>99</v>
      </c>
      <c r="S16" s="1" t="s">
        <v>1392</v>
      </c>
      <c r="T16" s="1" t="s">
        <v>1076</v>
      </c>
      <c r="U16" s="1"/>
      <c r="V16" s="1"/>
      <c r="W16" s="1" t="s">
        <v>103</v>
      </c>
      <c r="X16" s="1"/>
      <c r="Y16" s="1"/>
      <c r="Z16" s="1"/>
    </row>
    <row r="17" spans="1:26" ht="24.9" customHeight="1" x14ac:dyDescent="0.3">
      <c r="A17" s="3" t="s">
        <v>39</v>
      </c>
      <c r="B17" s="11" t="s">
        <v>105</v>
      </c>
      <c r="C17" s="5">
        <v>46281</v>
      </c>
      <c r="D17" s="5">
        <v>46286</v>
      </c>
      <c r="E17" s="3" t="s">
        <v>1582</v>
      </c>
      <c r="F17" s="3">
        <v>8</v>
      </c>
      <c r="G17" s="3">
        <v>21185</v>
      </c>
      <c r="H17" s="3">
        <v>15.9</v>
      </c>
      <c r="I17" s="3">
        <v>3620</v>
      </c>
      <c r="J17" s="3">
        <v>2</v>
      </c>
      <c r="K17" s="4">
        <f t="shared" si="0"/>
        <v>15.911602209944752</v>
      </c>
      <c r="L17" s="3">
        <v>129</v>
      </c>
      <c r="M17" s="1">
        <v>27.5</v>
      </c>
      <c r="N17" s="1">
        <v>55</v>
      </c>
      <c r="O17" s="2">
        <f t="shared" si="1"/>
        <v>27.5</v>
      </c>
      <c r="P17" s="1">
        <v>300</v>
      </c>
      <c r="Q17" s="1">
        <v>9.4499999999999993</v>
      </c>
      <c r="R17" s="1" t="s">
        <v>99</v>
      </c>
      <c r="S17" s="1" t="s">
        <v>1533</v>
      </c>
      <c r="T17" s="1" t="s">
        <v>102</v>
      </c>
      <c r="U17" s="1" t="s">
        <v>104</v>
      </c>
      <c r="V17" s="14">
        <v>0.04</v>
      </c>
      <c r="W17" s="1" t="s">
        <v>94</v>
      </c>
      <c r="X17" s="1" t="s">
        <v>678</v>
      </c>
      <c r="Y17" s="1"/>
      <c r="Z17" s="1"/>
    </row>
    <row r="18" spans="1:26" ht="24.9" customHeight="1" x14ac:dyDescent="0.3">
      <c r="A18" s="3" t="s">
        <v>40</v>
      </c>
      <c r="B18" s="11" t="s">
        <v>137</v>
      </c>
      <c r="C18" s="5">
        <v>46286</v>
      </c>
      <c r="D18" s="5">
        <v>46289</v>
      </c>
      <c r="E18" s="3" t="s">
        <v>1582</v>
      </c>
      <c r="F18" s="3">
        <v>8</v>
      </c>
      <c r="G18" s="3">
        <v>22285</v>
      </c>
      <c r="H18" s="3">
        <v>15.6</v>
      </c>
      <c r="I18" s="3">
        <v>3690</v>
      </c>
      <c r="J18" s="3">
        <v>2</v>
      </c>
      <c r="K18" s="4">
        <f t="shared" si="0"/>
        <v>15.609756097560975</v>
      </c>
      <c r="L18" s="3"/>
      <c r="M18" s="1">
        <v>27.6</v>
      </c>
      <c r="N18" s="1">
        <v>55.5</v>
      </c>
      <c r="O18" s="2">
        <f t="shared" si="1"/>
        <v>27.75</v>
      </c>
      <c r="P18" s="1">
        <v>300</v>
      </c>
      <c r="Q18" s="1">
        <v>9.4499999999999993</v>
      </c>
      <c r="R18" s="1" t="s">
        <v>99</v>
      </c>
      <c r="S18" s="1" t="s">
        <v>1534</v>
      </c>
      <c r="T18" s="1" t="s">
        <v>102</v>
      </c>
      <c r="U18" s="1" t="s">
        <v>138</v>
      </c>
      <c r="V18" s="14">
        <v>0.02</v>
      </c>
      <c r="W18" s="1" t="s">
        <v>678</v>
      </c>
      <c r="X18" s="1"/>
      <c r="Y18" s="1"/>
      <c r="Z18" s="1"/>
    </row>
    <row r="19" spans="1:26" ht="24.9" customHeight="1" x14ac:dyDescent="0.3">
      <c r="A19" s="3" t="s">
        <v>41</v>
      </c>
      <c r="B19" s="11" t="s">
        <v>862</v>
      </c>
      <c r="C19" s="5">
        <v>46289</v>
      </c>
      <c r="D19" s="5">
        <v>46295</v>
      </c>
      <c r="E19" s="3" t="s">
        <v>1582</v>
      </c>
      <c r="F19" s="3">
        <v>8</v>
      </c>
      <c r="G19" s="3">
        <v>26100</v>
      </c>
      <c r="H19" s="3">
        <v>15.6</v>
      </c>
      <c r="I19" s="3">
        <v>3690</v>
      </c>
      <c r="J19" s="3">
        <v>2</v>
      </c>
      <c r="K19" s="4">
        <f t="shared" si="0"/>
        <v>15.609756097560975</v>
      </c>
      <c r="L19" s="3"/>
      <c r="M19" s="1">
        <v>27.6</v>
      </c>
      <c r="N19" s="1">
        <v>55.4</v>
      </c>
      <c r="O19" s="2">
        <f t="shared" si="1"/>
        <v>27.7</v>
      </c>
      <c r="P19" s="1">
        <v>300</v>
      </c>
      <c r="Q19" s="1">
        <v>9.4499999999999993</v>
      </c>
      <c r="R19" s="1" t="s">
        <v>99</v>
      </c>
      <c r="S19" s="1" t="s">
        <v>1528</v>
      </c>
      <c r="T19" s="1" t="s">
        <v>102</v>
      </c>
      <c r="U19" s="1" t="s">
        <v>864</v>
      </c>
      <c r="V19" s="14">
        <v>0.02</v>
      </c>
      <c r="W19" s="1" t="s">
        <v>678</v>
      </c>
      <c r="X19" s="1" t="s">
        <v>678</v>
      </c>
      <c r="Y19" s="1" t="s">
        <v>120</v>
      </c>
      <c r="Z19" s="1"/>
    </row>
    <row r="20" spans="1:26" ht="24.9" customHeight="1" x14ac:dyDescent="0.3">
      <c r="A20" s="3" t="s">
        <v>42</v>
      </c>
      <c r="B20" s="3" t="s">
        <v>750</v>
      </c>
      <c r="C20" s="5">
        <v>46297</v>
      </c>
      <c r="D20" s="5">
        <v>46307</v>
      </c>
      <c r="E20" s="3" t="s">
        <v>1764</v>
      </c>
      <c r="F20" s="3">
        <v>5</v>
      </c>
      <c r="G20" s="3">
        <v>65000</v>
      </c>
      <c r="H20" s="3">
        <v>18</v>
      </c>
      <c r="I20" s="3">
        <v>6400</v>
      </c>
      <c r="J20" s="3">
        <v>4</v>
      </c>
      <c r="K20" s="4">
        <f t="shared" si="0"/>
        <v>18</v>
      </c>
      <c r="L20" s="3">
        <v>250</v>
      </c>
      <c r="M20" s="1">
        <v>9.1</v>
      </c>
      <c r="N20" s="1">
        <v>36.799999999999997</v>
      </c>
      <c r="O20" s="2">
        <f t="shared" si="1"/>
        <v>9.1999999999999993</v>
      </c>
      <c r="P20" s="1">
        <v>1000</v>
      </c>
      <c r="Q20" s="1">
        <v>10</v>
      </c>
      <c r="R20" s="1" t="s">
        <v>99</v>
      </c>
      <c r="S20" s="1" t="s">
        <v>1739</v>
      </c>
      <c r="T20" s="1" t="s">
        <v>340</v>
      </c>
      <c r="U20" s="1"/>
      <c r="V20" s="1"/>
      <c r="W20" s="1" t="s">
        <v>678</v>
      </c>
      <c r="X20" s="1"/>
      <c r="Y20" s="1"/>
      <c r="Z20" s="1"/>
    </row>
    <row r="21" spans="1:26" ht="24.9" customHeight="1" x14ac:dyDescent="0.3">
      <c r="A21" s="3" t="s">
        <v>43</v>
      </c>
      <c r="B21" s="3" t="s">
        <v>338</v>
      </c>
      <c r="C21" s="5">
        <v>46297</v>
      </c>
      <c r="D21" s="3"/>
      <c r="E21" s="3" t="s">
        <v>1770</v>
      </c>
      <c r="F21" s="3">
        <v>7</v>
      </c>
      <c r="G21" s="3"/>
      <c r="H21" s="3"/>
      <c r="I21" s="3"/>
      <c r="J21" s="3">
        <v>2</v>
      </c>
      <c r="K21" s="4" t="e">
        <f t="shared" si="0"/>
        <v>#DIV/0!</v>
      </c>
      <c r="L21" s="3"/>
      <c r="M21" s="1">
        <v>41.3</v>
      </c>
      <c r="N21" s="1">
        <v>82.7</v>
      </c>
      <c r="O21" s="2">
        <f t="shared" si="1"/>
        <v>41.35</v>
      </c>
      <c r="P21" s="1">
        <v>200</v>
      </c>
      <c r="Q21" s="1">
        <v>9.25</v>
      </c>
      <c r="R21" s="1" t="s">
        <v>99</v>
      </c>
      <c r="S21" s="1" t="s">
        <v>1739</v>
      </c>
      <c r="T21" s="1" t="s">
        <v>340</v>
      </c>
      <c r="U21" s="1"/>
      <c r="V21" s="1"/>
      <c r="W21" s="1" t="s">
        <v>90</v>
      </c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67CA-54E9-4BF0-8A6F-E58E3A41AD86}">
  <sheetPr codeName="Arkusz23"/>
  <dimension ref="A1:Z59"/>
  <sheetViews>
    <sheetView workbookViewId="0">
      <selection activeCell="Z6" sqref="Z6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/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95</v>
      </c>
      <c r="C3" s="5">
        <v>46034</v>
      </c>
      <c r="D3" s="5">
        <v>46043</v>
      </c>
      <c r="E3" s="13" t="s">
        <v>96</v>
      </c>
      <c r="F3" s="3">
        <v>6</v>
      </c>
      <c r="G3" s="3">
        <v>155400</v>
      </c>
      <c r="H3" s="3">
        <v>19.68</v>
      </c>
      <c r="I3" s="3">
        <v>17560</v>
      </c>
      <c r="J3" s="3">
        <v>12</v>
      </c>
      <c r="K3" s="4">
        <f>(3600/(I3/8))*J3</f>
        <v>19.681093394077447</v>
      </c>
      <c r="L3" s="3"/>
      <c r="M3" s="1">
        <v>2.2000000000000002</v>
      </c>
      <c r="N3" s="1">
        <v>33.299999999999997</v>
      </c>
      <c r="O3" s="2">
        <f>N3/J3</f>
        <v>2.7749999999999999</v>
      </c>
      <c r="P3" s="1">
        <v>1400</v>
      </c>
      <c r="Q3" s="1">
        <v>3.2</v>
      </c>
      <c r="R3" s="1" t="s">
        <v>87</v>
      </c>
      <c r="S3" s="6" t="s">
        <v>88</v>
      </c>
      <c r="T3" s="1" t="s">
        <v>97</v>
      </c>
      <c r="U3" s="1" t="s">
        <v>98</v>
      </c>
      <c r="V3" s="14">
        <v>0.01</v>
      </c>
      <c r="W3" s="1" t="s">
        <v>94</v>
      </c>
      <c r="X3" s="1" t="s">
        <v>156</v>
      </c>
      <c r="Y3" s="1" t="s">
        <v>151</v>
      </c>
      <c r="Z3" s="1"/>
    </row>
    <row r="4" spans="1:26" ht="24.9" customHeight="1" x14ac:dyDescent="0.3">
      <c r="A4" s="3" t="s">
        <v>26</v>
      </c>
      <c r="B4" s="3" t="s">
        <v>313</v>
      </c>
      <c r="C4" s="5">
        <v>46072</v>
      </c>
      <c r="D4" s="5">
        <v>46079</v>
      </c>
      <c r="E4" s="3" t="s">
        <v>314</v>
      </c>
      <c r="F4" s="3">
        <v>5</v>
      </c>
      <c r="G4" s="3">
        <v>151200</v>
      </c>
      <c r="H4" s="3">
        <v>19.13</v>
      </c>
      <c r="I4" s="3">
        <v>18065</v>
      </c>
      <c r="J4" s="3">
        <v>12</v>
      </c>
      <c r="K4" s="4">
        <f t="shared" ref="K4:K59" si="0">(3600/(I4/8))*J4</f>
        <v>19.130916136174925</v>
      </c>
      <c r="L4" s="3">
        <v>31020</v>
      </c>
      <c r="M4" s="1">
        <v>2.1</v>
      </c>
      <c r="N4" s="1">
        <v>32.6</v>
      </c>
      <c r="O4" s="2">
        <f t="shared" ref="O4:O59" si="1">N4/J4</f>
        <v>2.7166666666666668</v>
      </c>
      <c r="P4" s="1">
        <v>1400</v>
      </c>
      <c r="Q4" s="1">
        <v>3.2</v>
      </c>
      <c r="R4" s="1" t="s">
        <v>87</v>
      </c>
      <c r="S4" s="6" t="s">
        <v>243</v>
      </c>
      <c r="T4" s="1" t="s">
        <v>97</v>
      </c>
      <c r="U4" s="1" t="s">
        <v>98</v>
      </c>
      <c r="V4" s="14">
        <v>0.01</v>
      </c>
      <c r="W4" s="1" t="s">
        <v>315</v>
      </c>
      <c r="X4" s="1" t="s">
        <v>94</v>
      </c>
      <c r="Y4" s="1" t="s">
        <v>120</v>
      </c>
      <c r="Z4" s="1" t="s">
        <v>330</v>
      </c>
    </row>
    <row r="5" spans="1:26" ht="24.9" customHeight="1" x14ac:dyDescent="0.3">
      <c r="A5" s="3" t="s">
        <v>27</v>
      </c>
      <c r="B5" s="3"/>
      <c r="C5" s="3"/>
      <c r="D5" s="3"/>
      <c r="E5" s="3"/>
      <c r="F5" s="3"/>
      <c r="G5" s="3"/>
      <c r="H5" s="3"/>
      <c r="I5" s="3"/>
      <c r="J5" s="3"/>
      <c r="K5" s="4" t="e">
        <f t="shared" si="0"/>
        <v>#DIV/0!</v>
      </c>
      <c r="L5" s="3"/>
      <c r="M5" s="1"/>
      <c r="N5" s="1"/>
      <c r="O5" s="2" t="e">
        <f t="shared" si="1"/>
        <v>#DIV/0!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9" customHeight="1" x14ac:dyDescent="0.3">
      <c r="A6" s="3" t="s">
        <v>28</v>
      </c>
      <c r="B6" s="3"/>
      <c r="C6" s="3"/>
      <c r="D6" s="3"/>
      <c r="E6" s="3"/>
      <c r="F6" s="3"/>
      <c r="G6" s="3"/>
      <c r="H6" s="3"/>
      <c r="I6" s="3"/>
      <c r="J6" s="3"/>
      <c r="K6" s="4" t="e">
        <f t="shared" si="0"/>
        <v>#DIV/0!</v>
      </c>
      <c r="L6" s="3"/>
      <c r="M6" s="1"/>
      <c r="N6" s="1"/>
      <c r="O6" s="2" t="e">
        <f t="shared" si="1"/>
        <v>#DIV/0!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9" customHeight="1" x14ac:dyDescent="0.3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4" t="e">
        <f t="shared" si="0"/>
        <v>#DIV/0!</v>
      </c>
      <c r="L7" s="3"/>
      <c r="M7" s="1"/>
      <c r="N7" s="1"/>
      <c r="O7" s="2" t="e">
        <f t="shared" si="1"/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9" customHeight="1" x14ac:dyDescent="0.3">
      <c r="A8" s="3" t="s">
        <v>30</v>
      </c>
      <c r="B8" s="3"/>
      <c r="C8" s="5"/>
      <c r="D8" s="5"/>
      <c r="E8" s="5"/>
      <c r="F8" s="3"/>
      <c r="G8" s="3"/>
      <c r="H8" s="3"/>
      <c r="I8" s="3"/>
      <c r="J8" s="3"/>
      <c r="K8" s="4" t="e">
        <f t="shared" si="0"/>
        <v>#DIV/0!</v>
      </c>
      <c r="L8" s="3"/>
      <c r="M8" s="1"/>
      <c r="N8" s="1"/>
      <c r="O8" s="2" t="e">
        <f t="shared" si="1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3"/>
      <c r="G9" s="3"/>
      <c r="H9" s="3"/>
      <c r="I9" s="3"/>
      <c r="J9" s="3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3"/>
      <c r="G12" s="3"/>
      <c r="H12" s="3"/>
      <c r="I12" s="3"/>
      <c r="J12" s="3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3"/>
      <c r="G13" s="3"/>
      <c r="H13" s="3"/>
      <c r="I13" s="3"/>
      <c r="J13" s="3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3"/>
      <c r="G14" s="3"/>
      <c r="H14" s="3"/>
      <c r="I14" s="3"/>
      <c r="J14" s="3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3"/>
      <c r="G22" s="3"/>
      <c r="H22" s="3"/>
      <c r="I22" s="3"/>
      <c r="J22" s="3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19B7-389A-4284-9E07-B546F94A38EF}">
  <sheetPr codeName="Arkusz24"/>
  <dimension ref="A1:Z59"/>
  <sheetViews>
    <sheetView workbookViewId="0">
      <selection activeCell="F10" sqref="F10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/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11" t="s">
        <v>91</v>
      </c>
      <c r="C3" s="5">
        <v>45669</v>
      </c>
      <c r="D3" s="5">
        <v>46036</v>
      </c>
      <c r="E3" s="5"/>
      <c r="F3" s="12">
        <v>4</v>
      </c>
      <c r="G3" s="3">
        <v>12000</v>
      </c>
      <c r="H3" s="3">
        <v>37</v>
      </c>
      <c r="I3" s="3">
        <v>389</v>
      </c>
      <c r="J3" s="12">
        <v>4</v>
      </c>
      <c r="K3" s="4">
        <f>(3600/(I3/8))*J3</f>
        <v>296.14395886889463</v>
      </c>
      <c r="L3" s="3">
        <v>1312</v>
      </c>
      <c r="M3" s="1">
        <v>5.7</v>
      </c>
      <c r="N3" s="1">
        <v>25.1</v>
      </c>
      <c r="O3" s="2">
        <f>N3/J3</f>
        <v>6.2750000000000004</v>
      </c>
      <c r="P3" s="1">
        <v>1300</v>
      </c>
      <c r="Q3" s="1">
        <v>8</v>
      </c>
      <c r="R3" s="1" t="s">
        <v>92</v>
      </c>
      <c r="S3" s="6" t="s">
        <v>88</v>
      </c>
      <c r="T3" s="1" t="s">
        <v>93</v>
      </c>
      <c r="U3" s="1"/>
      <c r="V3" s="1"/>
      <c r="W3" s="1" t="s">
        <v>94</v>
      </c>
      <c r="X3" s="1" t="s">
        <v>103</v>
      </c>
      <c r="Y3" s="1" t="s">
        <v>120</v>
      </c>
      <c r="Z3" s="1"/>
    </row>
    <row r="4" spans="1:26" ht="24.9" customHeight="1" x14ac:dyDescent="0.3">
      <c r="A4" s="3" t="s">
        <v>26</v>
      </c>
      <c r="B4" s="19" t="s">
        <v>91</v>
      </c>
      <c r="C4" s="5">
        <v>46217</v>
      </c>
      <c r="D4" s="5">
        <v>46230</v>
      </c>
      <c r="E4" s="3" t="s">
        <v>1315</v>
      </c>
      <c r="F4" s="12">
        <v>5</v>
      </c>
      <c r="G4" s="3">
        <v>65000</v>
      </c>
      <c r="H4" s="3">
        <v>34.369999999999997</v>
      </c>
      <c r="I4" s="3">
        <v>3350</v>
      </c>
      <c r="J4" s="12">
        <v>4</v>
      </c>
      <c r="K4" s="4">
        <f t="shared" ref="K4:K59" si="0">(3600/(I4/8))*J4</f>
        <v>34.388059701492537</v>
      </c>
      <c r="L4" s="35"/>
      <c r="M4" s="1">
        <v>5.8</v>
      </c>
      <c r="N4" s="1">
        <v>25.3</v>
      </c>
      <c r="O4" s="2">
        <f t="shared" ref="O4:O59" si="1">N4/J4</f>
        <v>6.3250000000000002</v>
      </c>
      <c r="P4" s="1">
        <v>1300</v>
      </c>
      <c r="Q4" s="1">
        <v>8</v>
      </c>
      <c r="R4" s="1" t="s">
        <v>92</v>
      </c>
      <c r="S4" s="6" t="s">
        <v>1252</v>
      </c>
      <c r="T4" s="1" t="s">
        <v>93</v>
      </c>
      <c r="U4" s="1"/>
      <c r="V4" s="1"/>
      <c r="W4" s="1" t="s">
        <v>678</v>
      </c>
      <c r="X4" s="1"/>
      <c r="Y4" s="1"/>
      <c r="Z4" s="1"/>
    </row>
    <row r="5" spans="1:26" ht="24.9" customHeight="1" x14ac:dyDescent="0.3">
      <c r="A5" s="3" t="s">
        <v>27</v>
      </c>
      <c r="B5" s="3"/>
      <c r="C5" s="3"/>
      <c r="D5" s="3"/>
      <c r="E5" s="3"/>
      <c r="F5" s="12"/>
      <c r="G5" s="3"/>
      <c r="H5" s="3"/>
      <c r="I5" s="3"/>
      <c r="J5" s="12"/>
      <c r="K5" s="4" t="e">
        <f t="shared" si="0"/>
        <v>#DIV/0!</v>
      </c>
      <c r="L5" s="3"/>
      <c r="M5" s="1"/>
      <c r="N5" s="1"/>
      <c r="O5" s="2" t="e">
        <f t="shared" si="1"/>
        <v>#DIV/0!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9" customHeight="1" x14ac:dyDescent="0.3">
      <c r="A6" s="3" t="s">
        <v>28</v>
      </c>
      <c r="B6" s="3"/>
      <c r="C6" s="3"/>
      <c r="D6" s="3"/>
      <c r="E6" s="3"/>
      <c r="F6" s="12"/>
      <c r="G6" s="3"/>
      <c r="H6" s="3"/>
      <c r="I6" s="3"/>
      <c r="J6" s="12"/>
      <c r="K6" s="4" t="e">
        <f t="shared" si="0"/>
        <v>#DIV/0!</v>
      </c>
      <c r="L6" s="3"/>
      <c r="M6" s="1"/>
      <c r="N6" s="1"/>
      <c r="O6" s="2" t="e">
        <f t="shared" si="1"/>
        <v>#DIV/0!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9" customHeight="1" x14ac:dyDescent="0.3">
      <c r="A7" s="3" t="s">
        <v>29</v>
      </c>
      <c r="B7" s="3"/>
      <c r="C7" s="3"/>
      <c r="D7" s="3"/>
      <c r="E7" s="3"/>
      <c r="F7" s="12"/>
      <c r="G7" s="3"/>
      <c r="H7" s="3"/>
      <c r="I7" s="3"/>
      <c r="J7" s="12"/>
      <c r="K7" s="4" t="e">
        <f t="shared" si="0"/>
        <v>#DIV/0!</v>
      </c>
      <c r="L7" s="3"/>
      <c r="M7" s="1"/>
      <c r="N7" s="1"/>
      <c r="O7" s="2" t="e">
        <f t="shared" si="1"/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9" customHeight="1" x14ac:dyDescent="0.3">
      <c r="A8" s="3" t="s">
        <v>30</v>
      </c>
      <c r="B8" s="3"/>
      <c r="C8" s="5"/>
      <c r="D8" s="5"/>
      <c r="E8" s="5"/>
      <c r="F8" s="12"/>
      <c r="G8" s="3"/>
      <c r="H8" s="3"/>
      <c r="I8" s="3"/>
      <c r="J8" s="12"/>
      <c r="K8" s="4" t="e">
        <f t="shared" si="0"/>
        <v>#DIV/0!</v>
      </c>
      <c r="L8" s="3"/>
      <c r="M8" s="1"/>
      <c r="N8" s="1"/>
      <c r="O8" s="2" t="e">
        <f t="shared" si="1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9" customHeight="1" x14ac:dyDescent="0.3">
      <c r="A9" s="3" t="s">
        <v>31</v>
      </c>
      <c r="B9" s="3"/>
      <c r="C9" s="5"/>
      <c r="D9" s="3"/>
      <c r="E9" s="3"/>
      <c r="F9" s="12"/>
      <c r="G9" s="3"/>
      <c r="H9" s="3"/>
      <c r="I9" s="3"/>
      <c r="J9" s="12"/>
      <c r="K9" s="4" t="e">
        <f t="shared" si="0"/>
        <v>#DIV/0!</v>
      </c>
      <c r="L9" s="3"/>
      <c r="M9" s="1"/>
      <c r="N9" s="1"/>
      <c r="O9" s="2" t="e">
        <f t="shared" si="1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" customHeight="1" x14ac:dyDescent="0.3">
      <c r="A10" s="3" t="s">
        <v>32</v>
      </c>
      <c r="B10" s="3"/>
      <c r="C10" s="3"/>
      <c r="D10" s="3"/>
      <c r="E10" s="3"/>
      <c r="F10" s="12"/>
      <c r="G10" s="3"/>
      <c r="H10" s="3"/>
      <c r="I10" s="3"/>
      <c r="J10" s="12"/>
      <c r="K10" s="4" t="e">
        <f t="shared" si="0"/>
        <v>#DIV/0!</v>
      </c>
      <c r="L10" s="3"/>
      <c r="M10" s="1"/>
      <c r="N10" s="1"/>
      <c r="O10" s="2" t="e">
        <f t="shared" si="1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" customHeight="1" x14ac:dyDescent="0.3">
      <c r="A11" s="3" t="s">
        <v>33</v>
      </c>
      <c r="B11" s="3"/>
      <c r="C11" s="3"/>
      <c r="D11" s="3"/>
      <c r="E11" s="3"/>
      <c r="F11" s="12"/>
      <c r="G11" s="3"/>
      <c r="H11" s="3"/>
      <c r="I11" s="3"/>
      <c r="J11" s="12"/>
      <c r="K11" s="4" t="e">
        <f t="shared" si="0"/>
        <v>#DIV/0!</v>
      </c>
      <c r="L11" s="3"/>
      <c r="M11" s="1"/>
      <c r="N11" s="1"/>
      <c r="O11" s="2" t="e">
        <f t="shared" si="1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" customHeight="1" x14ac:dyDescent="0.3">
      <c r="A12" s="3" t="s">
        <v>34</v>
      </c>
      <c r="B12" s="3"/>
      <c r="C12" s="3"/>
      <c r="D12" s="3"/>
      <c r="E12" s="3"/>
      <c r="F12" s="12"/>
      <c r="G12" s="3"/>
      <c r="H12" s="3"/>
      <c r="I12" s="3"/>
      <c r="J12" s="12"/>
      <c r="K12" s="4" t="e">
        <f t="shared" si="0"/>
        <v>#DIV/0!</v>
      </c>
      <c r="L12" s="3"/>
      <c r="M12" s="1"/>
      <c r="N12" s="1"/>
      <c r="O12" s="2" t="e">
        <f t="shared" si="1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" customHeight="1" x14ac:dyDescent="0.3">
      <c r="A13" s="3" t="s">
        <v>35</v>
      </c>
      <c r="B13" s="3"/>
      <c r="C13" s="3"/>
      <c r="D13" s="3"/>
      <c r="E13" s="3"/>
      <c r="F13" s="12"/>
      <c r="G13" s="3"/>
      <c r="H13" s="3"/>
      <c r="I13" s="3"/>
      <c r="J13" s="12"/>
      <c r="K13" s="4" t="e">
        <f t="shared" si="0"/>
        <v>#DIV/0!</v>
      </c>
      <c r="L13" s="3"/>
      <c r="M13" s="1"/>
      <c r="N13" s="1"/>
      <c r="O13" s="2" t="e">
        <f t="shared" si="1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" customHeight="1" x14ac:dyDescent="0.3">
      <c r="A14" s="3" t="s">
        <v>36</v>
      </c>
      <c r="B14" s="3"/>
      <c r="C14" s="3"/>
      <c r="D14" s="3"/>
      <c r="E14" s="3"/>
      <c r="F14" s="12"/>
      <c r="G14" s="3"/>
      <c r="H14" s="3"/>
      <c r="I14" s="3"/>
      <c r="J14" s="12"/>
      <c r="K14" s="4" t="e">
        <f t="shared" si="0"/>
        <v>#DIV/0!</v>
      </c>
      <c r="L14" s="3"/>
      <c r="M14" s="1"/>
      <c r="N14" s="1"/>
      <c r="O14" s="2" t="e">
        <f t="shared" si="1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" customHeight="1" x14ac:dyDescent="0.3">
      <c r="A15" s="3" t="s">
        <v>37</v>
      </c>
      <c r="B15" s="3"/>
      <c r="C15" s="3"/>
      <c r="D15" s="3"/>
      <c r="E15" s="3"/>
      <c r="F15" s="12"/>
      <c r="G15" s="3"/>
      <c r="H15" s="3"/>
      <c r="I15" s="3"/>
      <c r="J15" s="12"/>
      <c r="K15" s="4" t="e">
        <f t="shared" si="0"/>
        <v>#DIV/0!</v>
      </c>
      <c r="L15" s="3"/>
      <c r="M15" s="1"/>
      <c r="N15" s="1"/>
      <c r="O15" s="2" t="e">
        <f t="shared" si="1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" customHeight="1" x14ac:dyDescent="0.3">
      <c r="A16" s="3" t="s">
        <v>38</v>
      </c>
      <c r="B16" s="3"/>
      <c r="C16" s="3"/>
      <c r="D16" s="3"/>
      <c r="E16" s="3"/>
      <c r="F16" s="12"/>
      <c r="G16" s="3"/>
      <c r="H16" s="3"/>
      <c r="I16" s="3"/>
      <c r="J16" s="12"/>
      <c r="K16" s="4" t="e">
        <f t="shared" si="0"/>
        <v>#DIV/0!</v>
      </c>
      <c r="L16" s="3"/>
      <c r="M16" s="1"/>
      <c r="N16" s="1"/>
      <c r="O16" s="2" t="e">
        <f t="shared" si="1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" customHeight="1" x14ac:dyDescent="0.3">
      <c r="A17" s="3" t="s">
        <v>39</v>
      </c>
      <c r="B17" s="3"/>
      <c r="C17" s="3"/>
      <c r="D17" s="3"/>
      <c r="E17" s="3"/>
      <c r="F17" s="12"/>
      <c r="G17" s="3"/>
      <c r="H17" s="3"/>
      <c r="I17" s="3"/>
      <c r="J17" s="12"/>
      <c r="K17" s="4" t="e">
        <f t="shared" si="0"/>
        <v>#DIV/0!</v>
      </c>
      <c r="L17" s="3"/>
      <c r="M17" s="1"/>
      <c r="N17" s="1"/>
      <c r="O17" s="2" t="e">
        <f t="shared" si="1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" customHeight="1" x14ac:dyDescent="0.3">
      <c r="A18" s="3" t="s">
        <v>40</v>
      </c>
      <c r="B18" s="3"/>
      <c r="C18" s="3"/>
      <c r="D18" s="3"/>
      <c r="E18" s="3"/>
      <c r="F18" s="12"/>
      <c r="G18" s="3"/>
      <c r="H18" s="3"/>
      <c r="I18" s="3"/>
      <c r="J18" s="12"/>
      <c r="K18" s="4" t="e">
        <f t="shared" si="0"/>
        <v>#DIV/0!</v>
      </c>
      <c r="L18" s="3"/>
      <c r="M18" s="1"/>
      <c r="N18" s="1"/>
      <c r="O18" s="2" t="e">
        <f t="shared" si="1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" customHeight="1" x14ac:dyDescent="0.3">
      <c r="A19" s="3" t="s">
        <v>41</v>
      </c>
      <c r="B19" s="3"/>
      <c r="C19" s="3"/>
      <c r="D19" s="3"/>
      <c r="E19" s="3"/>
      <c r="F19" s="12"/>
      <c r="G19" s="3"/>
      <c r="H19" s="3"/>
      <c r="I19" s="3"/>
      <c r="J19" s="12"/>
      <c r="K19" s="4" t="e">
        <f t="shared" si="0"/>
        <v>#DIV/0!</v>
      </c>
      <c r="L19" s="3"/>
      <c r="M19" s="1"/>
      <c r="N19" s="1"/>
      <c r="O19" s="2" t="e">
        <f t="shared" si="1"/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" customHeight="1" x14ac:dyDescent="0.3">
      <c r="A20" s="3" t="s">
        <v>42</v>
      </c>
      <c r="B20" s="3"/>
      <c r="C20" s="3"/>
      <c r="D20" s="3"/>
      <c r="E20" s="3"/>
      <c r="F20" s="12"/>
      <c r="G20" s="3"/>
      <c r="H20" s="3"/>
      <c r="I20" s="3"/>
      <c r="J20" s="12"/>
      <c r="K20" s="4" t="e">
        <f t="shared" si="0"/>
        <v>#DIV/0!</v>
      </c>
      <c r="L20" s="3"/>
      <c r="M20" s="1"/>
      <c r="N20" s="1"/>
      <c r="O20" s="2" t="e">
        <f t="shared" si="1"/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9" customHeight="1" x14ac:dyDescent="0.3">
      <c r="A21" s="3" t="s">
        <v>43</v>
      </c>
      <c r="B21" s="3"/>
      <c r="C21" s="3"/>
      <c r="D21" s="3"/>
      <c r="E21" s="3"/>
      <c r="F21" s="12"/>
      <c r="G21" s="3"/>
      <c r="H21" s="3"/>
      <c r="I21" s="3"/>
      <c r="J21" s="12"/>
      <c r="K21" s="4" t="e">
        <f t="shared" si="0"/>
        <v>#DIV/0!</v>
      </c>
      <c r="L21" s="3"/>
      <c r="M21" s="1"/>
      <c r="N21" s="1"/>
      <c r="O21" s="2" t="e">
        <f t="shared" si="1"/>
        <v>#DIV/0!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9" customHeight="1" x14ac:dyDescent="0.3">
      <c r="A22" s="3" t="s">
        <v>44</v>
      </c>
      <c r="B22" s="3"/>
      <c r="C22" s="3"/>
      <c r="D22" s="3"/>
      <c r="E22" s="3"/>
      <c r="F22" s="12"/>
      <c r="G22" s="3"/>
      <c r="H22" s="3"/>
      <c r="I22" s="3"/>
      <c r="J22" s="12"/>
      <c r="K22" s="4" t="e">
        <f t="shared" si="0"/>
        <v>#DIV/0!</v>
      </c>
      <c r="L22" s="3"/>
      <c r="M22" s="1"/>
      <c r="N22" s="1"/>
      <c r="O22" s="2" t="e">
        <f t="shared" si="1"/>
        <v>#DIV/0!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9" customHeight="1" x14ac:dyDescent="0.3">
      <c r="A23" s="3" t="s">
        <v>45</v>
      </c>
      <c r="B23" s="3"/>
      <c r="C23" s="3"/>
      <c r="D23" s="3"/>
      <c r="E23" s="3"/>
      <c r="F23" s="12"/>
      <c r="G23" s="3"/>
      <c r="H23" s="3"/>
      <c r="I23" s="3"/>
      <c r="J23" s="12"/>
      <c r="K23" s="4" t="e">
        <f t="shared" si="0"/>
        <v>#DIV/0!</v>
      </c>
      <c r="L23" s="3"/>
      <c r="M23" s="1"/>
      <c r="N23" s="1"/>
      <c r="O23" s="2" t="e">
        <f t="shared" si="1"/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12"/>
      <c r="G24" s="3"/>
      <c r="H24" s="3"/>
      <c r="I24" s="3"/>
      <c r="J24" s="12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12"/>
      <c r="G25" s="3"/>
      <c r="H25" s="3"/>
      <c r="I25" s="3"/>
      <c r="J25" s="12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12"/>
      <c r="G26" s="3"/>
      <c r="H26" s="3"/>
      <c r="I26" s="3"/>
      <c r="J26" s="12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12"/>
      <c r="G27" s="3"/>
      <c r="H27" s="3"/>
      <c r="I27" s="3"/>
      <c r="J27" s="12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12"/>
      <c r="G28" s="3"/>
      <c r="H28" s="3"/>
      <c r="I28" s="3"/>
      <c r="J28" s="12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12"/>
      <c r="G29" s="3"/>
      <c r="H29" s="3"/>
      <c r="I29" s="3"/>
      <c r="J29" s="12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12"/>
      <c r="G30" s="3"/>
      <c r="H30" s="3"/>
      <c r="I30" s="3"/>
      <c r="J30" s="12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12"/>
      <c r="G31" s="3"/>
      <c r="H31" s="3"/>
      <c r="I31" s="3"/>
      <c r="J31" s="12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12"/>
      <c r="G32" s="3"/>
      <c r="H32" s="3"/>
      <c r="I32" s="3"/>
      <c r="J32" s="12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12"/>
      <c r="G33" s="3"/>
      <c r="H33" s="3"/>
      <c r="I33" s="3"/>
      <c r="J33" s="12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12"/>
      <c r="G34" s="3"/>
      <c r="H34" s="3"/>
      <c r="I34" s="3"/>
      <c r="J34" s="12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12"/>
      <c r="G35" s="3"/>
      <c r="H35" s="3"/>
      <c r="I35" s="3"/>
      <c r="J35" s="12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12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12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12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12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12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12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12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12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12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12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12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12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12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12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12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12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12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12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12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12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12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12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733E-87F8-4727-ACFB-7384D37B64E8}">
  <sheetPr codeName="Arkusz25"/>
  <dimension ref="A1:Z59"/>
  <sheetViews>
    <sheetView topLeftCell="A15" workbookViewId="0">
      <selection activeCell="X30" sqref="X30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85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86</v>
      </c>
      <c r="C3" s="5">
        <v>45669</v>
      </c>
      <c r="D3" s="5">
        <v>46036</v>
      </c>
      <c r="E3" s="13" t="s">
        <v>128</v>
      </c>
      <c r="F3" s="3">
        <v>5</v>
      </c>
      <c r="G3" s="3">
        <v>8000</v>
      </c>
      <c r="H3" s="3">
        <v>33.450000000000003</v>
      </c>
      <c r="I3" s="3">
        <v>926</v>
      </c>
      <c r="J3" s="3">
        <v>4</v>
      </c>
      <c r="K3" s="4">
        <f>(3600/(I3/8))*J3</f>
        <v>124.4060475161987</v>
      </c>
      <c r="L3" s="3">
        <v>48</v>
      </c>
      <c r="M3" s="1">
        <v>10.7</v>
      </c>
      <c r="N3" s="1">
        <v>49.1</v>
      </c>
      <c r="O3" s="2">
        <f>N3/J3</f>
        <v>12.275</v>
      </c>
      <c r="P3" s="1">
        <v>600</v>
      </c>
      <c r="Q3" s="1">
        <v>6.7</v>
      </c>
      <c r="R3" s="1" t="s">
        <v>87</v>
      </c>
      <c r="S3" s="6" t="s">
        <v>88</v>
      </c>
      <c r="T3" s="11" t="s">
        <v>89</v>
      </c>
      <c r="U3" s="1"/>
      <c r="V3" s="1"/>
      <c r="W3" s="1" t="s">
        <v>90</v>
      </c>
      <c r="X3" s="1"/>
      <c r="Y3" s="1"/>
      <c r="Z3" s="1"/>
    </row>
    <row r="4" spans="1:26" ht="24.9" customHeight="1" x14ac:dyDescent="0.3">
      <c r="A4" s="3" t="s">
        <v>26</v>
      </c>
      <c r="B4" s="3" t="s">
        <v>127</v>
      </c>
      <c r="C4" s="5">
        <v>46036</v>
      </c>
      <c r="D4" s="5">
        <v>46041</v>
      </c>
      <c r="E4" s="13" t="s">
        <v>128</v>
      </c>
      <c r="F4" s="3">
        <v>5</v>
      </c>
      <c r="G4" s="3">
        <v>10200</v>
      </c>
      <c r="H4" s="3">
        <v>33.450000000000003</v>
      </c>
      <c r="I4" s="3">
        <v>926</v>
      </c>
      <c r="J4" s="3">
        <v>4</v>
      </c>
      <c r="K4" s="4">
        <f t="shared" ref="K4:K59" si="0">(3600/(I4/8))*J4</f>
        <v>124.4060475161987</v>
      </c>
      <c r="L4" s="3">
        <v>196</v>
      </c>
      <c r="M4" s="1">
        <v>10.7</v>
      </c>
      <c r="N4" s="1">
        <v>49.1</v>
      </c>
      <c r="O4" s="2">
        <f t="shared" ref="O4:O59" si="1">N4/J4</f>
        <v>12.275</v>
      </c>
      <c r="P4" s="1">
        <v>600</v>
      </c>
      <c r="Q4" s="1">
        <v>6.7</v>
      </c>
      <c r="R4" s="1" t="s">
        <v>87</v>
      </c>
      <c r="S4" s="6" t="s">
        <v>101</v>
      </c>
      <c r="T4" s="1" t="s">
        <v>129</v>
      </c>
      <c r="U4" s="1" t="s">
        <v>130</v>
      </c>
      <c r="V4" s="15">
        <v>0.02</v>
      </c>
      <c r="W4" s="1" t="s">
        <v>90</v>
      </c>
      <c r="X4" s="1"/>
      <c r="Y4" s="1"/>
      <c r="Z4" s="1"/>
    </row>
    <row r="5" spans="1:26" ht="24.9" customHeight="1" x14ac:dyDescent="0.3">
      <c r="A5" s="3" t="s">
        <v>27</v>
      </c>
      <c r="B5" s="3" t="s">
        <v>162</v>
      </c>
      <c r="C5" s="5">
        <v>46042</v>
      </c>
      <c r="D5" s="5">
        <v>46045</v>
      </c>
      <c r="E5" s="13" t="s">
        <v>128</v>
      </c>
      <c r="F5" s="3">
        <v>5</v>
      </c>
      <c r="G5" s="3">
        <v>10000</v>
      </c>
      <c r="H5" s="3">
        <v>34.86</v>
      </c>
      <c r="I5" s="3">
        <v>826</v>
      </c>
      <c r="J5" s="3">
        <v>4</v>
      </c>
      <c r="K5" s="4">
        <f t="shared" si="0"/>
        <v>139.46731234866829</v>
      </c>
      <c r="L5" s="3"/>
      <c r="M5" s="1">
        <v>12.4</v>
      </c>
      <c r="N5" s="1">
        <v>50.2</v>
      </c>
      <c r="O5" s="2">
        <f t="shared" si="1"/>
        <v>12.55</v>
      </c>
      <c r="P5" s="1">
        <v>600</v>
      </c>
      <c r="Q5" s="1">
        <v>6.7</v>
      </c>
      <c r="R5" s="1" t="s">
        <v>87</v>
      </c>
      <c r="S5" s="1" t="s">
        <v>117</v>
      </c>
      <c r="T5" s="1" t="s">
        <v>129</v>
      </c>
      <c r="U5" s="1" t="s">
        <v>163</v>
      </c>
      <c r="V5" s="15">
        <v>0.02</v>
      </c>
      <c r="W5" s="1" t="s">
        <v>90</v>
      </c>
      <c r="X5" s="1"/>
      <c r="Y5" s="1"/>
      <c r="Z5" s="1"/>
    </row>
    <row r="6" spans="1:26" ht="24.9" customHeight="1" x14ac:dyDescent="0.3">
      <c r="A6" s="3" t="s">
        <v>28</v>
      </c>
      <c r="B6" s="3" t="s">
        <v>181</v>
      </c>
      <c r="C6" s="5">
        <v>46045</v>
      </c>
      <c r="D6" s="5">
        <v>46048</v>
      </c>
      <c r="E6" s="13" t="s">
        <v>128</v>
      </c>
      <c r="F6" s="3">
        <v>5</v>
      </c>
      <c r="G6" s="3">
        <v>5000</v>
      </c>
      <c r="H6" s="3">
        <v>34.369999999999997</v>
      </c>
      <c r="I6" s="3">
        <v>838</v>
      </c>
      <c r="J6" s="3">
        <v>4</v>
      </c>
      <c r="K6" s="4">
        <f t="shared" si="0"/>
        <v>137.47016706443915</v>
      </c>
      <c r="L6" s="3"/>
      <c r="M6" s="1">
        <v>10.6</v>
      </c>
      <c r="N6" s="1">
        <v>49</v>
      </c>
      <c r="O6" s="2">
        <f t="shared" si="1"/>
        <v>12.25</v>
      </c>
      <c r="P6" s="1">
        <v>600</v>
      </c>
      <c r="Q6" s="1">
        <v>6.7</v>
      </c>
      <c r="R6" s="1" t="s">
        <v>87</v>
      </c>
      <c r="S6" s="1" t="s">
        <v>119</v>
      </c>
      <c r="T6" s="1" t="s">
        <v>129</v>
      </c>
      <c r="U6" s="1" t="s">
        <v>182</v>
      </c>
      <c r="V6" s="15">
        <v>0.02</v>
      </c>
      <c r="W6" s="1" t="s">
        <v>156</v>
      </c>
      <c r="X6" s="1"/>
      <c r="Y6" s="1"/>
      <c r="Z6" s="1"/>
    </row>
    <row r="7" spans="1:26" ht="24.9" customHeight="1" x14ac:dyDescent="0.3">
      <c r="A7" s="3" t="s">
        <v>29</v>
      </c>
      <c r="B7" s="3" t="s">
        <v>217</v>
      </c>
      <c r="C7" s="5">
        <v>46049</v>
      </c>
      <c r="D7" s="5">
        <v>46050</v>
      </c>
      <c r="E7" s="13" t="s">
        <v>128</v>
      </c>
      <c r="F7" s="3">
        <v>5</v>
      </c>
      <c r="G7" s="3">
        <v>5200</v>
      </c>
      <c r="H7" s="3">
        <v>34.31</v>
      </c>
      <c r="I7" s="3">
        <v>839</v>
      </c>
      <c r="J7" s="3">
        <v>4</v>
      </c>
      <c r="K7" s="4">
        <f t="shared" si="0"/>
        <v>137.30631704410013</v>
      </c>
      <c r="L7" s="3"/>
      <c r="M7" s="1">
        <v>10.6</v>
      </c>
      <c r="N7" s="1">
        <v>49</v>
      </c>
      <c r="O7" s="2">
        <f t="shared" si="1"/>
        <v>12.25</v>
      </c>
      <c r="P7" s="1">
        <v>600</v>
      </c>
      <c r="Q7" s="1">
        <v>6.7</v>
      </c>
      <c r="R7" s="1" t="s">
        <v>87</v>
      </c>
      <c r="S7" s="1" t="s">
        <v>142</v>
      </c>
      <c r="T7" s="1" t="s">
        <v>129</v>
      </c>
      <c r="U7" s="1" t="s">
        <v>218</v>
      </c>
      <c r="V7" s="15">
        <v>0.02</v>
      </c>
      <c r="W7" s="1"/>
      <c r="X7" s="1" t="s">
        <v>103</v>
      </c>
      <c r="Y7" s="1" t="s">
        <v>120</v>
      </c>
      <c r="Z7" s="1"/>
    </row>
    <row r="8" spans="1:26" ht="24.9" customHeight="1" x14ac:dyDescent="0.3">
      <c r="A8" s="3" t="s">
        <v>30</v>
      </c>
      <c r="B8" s="3" t="s">
        <v>1113</v>
      </c>
      <c r="C8" s="5">
        <v>46163</v>
      </c>
      <c r="D8" s="5">
        <v>46169</v>
      </c>
      <c r="E8" s="13" t="s">
        <v>1114</v>
      </c>
      <c r="F8" s="3">
        <v>5</v>
      </c>
      <c r="G8" s="3">
        <v>20000</v>
      </c>
      <c r="H8" s="3">
        <v>30.82</v>
      </c>
      <c r="I8" s="3">
        <v>934</v>
      </c>
      <c r="J8" s="3">
        <v>4</v>
      </c>
      <c r="K8" s="4">
        <f t="shared" si="0"/>
        <v>123.34047109207708</v>
      </c>
      <c r="L8" s="3"/>
      <c r="M8" s="1">
        <v>11.2</v>
      </c>
      <c r="N8" s="1">
        <v>51.8</v>
      </c>
      <c r="O8" s="2">
        <f t="shared" si="1"/>
        <v>12.95</v>
      </c>
      <c r="P8" s="1">
        <v>600</v>
      </c>
      <c r="Q8" s="1">
        <v>7.1</v>
      </c>
      <c r="R8" s="1" t="s">
        <v>87</v>
      </c>
      <c r="S8" s="1" t="s">
        <v>1017</v>
      </c>
      <c r="T8" s="1" t="s">
        <v>1105</v>
      </c>
      <c r="U8" s="1"/>
      <c r="V8" s="16"/>
      <c r="W8" s="1" t="s">
        <v>678</v>
      </c>
      <c r="X8" s="1" t="s">
        <v>94</v>
      </c>
      <c r="Y8" s="1"/>
      <c r="Z8" s="1"/>
    </row>
    <row r="9" spans="1:26" ht="24.9" customHeight="1" x14ac:dyDescent="0.3">
      <c r="A9" s="3" t="s">
        <v>31</v>
      </c>
      <c r="B9" s="3" t="s">
        <v>1138</v>
      </c>
      <c r="C9" s="5">
        <v>46169</v>
      </c>
      <c r="D9" s="5">
        <v>46171</v>
      </c>
      <c r="E9" s="13" t="s">
        <v>1139</v>
      </c>
      <c r="F9" s="3">
        <v>5</v>
      </c>
      <c r="G9" s="3">
        <v>8000</v>
      </c>
      <c r="H9" s="3">
        <v>30.77</v>
      </c>
      <c r="I9" s="3">
        <v>935</v>
      </c>
      <c r="J9" s="3">
        <v>4</v>
      </c>
      <c r="K9" s="4">
        <f t="shared" si="0"/>
        <v>123.20855614973262</v>
      </c>
      <c r="L9" s="3"/>
      <c r="M9" s="1">
        <v>11.3</v>
      </c>
      <c r="N9" s="1">
        <v>52.1</v>
      </c>
      <c r="O9" s="2">
        <f t="shared" si="1"/>
        <v>13.025</v>
      </c>
      <c r="P9" s="1">
        <v>600</v>
      </c>
      <c r="Q9" s="1">
        <v>7.1</v>
      </c>
      <c r="R9" s="1" t="s">
        <v>87</v>
      </c>
      <c r="S9" s="1" t="s">
        <v>1045</v>
      </c>
      <c r="T9" s="1" t="s">
        <v>1140</v>
      </c>
      <c r="U9" s="1"/>
      <c r="V9" s="16"/>
      <c r="W9" s="1" t="s">
        <v>90</v>
      </c>
      <c r="X9" s="1"/>
      <c r="Y9" s="1"/>
      <c r="Z9" s="1"/>
    </row>
    <row r="10" spans="1:26" ht="24.9" customHeight="1" x14ac:dyDescent="0.3">
      <c r="A10" s="3" t="s">
        <v>32</v>
      </c>
      <c r="B10" s="3" t="s">
        <v>1152</v>
      </c>
      <c r="C10" s="5">
        <v>46171</v>
      </c>
      <c r="D10" s="5">
        <v>46174</v>
      </c>
      <c r="E10" s="13" t="s">
        <v>1139</v>
      </c>
      <c r="F10" s="3">
        <v>5</v>
      </c>
      <c r="G10" s="3">
        <v>4000</v>
      </c>
      <c r="H10" s="3">
        <v>30.8</v>
      </c>
      <c r="I10" s="3">
        <v>1870</v>
      </c>
      <c r="J10" s="3">
        <v>4</v>
      </c>
      <c r="K10" s="4">
        <f t="shared" si="0"/>
        <v>61.604278074866308</v>
      </c>
      <c r="L10" s="3"/>
      <c r="M10" s="1">
        <v>11.4</v>
      </c>
      <c r="N10" s="1">
        <v>52.6</v>
      </c>
      <c r="O10" s="2">
        <f t="shared" si="1"/>
        <v>13.15</v>
      </c>
      <c r="P10" s="1">
        <v>600</v>
      </c>
      <c r="Q10" s="1">
        <v>7.1</v>
      </c>
      <c r="R10" s="1" t="s">
        <v>87</v>
      </c>
      <c r="S10" s="1" t="s">
        <v>1091</v>
      </c>
      <c r="T10" s="1" t="s">
        <v>1157</v>
      </c>
      <c r="U10" s="1"/>
      <c r="V10" s="16"/>
      <c r="W10" s="1"/>
      <c r="X10" s="1" t="s">
        <v>103</v>
      </c>
      <c r="Y10" s="1"/>
      <c r="Z10" s="1"/>
    </row>
    <row r="11" spans="1:26" ht="24.9" customHeight="1" x14ac:dyDescent="0.3">
      <c r="A11" s="3" t="s">
        <v>33</v>
      </c>
      <c r="B11" s="3" t="s">
        <v>1158</v>
      </c>
      <c r="C11" s="5">
        <v>46174</v>
      </c>
      <c r="D11" s="5">
        <v>46174</v>
      </c>
      <c r="E11" s="13" t="s">
        <v>1159</v>
      </c>
      <c r="F11" s="3">
        <v>5</v>
      </c>
      <c r="G11" s="3">
        <v>4000</v>
      </c>
      <c r="H11" s="3">
        <v>30.1</v>
      </c>
      <c r="I11" s="3">
        <v>3827</v>
      </c>
      <c r="J11" s="3">
        <v>4</v>
      </c>
      <c r="K11" s="4">
        <f t="shared" si="0"/>
        <v>30.101907499346748</v>
      </c>
      <c r="L11" s="3">
        <v>64</v>
      </c>
      <c r="M11" s="1">
        <v>10.5</v>
      </c>
      <c r="N11" s="1">
        <v>48.4</v>
      </c>
      <c r="O11" s="2">
        <f t="shared" si="1"/>
        <v>12.1</v>
      </c>
      <c r="P11" s="1">
        <v>600</v>
      </c>
      <c r="Q11" s="1">
        <v>6.6</v>
      </c>
      <c r="R11" s="1" t="s">
        <v>87</v>
      </c>
      <c r="S11" s="1" t="s">
        <v>1156</v>
      </c>
      <c r="T11" s="1" t="s">
        <v>129</v>
      </c>
      <c r="U11" s="1" t="s">
        <v>1160</v>
      </c>
      <c r="V11" s="16"/>
      <c r="W11" s="1" t="s">
        <v>103</v>
      </c>
      <c r="X11" s="1"/>
      <c r="Y11" s="1"/>
      <c r="Z11" s="1"/>
    </row>
    <row r="12" spans="1:26" ht="24.9" customHeight="1" x14ac:dyDescent="0.3">
      <c r="A12" s="3" t="s">
        <v>34</v>
      </c>
      <c r="B12" s="3" t="s">
        <v>1170</v>
      </c>
      <c r="C12" s="5">
        <v>46175</v>
      </c>
      <c r="D12" s="5">
        <v>46175</v>
      </c>
      <c r="E12" s="13" t="s">
        <v>1159</v>
      </c>
      <c r="F12" s="3">
        <v>5</v>
      </c>
      <c r="G12" s="3">
        <v>4000</v>
      </c>
      <c r="H12" s="3">
        <v>30</v>
      </c>
      <c r="I12" s="3">
        <v>3827</v>
      </c>
      <c r="J12" s="3">
        <v>4</v>
      </c>
      <c r="K12" s="4">
        <f t="shared" si="0"/>
        <v>30.101907499346748</v>
      </c>
      <c r="L12" s="3"/>
      <c r="M12" s="1">
        <v>10.4</v>
      </c>
      <c r="N12" s="1">
        <v>47.7</v>
      </c>
      <c r="O12" s="2">
        <f t="shared" si="1"/>
        <v>11.925000000000001</v>
      </c>
      <c r="P12" s="1">
        <v>600</v>
      </c>
      <c r="Q12" s="1">
        <v>6.6</v>
      </c>
      <c r="R12" s="1" t="s">
        <v>87</v>
      </c>
      <c r="S12" s="1" t="s">
        <v>1162</v>
      </c>
      <c r="T12" s="1" t="s">
        <v>129</v>
      </c>
      <c r="U12" s="1" t="s">
        <v>218</v>
      </c>
      <c r="V12" s="16"/>
      <c r="W12" s="1"/>
      <c r="X12" s="1"/>
      <c r="Y12" s="1"/>
      <c r="Z12" s="1"/>
    </row>
    <row r="13" spans="1:26" ht="24.9" customHeight="1" x14ac:dyDescent="0.3">
      <c r="A13" s="3" t="s">
        <v>35</v>
      </c>
      <c r="B13" s="3" t="s">
        <v>1183</v>
      </c>
      <c r="C13" s="5">
        <v>46175</v>
      </c>
      <c r="D13" s="5">
        <v>46182</v>
      </c>
      <c r="E13" s="13" t="s">
        <v>1159</v>
      </c>
      <c r="F13" s="3">
        <v>5</v>
      </c>
      <c r="G13" s="3">
        <v>14000</v>
      </c>
      <c r="H13" s="3">
        <v>30</v>
      </c>
      <c r="I13" s="3">
        <v>3827</v>
      </c>
      <c r="J13" s="3">
        <v>4</v>
      </c>
      <c r="K13" s="4">
        <f t="shared" si="0"/>
        <v>30.101907499346748</v>
      </c>
      <c r="L13" s="3"/>
      <c r="M13" s="1">
        <v>10.4</v>
      </c>
      <c r="N13" s="1">
        <v>47.7</v>
      </c>
      <c r="O13" s="2">
        <f t="shared" si="1"/>
        <v>11.925000000000001</v>
      </c>
      <c r="P13" s="1">
        <v>600</v>
      </c>
      <c r="Q13" s="1">
        <v>6.6</v>
      </c>
      <c r="R13" s="1" t="s">
        <v>87</v>
      </c>
      <c r="S13" s="1" t="s">
        <v>1174</v>
      </c>
      <c r="T13" s="1" t="s">
        <v>129</v>
      </c>
      <c r="U13" s="1" t="s">
        <v>1184</v>
      </c>
      <c r="V13" s="16"/>
      <c r="W13" s="1"/>
      <c r="X13" s="1"/>
      <c r="Y13" s="1"/>
      <c r="Z13" s="1"/>
    </row>
    <row r="14" spans="1:26" ht="24.9" customHeight="1" x14ac:dyDescent="0.3">
      <c r="A14" s="3" t="s">
        <v>36</v>
      </c>
      <c r="B14" s="3" t="s">
        <v>1191</v>
      </c>
      <c r="C14" s="5">
        <v>46182</v>
      </c>
      <c r="D14" s="5">
        <v>46188</v>
      </c>
      <c r="E14" s="13" t="s">
        <v>1159</v>
      </c>
      <c r="F14" s="3">
        <v>5</v>
      </c>
      <c r="G14" s="3">
        <v>14000</v>
      </c>
      <c r="H14" s="3">
        <v>30</v>
      </c>
      <c r="I14" s="3">
        <v>3827</v>
      </c>
      <c r="J14" s="3">
        <v>4</v>
      </c>
      <c r="K14" s="4">
        <f t="shared" si="0"/>
        <v>30.101907499346748</v>
      </c>
      <c r="L14" s="3">
        <v>215</v>
      </c>
      <c r="M14" s="1">
        <v>10.4</v>
      </c>
      <c r="N14" s="1">
        <v>47.6</v>
      </c>
      <c r="O14" s="2">
        <f t="shared" si="1"/>
        <v>11.9</v>
      </c>
      <c r="P14" s="1">
        <v>600</v>
      </c>
      <c r="Q14" s="1">
        <v>6.6</v>
      </c>
      <c r="R14" s="1" t="s">
        <v>87</v>
      </c>
      <c r="S14" s="1" t="s">
        <v>1192</v>
      </c>
      <c r="T14" s="1" t="s">
        <v>129</v>
      </c>
      <c r="U14" s="1" t="s">
        <v>1193</v>
      </c>
      <c r="V14" s="16"/>
      <c r="W14" s="1"/>
      <c r="X14" s="1"/>
      <c r="Y14" s="1"/>
      <c r="Z14" s="1"/>
    </row>
    <row r="15" spans="1:26" ht="24.9" customHeight="1" x14ac:dyDescent="0.3">
      <c r="A15" s="3" t="s">
        <v>37</v>
      </c>
      <c r="B15" s="3" t="s">
        <v>1207</v>
      </c>
      <c r="C15" s="5">
        <v>46188</v>
      </c>
      <c r="D15" s="5">
        <v>46190</v>
      </c>
      <c r="E15" s="13" t="s">
        <v>1208</v>
      </c>
      <c r="F15" s="3">
        <v>5</v>
      </c>
      <c r="G15" s="3">
        <v>7000</v>
      </c>
      <c r="H15" s="3">
        <v>31</v>
      </c>
      <c r="I15" s="3">
        <v>3716</v>
      </c>
      <c r="J15" s="3">
        <v>4</v>
      </c>
      <c r="K15" s="4">
        <f t="shared" si="0"/>
        <v>31.001076426264802</v>
      </c>
      <c r="L15" s="3"/>
      <c r="M15" s="1">
        <v>10.5</v>
      </c>
      <c r="N15" s="1">
        <v>48.3</v>
      </c>
      <c r="O15" s="2">
        <f t="shared" si="1"/>
        <v>12.074999999999999</v>
      </c>
      <c r="P15" s="1">
        <v>600</v>
      </c>
      <c r="Q15" s="1">
        <v>6.6</v>
      </c>
      <c r="R15" s="1" t="s">
        <v>87</v>
      </c>
      <c r="S15" s="1" t="s">
        <v>1205</v>
      </c>
      <c r="T15" s="1" t="s">
        <v>1209</v>
      </c>
      <c r="U15" s="1" t="s">
        <v>1210</v>
      </c>
      <c r="V15" s="16"/>
      <c r="W15" s="1" t="s">
        <v>94</v>
      </c>
      <c r="X15" s="1" t="s">
        <v>94</v>
      </c>
      <c r="Y15" s="1"/>
      <c r="Z15" s="1"/>
    </row>
    <row r="16" spans="1:26" ht="24.9" customHeight="1" x14ac:dyDescent="0.3">
      <c r="A16" s="3" t="s">
        <v>38</v>
      </c>
      <c r="B16" s="3" t="s">
        <v>1221</v>
      </c>
      <c r="C16" s="5">
        <v>46190</v>
      </c>
      <c r="D16" s="5">
        <v>46205</v>
      </c>
      <c r="E16" s="13" t="s">
        <v>1222</v>
      </c>
      <c r="F16" s="3">
        <v>5</v>
      </c>
      <c r="G16" s="34" t="s">
        <v>1258</v>
      </c>
      <c r="H16" s="3">
        <v>31.38</v>
      </c>
      <c r="I16" s="3">
        <v>1835</v>
      </c>
      <c r="J16" s="3">
        <v>4</v>
      </c>
      <c r="K16" s="4">
        <f t="shared" si="0"/>
        <v>62.779291553133518</v>
      </c>
      <c r="L16" s="3"/>
      <c r="M16" s="1">
        <v>11.4</v>
      </c>
      <c r="N16" s="1">
        <v>52.3</v>
      </c>
      <c r="O16" s="2">
        <f t="shared" si="1"/>
        <v>13.074999999999999</v>
      </c>
      <c r="P16" s="1">
        <v>600</v>
      </c>
      <c r="Q16" s="1">
        <v>6.6</v>
      </c>
      <c r="R16" s="1" t="s">
        <v>87</v>
      </c>
      <c r="S16" s="1" t="s">
        <v>1156</v>
      </c>
      <c r="T16" s="1" t="s">
        <v>1105</v>
      </c>
      <c r="U16" s="1"/>
      <c r="V16" s="16"/>
      <c r="W16" s="1" t="s">
        <v>94</v>
      </c>
      <c r="X16" s="1" t="s">
        <v>678</v>
      </c>
      <c r="Y16" s="1"/>
      <c r="Z16" s="1"/>
    </row>
    <row r="17" spans="1:26" ht="24.9" customHeight="1" x14ac:dyDescent="0.3">
      <c r="A17" s="3" t="s">
        <v>39</v>
      </c>
      <c r="B17" s="3" t="s">
        <v>1243</v>
      </c>
      <c r="C17" s="5">
        <v>46202</v>
      </c>
      <c r="D17" s="5">
        <v>46216</v>
      </c>
      <c r="E17" s="13" t="s">
        <v>1244</v>
      </c>
      <c r="F17" s="3">
        <v>8</v>
      </c>
      <c r="G17" s="3">
        <v>30000</v>
      </c>
      <c r="H17" s="3">
        <v>44.7</v>
      </c>
      <c r="I17" s="3">
        <v>1288</v>
      </c>
      <c r="J17" s="3">
        <v>2</v>
      </c>
      <c r="K17" s="4">
        <f t="shared" si="0"/>
        <v>44.720496894409941</v>
      </c>
      <c r="L17" s="3">
        <v>1420</v>
      </c>
      <c r="M17" s="1">
        <v>38.4</v>
      </c>
      <c r="N17" s="1">
        <v>77</v>
      </c>
      <c r="O17" s="2">
        <f t="shared" si="1"/>
        <v>38.5</v>
      </c>
      <c r="P17" s="1">
        <v>240</v>
      </c>
      <c r="Q17" s="1">
        <v>9.4</v>
      </c>
      <c r="R17" s="1" t="s">
        <v>87</v>
      </c>
      <c r="S17" s="1" t="s">
        <v>1156</v>
      </c>
      <c r="T17" s="20" t="s">
        <v>1245</v>
      </c>
      <c r="U17" s="1" t="s">
        <v>324</v>
      </c>
      <c r="V17" s="15">
        <v>0.02</v>
      </c>
      <c r="W17" s="1" t="s">
        <v>103</v>
      </c>
      <c r="X17" s="1"/>
      <c r="Y17" s="1"/>
      <c r="Z17" s="1"/>
    </row>
    <row r="18" spans="1:26" ht="24.9" customHeight="1" x14ac:dyDescent="0.3">
      <c r="A18" s="3" t="s">
        <v>40</v>
      </c>
      <c r="B18" s="3" t="s">
        <v>1259</v>
      </c>
      <c r="C18" s="5">
        <v>46205</v>
      </c>
      <c r="D18" s="5">
        <v>46209</v>
      </c>
      <c r="E18" s="13" t="s">
        <v>1260</v>
      </c>
      <c r="F18" s="3">
        <v>5</v>
      </c>
      <c r="G18" s="3">
        <v>8000</v>
      </c>
      <c r="H18" s="3">
        <v>32.340000000000003</v>
      </c>
      <c r="I18" s="3">
        <v>1781</v>
      </c>
      <c r="J18" s="3">
        <v>4</v>
      </c>
      <c r="K18" s="4">
        <f t="shared" si="0"/>
        <v>64.682762492981468</v>
      </c>
      <c r="L18" s="3"/>
      <c r="M18" s="1">
        <v>11.5</v>
      </c>
      <c r="N18" s="1">
        <v>52.7</v>
      </c>
      <c r="O18" s="2">
        <f t="shared" si="1"/>
        <v>13.175000000000001</v>
      </c>
      <c r="P18" s="1">
        <v>600</v>
      </c>
      <c r="Q18" s="1">
        <v>7.15</v>
      </c>
      <c r="R18" s="1" t="s">
        <v>87</v>
      </c>
      <c r="S18" s="1" t="s">
        <v>1252</v>
      </c>
      <c r="T18" s="1" t="s">
        <v>1140</v>
      </c>
      <c r="U18" s="1"/>
      <c r="V18" s="16"/>
      <c r="W18" s="1" t="s">
        <v>678</v>
      </c>
      <c r="X18" s="1"/>
      <c r="Y18" s="1"/>
      <c r="Z18" s="1"/>
    </row>
    <row r="19" spans="1:26" ht="24.9" customHeight="1" x14ac:dyDescent="0.3">
      <c r="A19" s="3" t="s">
        <v>41</v>
      </c>
      <c r="B19" s="11" t="s">
        <v>1296</v>
      </c>
      <c r="C19" s="5">
        <v>46212</v>
      </c>
      <c r="D19" s="5">
        <v>46216</v>
      </c>
      <c r="E19" s="13" t="s">
        <v>1297</v>
      </c>
      <c r="F19" s="3">
        <v>4</v>
      </c>
      <c r="G19" s="3">
        <v>6000</v>
      </c>
      <c r="H19" s="3">
        <v>48</v>
      </c>
      <c r="I19" s="3">
        <v>2400</v>
      </c>
      <c r="J19" s="3">
        <v>4</v>
      </c>
      <c r="K19" s="4">
        <f t="shared" si="0"/>
        <v>48</v>
      </c>
      <c r="L19" s="3"/>
      <c r="M19" s="1">
        <v>21.5</v>
      </c>
      <c r="N19" s="1">
        <v>90.4</v>
      </c>
      <c r="O19" s="2">
        <f t="shared" si="1"/>
        <v>22.6</v>
      </c>
      <c r="P19" s="1">
        <v>600</v>
      </c>
      <c r="Q19" s="1">
        <v>13.65</v>
      </c>
      <c r="R19" s="1" t="s">
        <v>92</v>
      </c>
      <c r="S19" s="1" t="s">
        <v>1252</v>
      </c>
      <c r="T19" s="1" t="s">
        <v>1298</v>
      </c>
      <c r="U19" s="1"/>
      <c r="V19" s="16"/>
      <c r="W19" s="1" t="s">
        <v>678</v>
      </c>
      <c r="X19" s="1"/>
      <c r="Y19" s="1"/>
      <c r="Z19" s="1"/>
    </row>
    <row r="20" spans="1:26" ht="24.9" customHeight="1" x14ac:dyDescent="0.3">
      <c r="A20" s="3" t="s">
        <v>42</v>
      </c>
      <c r="B20" s="11" t="s">
        <v>1306</v>
      </c>
      <c r="C20" s="5">
        <v>46216</v>
      </c>
      <c r="D20" s="5">
        <v>46217</v>
      </c>
      <c r="E20" s="13" t="s">
        <v>1305</v>
      </c>
      <c r="F20" s="3">
        <v>4</v>
      </c>
      <c r="G20" s="3">
        <v>8000</v>
      </c>
      <c r="H20" s="3">
        <v>51</v>
      </c>
      <c r="I20" s="3">
        <v>2558</v>
      </c>
      <c r="J20" s="3">
        <v>4</v>
      </c>
      <c r="K20" s="4">
        <f t="shared" si="0"/>
        <v>45.035183737294759</v>
      </c>
      <c r="L20" s="3"/>
      <c r="M20" s="1">
        <v>21.4</v>
      </c>
      <c r="N20" s="1">
        <v>89.7</v>
      </c>
      <c r="O20" s="2">
        <f t="shared" si="1"/>
        <v>22.425000000000001</v>
      </c>
      <c r="P20" s="1">
        <v>600</v>
      </c>
      <c r="Q20" s="1">
        <v>13.55</v>
      </c>
      <c r="R20" s="1" t="s">
        <v>92</v>
      </c>
      <c r="S20" s="1" t="s">
        <v>1270</v>
      </c>
      <c r="T20" s="1" t="s">
        <v>1298</v>
      </c>
      <c r="U20" s="1"/>
      <c r="V20" s="16"/>
      <c r="W20" s="1" t="s">
        <v>678</v>
      </c>
      <c r="X20" s="1" t="s">
        <v>94</v>
      </c>
      <c r="Y20" s="1"/>
      <c r="Z20" s="1"/>
    </row>
    <row r="21" spans="1:26" ht="24.9" customHeight="1" x14ac:dyDescent="0.3">
      <c r="A21" s="3" t="s">
        <v>43</v>
      </c>
      <c r="B21" s="11" t="s">
        <v>1313</v>
      </c>
      <c r="C21" s="5">
        <v>46217</v>
      </c>
      <c r="D21" s="5">
        <v>46219</v>
      </c>
      <c r="E21" s="13" t="s">
        <v>1314</v>
      </c>
      <c r="F21" s="3">
        <v>4</v>
      </c>
      <c r="G21" s="3">
        <v>4200</v>
      </c>
      <c r="H21" s="3">
        <v>50.5</v>
      </c>
      <c r="I21" s="3">
        <v>2280</v>
      </c>
      <c r="J21" s="3">
        <v>4</v>
      </c>
      <c r="K21" s="4">
        <f t="shared" si="0"/>
        <v>50.526315789473685</v>
      </c>
      <c r="L21" s="3"/>
      <c r="M21" s="1">
        <v>17.7</v>
      </c>
      <c r="N21" s="1">
        <v>74.7</v>
      </c>
      <c r="O21" s="2">
        <f t="shared" si="1"/>
        <v>18.675000000000001</v>
      </c>
      <c r="P21" s="1">
        <v>700</v>
      </c>
      <c r="Q21" s="1">
        <v>13</v>
      </c>
      <c r="R21" s="1" t="s">
        <v>92</v>
      </c>
      <c r="S21" s="1" t="s">
        <v>1274</v>
      </c>
      <c r="T21" s="1" t="s">
        <v>1298</v>
      </c>
      <c r="U21" s="1"/>
      <c r="V21" s="16"/>
      <c r="W21" s="1" t="s">
        <v>678</v>
      </c>
      <c r="X21" s="1" t="s">
        <v>156</v>
      </c>
      <c r="Y21" s="1"/>
      <c r="Z21" s="1"/>
    </row>
    <row r="22" spans="1:26" ht="24.9" customHeight="1" x14ac:dyDescent="0.3">
      <c r="A22" s="3" t="s">
        <v>44</v>
      </c>
      <c r="B22" s="11" t="s">
        <v>1327</v>
      </c>
      <c r="C22" s="5">
        <v>46219</v>
      </c>
      <c r="D22" s="5">
        <v>46220</v>
      </c>
      <c r="E22" s="13" t="s">
        <v>1328</v>
      </c>
      <c r="F22" s="3">
        <v>4</v>
      </c>
      <c r="G22" s="3">
        <v>5000</v>
      </c>
      <c r="H22" s="3">
        <v>45.7</v>
      </c>
      <c r="I22" s="3">
        <v>2520</v>
      </c>
      <c r="J22" s="3">
        <v>4</v>
      </c>
      <c r="K22" s="4">
        <f t="shared" si="0"/>
        <v>45.714285714285715</v>
      </c>
      <c r="L22" s="3"/>
      <c r="M22" s="1">
        <v>14.6</v>
      </c>
      <c r="N22" s="1">
        <v>58.5</v>
      </c>
      <c r="O22" s="2">
        <f t="shared" si="1"/>
        <v>14.625</v>
      </c>
      <c r="P22" s="1">
        <v>900</v>
      </c>
      <c r="Q22" s="1">
        <v>13.7</v>
      </c>
      <c r="R22" s="1" t="s">
        <v>92</v>
      </c>
      <c r="S22" s="1" t="s">
        <v>1276</v>
      </c>
      <c r="T22" s="1" t="s">
        <v>1298</v>
      </c>
      <c r="U22" s="1"/>
      <c r="V22" s="16"/>
      <c r="W22" s="1" t="s">
        <v>156</v>
      </c>
      <c r="X22" s="1" t="s">
        <v>678</v>
      </c>
      <c r="Y22" s="1" t="s">
        <v>151</v>
      </c>
      <c r="Z22" s="1"/>
    </row>
    <row r="23" spans="1:26" ht="24.9" customHeight="1" x14ac:dyDescent="0.3">
      <c r="A23" s="3" t="s">
        <v>45</v>
      </c>
      <c r="B23" s="11" t="s">
        <v>1338</v>
      </c>
      <c r="C23" s="5">
        <v>46220</v>
      </c>
      <c r="D23" s="5">
        <v>46226</v>
      </c>
      <c r="E23" s="13" t="s">
        <v>1339</v>
      </c>
      <c r="F23" s="3">
        <v>4</v>
      </c>
      <c r="G23" s="3">
        <v>15400</v>
      </c>
      <c r="H23" s="3">
        <v>57.4</v>
      </c>
      <c r="I23" s="3">
        <v>2006</v>
      </c>
      <c r="J23" s="3">
        <v>4</v>
      </c>
      <c r="K23" s="4">
        <f t="shared" si="0"/>
        <v>57.427716849451642</v>
      </c>
      <c r="L23" s="3">
        <v>254</v>
      </c>
      <c r="M23" s="1">
        <v>17.3</v>
      </c>
      <c r="N23" s="1">
        <v>69.3</v>
      </c>
      <c r="O23" s="2">
        <f t="shared" si="1"/>
        <v>17.324999999999999</v>
      </c>
      <c r="P23" s="1">
        <v>700</v>
      </c>
      <c r="Q23" s="1">
        <v>12.7</v>
      </c>
      <c r="R23" s="1" t="s">
        <v>92</v>
      </c>
      <c r="S23" s="1" t="s">
        <v>1278</v>
      </c>
      <c r="T23" s="1" t="s">
        <v>1298</v>
      </c>
      <c r="U23" s="1"/>
      <c r="V23" s="1"/>
      <c r="W23" s="1" t="s">
        <v>678</v>
      </c>
      <c r="X23" s="1" t="s">
        <v>94</v>
      </c>
      <c r="Y23" s="1" t="s">
        <v>120</v>
      </c>
      <c r="Z23" s="1"/>
    </row>
    <row r="24" spans="1:26" ht="24.9" customHeight="1" x14ac:dyDescent="0.3">
      <c r="A24" s="3" t="s">
        <v>46</v>
      </c>
      <c r="B24" s="25" t="s">
        <v>1353</v>
      </c>
      <c r="C24" s="5">
        <v>46226</v>
      </c>
      <c r="D24" s="5">
        <v>46227</v>
      </c>
      <c r="E24" s="13" t="s">
        <v>1354</v>
      </c>
      <c r="F24" s="3">
        <v>4</v>
      </c>
      <c r="G24" s="3">
        <v>3000</v>
      </c>
      <c r="H24" s="3">
        <v>52.2</v>
      </c>
      <c r="I24" s="3">
        <v>2206</v>
      </c>
      <c r="J24" s="3">
        <v>4</v>
      </c>
      <c r="K24" s="4">
        <f t="shared" si="0"/>
        <v>52.221214868540343</v>
      </c>
      <c r="L24" s="3"/>
      <c r="M24" s="1">
        <v>3.6</v>
      </c>
      <c r="N24" s="1">
        <v>18.7</v>
      </c>
      <c r="O24" s="2">
        <f t="shared" si="1"/>
        <v>4.6749999999999998</v>
      </c>
      <c r="P24" s="1">
        <v>3000</v>
      </c>
      <c r="Q24" s="1">
        <v>11.4</v>
      </c>
      <c r="R24" s="1" t="s">
        <v>92</v>
      </c>
      <c r="S24" s="1" t="s">
        <v>1280</v>
      </c>
      <c r="T24" s="1" t="s">
        <v>1298</v>
      </c>
      <c r="U24" s="1"/>
      <c r="V24" s="1"/>
      <c r="W24" s="1" t="s">
        <v>94</v>
      </c>
      <c r="X24" s="1"/>
      <c r="Y24" s="1"/>
      <c r="Z24" s="1"/>
    </row>
    <row r="25" spans="1:26" ht="24.9" customHeight="1" x14ac:dyDescent="0.3">
      <c r="A25" s="3" t="s">
        <v>47</v>
      </c>
      <c r="B25" s="11" t="s">
        <v>1564</v>
      </c>
      <c r="C25" s="5">
        <v>46276</v>
      </c>
      <c r="D25" s="5">
        <v>46282</v>
      </c>
      <c r="E25" s="13" t="s">
        <v>1565</v>
      </c>
      <c r="F25" s="3">
        <v>6</v>
      </c>
      <c r="G25" s="3" t="s">
        <v>1817</v>
      </c>
      <c r="H25" s="3">
        <v>24.71</v>
      </c>
      <c r="I25" s="3">
        <v>4660</v>
      </c>
      <c r="J25" s="3">
        <v>4</v>
      </c>
      <c r="K25" s="4">
        <f t="shared" si="0"/>
        <v>24.721030042918454</v>
      </c>
      <c r="L25" s="3"/>
      <c r="M25" s="1">
        <v>11.5</v>
      </c>
      <c r="N25" s="1">
        <v>52.5</v>
      </c>
      <c r="O25" s="2">
        <f t="shared" si="1"/>
        <v>13.125</v>
      </c>
      <c r="P25" s="1">
        <v>600</v>
      </c>
      <c r="Q25" s="1">
        <v>7.15</v>
      </c>
      <c r="R25" s="1" t="s">
        <v>87</v>
      </c>
      <c r="S25" s="1" t="s">
        <v>1533</v>
      </c>
      <c r="T25" s="1" t="s">
        <v>1140</v>
      </c>
      <c r="U25" s="1"/>
      <c r="V25" s="1"/>
      <c r="W25" s="1" t="s">
        <v>103</v>
      </c>
      <c r="X25" s="1" t="s">
        <v>678</v>
      </c>
      <c r="Y25" s="1"/>
      <c r="Z25" s="1"/>
    </row>
    <row r="26" spans="1:26" ht="24.9" customHeight="1" x14ac:dyDescent="0.3">
      <c r="A26" s="3" t="s">
        <v>48</v>
      </c>
      <c r="B26" s="11" t="s">
        <v>1590</v>
      </c>
      <c r="C26" s="5">
        <v>46282</v>
      </c>
      <c r="D26" s="5">
        <v>46288</v>
      </c>
      <c r="E26" s="13" t="s">
        <v>1591</v>
      </c>
      <c r="F26" s="3">
        <v>6</v>
      </c>
      <c r="G26" s="3" t="s">
        <v>1817</v>
      </c>
      <c r="H26" s="3">
        <v>24.7</v>
      </c>
      <c r="I26" s="3">
        <v>4660</v>
      </c>
      <c r="J26" s="3">
        <v>4</v>
      </c>
      <c r="K26" s="4">
        <f t="shared" si="0"/>
        <v>24.721030042918454</v>
      </c>
      <c r="L26" s="3"/>
      <c r="M26" s="1">
        <v>11.3</v>
      </c>
      <c r="N26" s="1">
        <v>52</v>
      </c>
      <c r="O26" s="2">
        <f t="shared" si="1"/>
        <v>13</v>
      </c>
      <c r="P26" s="1">
        <v>600</v>
      </c>
      <c r="Q26" s="1">
        <v>7.15</v>
      </c>
      <c r="R26" s="1" t="s">
        <v>87</v>
      </c>
      <c r="S26" s="1" t="s">
        <v>1534</v>
      </c>
      <c r="T26" s="1" t="s">
        <v>1105</v>
      </c>
      <c r="U26" s="1"/>
      <c r="V26" s="1"/>
      <c r="W26" s="1" t="s">
        <v>678</v>
      </c>
      <c r="X26" s="1"/>
      <c r="Y26" s="1"/>
      <c r="Z26" s="1"/>
    </row>
    <row r="27" spans="1:26" ht="24.9" customHeight="1" x14ac:dyDescent="0.3">
      <c r="A27" s="3" t="s">
        <v>49</v>
      </c>
      <c r="B27" s="11" t="s">
        <v>1717</v>
      </c>
      <c r="C27" s="5">
        <v>46288</v>
      </c>
      <c r="D27" s="5">
        <v>46294</v>
      </c>
      <c r="E27" s="13" t="s">
        <v>1718</v>
      </c>
      <c r="F27" s="3">
        <v>6</v>
      </c>
      <c r="G27" s="3" t="s">
        <v>1817</v>
      </c>
      <c r="H27" s="3">
        <v>28.98</v>
      </c>
      <c r="I27" s="3">
        <v>3975</v>
      </c>
      <c r="J27" s="3">
        <v>4</v>
      </c>
      <c r="K27" s="4">
        <f t="shared" si="0"/>
        <v>28.981132075471699</v>
      </c>
      <c r="L27" s="3"/>
      <c r="M27" s="1">
        <v>11.5</v>
      </c>
      <c r="N27" s="1">
        <v>52.9</v>
      </c>
      <c r="O27" s="2">
        <f t="shared" si="1"/>
        <v>13.225</v>
      </c>
      <c r="P27" s="1">
        <v>600</v>
      </c>
      <c r="Q27" s="1">
        <v>7.15</v>
      </c>
      <c r="R27" s="1" t="s">
        <v>87</v>
      </c>
      <c r="S27" s="1" t="s">
        <v>1528</v>
      </c>
      <c r="T27" s="11" t="s">
        <v>1140</v>
      </c>
      <c r="U27" s="1" t="s">
        <v>1157</v>
      </c>
      <c r="V27" s="1"/>
      <c r="W27" s="1"/>
      <c r="X27" s="1" t="s">
        <v>103</v>
      </c>
      <c r="Y27" s="1"/>
      <c r="Z27" s="1"/>
    </row>
    <row r="28" spans="1:26" ht="24.9" customHeight="1" x14ac:dyDescent="0.3">
      <c r="A28" s="3" t="s">
        <v>50</v>
      </c>
      <c r="B28" s="3" t="s">
        <v>1765</v>
      </c>
      <c r="C28" s="5">
        <v>46294</v>
      </c>
      <c r="D28" s="5">
        <v>46300</v>
      </c>
      <c r="E28" s="13" t="s">
        <v>1766</v>
      </c>
      <c r="F28" s="3">
        <v>6</v>
      </c>
      <c r="G28" s="3" t="s">
        <v>1817</v>
      </c>
      <c r="H28" s="3">
        <v>31.54</v>
      </c>
      <c r="I28" s="3">
        <v>3652</v>
      </c>
      <c r="J28" s="3">
        <v>4</v>
      </c>
      <c r="K28" s="4">
        <f t="shared" si="0"/>
        <v>31.544359255202629</v>
      </c>
      <c r="L28" s="3"/>
      <c r="M28" s="1">
        <v>10.5</v>
      </c>
      <c r="N28" s="1">
        <v>48.3</v>
      </c>
      <c r="O28" s="2">
        <f t="shared" si="1"/>
        <v>12.074999999999999</v>
      </c>
      <c r="P28" s="1">
        <v>600</v>
      </c>
      <c r="Q28" s="1">
        <v>7.15</v>
      </c>
      <c r="R28" s="1" t="s">
        <v>87</v>
      </c>
      <c r="S28" s="1" t="s">
        <v>1533</v>
      </c>
      <c r="T28" s="1" t="s">
        <v>1209</v>
      </c>
      <c r="U28" s="1" t="s">
        <v>1210</v>
      </c>
      <c r="V28" s="1"/>
      <c r="W28" s="1" t="s">
        <v>678</v>
      </c>
      <c r="X28" s="1"/>
      <c r="Y28" s="1"/>
      <c r="Z28" s="1"/>
    </row>
    <row r="29" spans="1:26" ht="24.9" customHeight="1" x14ac:dyDescent="0.3">
      <c r="A29" s="3" t="s">
        <v>51</v>
      </c>
      <c r="B29" s="3" t="s">
        <v>1767</v>
      </c>
      <c r="C29" s="5">
        <v>46300</v>
      </c>
      <c r="D29" s="5">
        <v>46304</v>
      </c>
      <c r="E29" s="13" t="s">
        <v>1768</v>
      </c>
      <c r="F29" s="3">
        <v>6</v>
      </c>
      <c r="G29" s="3" t="s">
        <v>1817</v>
      </c>
      <c r="H29" s="3">
        <v>32.22</v>
      </c>
      <c r="I29" s="3">
        <v>3574</v>
      </c>
      <c r="J29" s="3">
        <v>4</v>
      </c>
      <c r="K29" s="4">
        <f t="shared" si="0"/>
        <v>32.232792389479577</v>
      </c>
      <c r="L29" s="3"/>
      <c r="M29" s="1">
        <v>10.4</v>
      </c>
      <c r="N29" s="1">
        <v>47.8</v>
      </c>
      <c r="O29" s="2">
        <f t="shared" si="1"/>
        <v>11.95</v>
      </c>
      <c r="P29" s="1">
        <v>600</v>
      </c>
      <c r="Q29" s="1">
        <v>7.15</v>
      </c>
      <c r="R29" s="1" t="s">
        <v>87</v>
      </c>
      <c r="S29" s="1" t="s">
        <v>1757</v>
      </c>
      <c r="T29" s="1" t="s">
        <v>129</v>
      </c>
      <c r="U29" s="1" t="s">
        <v>1769</v>
      </c>
      <c r="V29" s="1"/>
      <c r="W29" s="1" t="s">
        <v>94</v>
      </c>
      <c r="X29" s="1"/>
      <c r="Y29" s="1"/>
      <c r="Z29" s="1"/>
    </row>
    <row r="30" spans="1:26" ht="24.9" customHeight="1" x14ac:dyDescent="0.3">
      <c r="A30" s="3" t="s">
        <v>52</v>
      </c>
      <c r="B30" s="3" t="s">
        <v>1818</v>
      </c>
      <c r="C30" s="5">
        <v>46304</v>
      </c>
      <c r="D30" s="3"/>
      <c r="E30" s="13" t="s">
        <v>1768</v>
      </c>
      <c r="F30" s="3">
        <v>6</v>
      </c>
      <c r="G30" s="3"/>
      <c r="H30" s="3"/>
      <c r="I30" s="3"/>
      <c r="J30" s="3">
        <v>4</v>
      </c>
      <c r="K30" s="4" t="e">
        <f t="shared" si="0"/>
        <v>#DIV/0!</v>
      </c>
      <c r="L30" s="3"/>
      <c r="M30" s="1">
        <v>10.4</v>
      </c>
      <c r="N30" s="1">
        <v>47.7</v>
      </c>
      <c r="O30" s="2">
        <f t="shared" si="1"/>
        <v>11.925000000000001</v>
      </c>
      <c r="P30" s="1">
        <v>600</v>
      </c>
      <c r="Q30" s="1">
        <v>6.6</v>
      </c>
      <c r="R30" s="1" t="s">
        <v>87</v>
      </c>
      <c r="S30" s="1" t="s">
        <v>1760</v>
      </c>
      <c r="T30" s="1" t="s">
        <v>129</v>
      </c>
      <c r="U30" s="1" t="s">
        <v>1193</v>
      </c>
      <c r="V30" s="1"/>
      <c r="W30" s="1" t="s">
        <v>103</v>
      </c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1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1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1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1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1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1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1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1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6B66-0A2E-42C6-848F-BF66B71C3AC6}">
  <sheetPr codeName="Arkusz26">
    <pageSetUpPr fitToPage="1"/>
  </sheetPr>
  <dimension ref="A1:Z452"/>
  <sheetViews>
    <sheetView topLeftCell="A381" workbookViewId="0">
      <selection activeCell="W396" sqref="W396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10.10937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84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28" t="s">
        <v>25</v>
      </c>
      <c r="B3" s="28" t="s">
        <v>131</v>
      </c>
      <c r="C3" s="5">
        <v>46036</v>
      </c>
      <c r="D3" s="5">
        <v>46037</v>
      </c>
      <c r="E3" s="13" t="s">
        <v>132</v>
      </c>
      <c r="F3" s="3">
        <v>4</v>
      </c>
      <c r="G3" s="3">
        <v>1005</v>
      </c>
      <c r="H3" s="3">
        <v>36</v>
      </c>
      <c r="I3" s="3">
        <v>800</v>
      </c>
      <c r="J3" s="3">
        <v>1</v>
      </c>
      <c r="K3" s="4">
        <f>(3600/(I3/8))*J3</f>
        <v>36</v>
      </c>
      <c r="L3" s="3"/>
      <c r="M3" s="1">
        <v>45.2</v>
      </c>
      <c r="N3" s="1">
        <v>45.7</v>
      </c>
      <c r="O3" s="2">
        <f>N3/J3</f>
        <v>45.7</v>
      </c>
      <c r="P3" s="1">
        <v>175</v>
      </c>
      <c r="Q3" s="1">
        <v>8.0500000000000007</v>
      </c>
      <c r="R3" s="1" t="s">
        <v>87</v>
      </c>
      <c r="S3" s="6" t="s">
        <v>88</v>
      </c>
      <c r="T3" s="17" t="s">
        <v>133</v>
      </c>
      <c r="U3" s="1" t="s">
        <v>134</v>
      </c>
      <c r="V3" s="14">
        <v>0.02</v>
      </c>
      <c r="W3" s="1" t="s">
        <v>103</v>
      </c>
      <c r="X3" s="1"/>
      <c r="Y3" s="1"/>
      <c r="Z3" s="1"/>
    </row>
    <row r="4" spans="1:26" ht="24.9" customHeight="1" x14ac:dyDescent="0.3">
      <c r="A4" s="28" t="s">
        <v>26</v>
      </c>
      <c r="B4" s="28" t="s">
        <v>140</v>
      </c>
      <c r="C4" s="5">
        <v>46037</v>
      </c>
      <c r="D4" s="5">
        <v>46038</v>
      </c>
      <c r="E4" s="13" t="s">
        <v>132</v>
      </c>
      <c r="F4" s="3">
        <v>4</v>
      </c>
      <c r="G4" s="3">
        <v>1020</v>
      </c>
      <c r="H4" s="3">
        <v>36.1</v>
      </c>
      <c r="I4" s="3">
        <v>797</v>
      </c>
      <c r="J4" s="3">
        <v>1</v>
      </c>
      <c r="K4" s="4">
        <f t="shared" ref="K4:K59" si="0">(3600/(I4/8))*J4</f>
        <v>36.135508155583437</v>
      </c>
      <c r="L4" s="3">
        <v>322</v>
      </c>
      <c r="M4" s="1">
        <v>45.3</v>
      </c>
      <c r="N4" s="1">
        <v>45.8</v>
      </c>
      <c r="O4" s="2">
        <f t="shared" ref="O4:O59" si="1">N4/J4</f>
        <v>45.8</v>
      </c>
      <c r="P4" s="1">
        <v>175</v>
      </c>
      <c r="Q4" s="1">
        <v>8.0500000000000007</v>
      </c>
      <c r="R4" s="1" t="s">
        <v>87</v>
      </c>
      <c r="S4" s="6" t="s">
        <v>101</v>
      </c>
      <c r="T4" s="17" t="s">
        <v>133</v>
      </c>
      <c r="U4" s="1" t="s">
        <v>141</v>
      </c>
      <c r="V4" s="14">
        <v>0.03</v>
      </c>
      <c r="W4" s="1" t="s">
        <v>103</v>
      </c>
      <c r="X4" s="1"/>
      <c r="Y4" s="1"/>
      <c r="Z4" s="1"/>
    </row>
    <row r="5" spans="1:26" ht="24.9" customHeight="1" x14ac:dyDescent="0.3">
      <c r="A5" s="28" t="s">
        <v>27</v>
      </c>
      <c r="B5" s="28" t="s">
        <v>147</v>
      </c>
      <c r="C5" s="5">
        <v>45673</v>
      </c>
      <c r="D5" s="5">
        <v>46041</v>
      </c>
      <c r="E5" s="13" t="s">
        <v>132</v>
      </c>
      <c r="F5" s="3">
        <v>4</v>
      </c>
      <c r="G5" s="3">
        <v>600</v>
      </c>
      <c r="H5" s="3">
        <v>36.1</v>
      </c>
      <c r="I5" s="3">
        <v>797</v>
      </c>
      <c r="J5" s="3">
        <v>1</v>
      </c>
      <c r="K5" s="4">
        <f t="shared" si="0"/>
        <v>36.135508155583437</v>
      </c>
      <c r="L5" s="3"/>
      <c r="M5" s="1">
        <v>45</v>
      </c>
      <c r="N5" s="1">
        <v>45.5</v>
      </c>
      <c r="O5" s="2">
        <f t="shared" si="1"/>
        <v>45.5</v>
      </c>
      <c r="P5" s="1">
        <v>175</v>
      </c>
      <c r="Q5" s="1">
        <v>8.0500000000000007</v>
      </c>
      <c r="R5" s="1" t="s">
        <v>87</v>
      </c>
      <c r="S5" s="1" t="s">
        <v>148</v>
      </c>
      <c r="T5" s="17" t="s">
        <v>133</v>
      </c>
      <c r="U5" s="1" t="s">
        <v>149</v>
      </c>
      <c r="V5" s="14">
        <v>0.02</v>
      </c>
      <c r="W5" s="1" t="s">
        <v>103</v>
      </c>
      <c r="X5" s="1" t="s">
        <v>150</v>
      </c>
      <c r="Y5" s="1" t="s">
        <v>151</v>
      </c>
      <c r="Z5" s="1"/>
    </row>
    <row r="6" spans="1:26" ht="24.9" customHeight="1" x14ac:dyDescent="0.3">
      <c r="A6" s="28" t="s">
        <v>28</v>
      </c>
      <c r="B6" s="28" t="s">
        <v>135</v>
      </c>
      <c r="C6" s="5">
        <v>46036</v>
      </c>
      <c r="D6" s="5">
        <v>46043</v>
      </c>
      <c r="E6" s="13" t="s">
        <v>139</v>
      </c>
      <c r="F6" s="3">
        <v>3</v>
      </c>
      <c r="G6" s="3">
        <v>6000</v>
      </c>
      <c r="H6" s="3">
        <v>45.7</v>
      </c>
      <c r="I6" s="3">
        <v>630</v>
      </c>
      <c r="J6" s="3">
        <v>1</v>
      </c>
      <c r="K6" s="4">
        <f t="shared" si="0"/>
        <v>45.714285714285715</v>
      </c>
      <c r="L6" s="3"/>
      <c r="M6" s="1">
        <v>118</v>
      </c>
      <c r="N6" s="1">
        <v>118.6</v>
      </c>
      <c r="O6" s="2">
        <f t="shared" si="1"/>
        <v>118.6</v>
      </c>
      <c r="P6" s="1">
        <v>40</v>
      </c>
      <c r="Q6" s="1">
        <v>4.95</v>
      </c>
      <c r="R6" s="1" t="s">
        <v>87</v>
      </c>
      <c r="S6" s="1" t="s">
        <v>88</v>
      </c>
      <c r="T6" s="18" t="s">
        <v>133</v>
      </c>
      <c r="U6" s="1" t="s">
        <v>136</v>
      </c>
      <c r="V6" s="14">
        <v>0.02</v>
      </c>
      <c r="W6" s="1" t="s">
        <v>103</v>
      </c>
      <c r="X6" s="1" t="s">
        <v>103</v>
      </c>
      <c r="Y6" s="1" t="s">
        <v>120</v>
      </c>
      <c r="Z6" s="1"/>
    </row>
    <row r="7" spans="1:26" ht="24.9" customHeight="1" x14ac:dyDescent="0.3">
      <c r="A7" s="28" t="s">
        <v>29</v>
      </c>
      <c r="B7" s="28" t="s">
        <v>175</v>
      </c>
      <c r="C7" s="5">
        <v>46042</v>
      </c>
      <c r="D7" s="5">
        <v>46043</v>
      </c>
      <c r="E7" s="13" t="s">
        <v>164</v>
      </c>
      <c r="F7" s="3">
        <v>2</v>
      </c>
      <c r="G7" s="3">
        <v>850</v>
      </c>
      <c r="H7" s="3">
        <v>45.4</v>
      </c>
      <c r="I7" s="3">
        <v>634</v>
      </c>
      <c r="J7" s="3">
        <v>1</v>
      </c>
      <c r="K7" s="4">
        <f t="shared" si="0"/>
        <v>45.425867507886437</v>
      </c>
      <c r="L7" s="3">
        <v>70</v>
      </c>
      <c r="M7" s="1">
        <v>248.7</v>
      </c>
      <c r="N7" s="1">
        <v>249.4</v>
      </c>
      <c r="O7" s="2">
        <f t="shared" si="1"/>
        <v>249.4</v>
      </c>
      <c r="P7" s="1">
        <v>25</v>
      </c>
      <c r="Q7" s="1">
        <v>6.75</v>
      </c>
      <c r="R7" s="1" t="s">
        <v>92</v>
      </c>
      <c r="S7" s="1" t="s">
        <v>88</v>
      </c>
      <c r="T7" s="20" t="s">
        <v>165</v>
      </c>
      <c r="U7" s="1" t="s">
        <v>134</v>
      </c>
      <c r="V7" s="14">
        <v>0.02</v>
      </c>
      <c r="W7" s="1" t="s">
        <v>94</v>
      </c>
      <c r="X7" s="1"/>
      <c r="Y7" s="1"/>
      <c r="Z7" s="1"/>
    </row>
    <row r="8" spans="1:26" ht="24.9" customHeight="1" x14ac:dyDescent="0.3">
      <c r="A8" s="28" t="s">
        <v>30</v>
      </c>
      <c r="B8" s="28" t="s">
        <v>176</v>
      </c>
      <c r="C8" s="5">
        <v>46043</v>
      </c>
      <c r="D8" s="5">
        <v>46044</v>
      </c>
      <c r="E8" s="13" t="s">
        <v>164</v>
      </c>
      <c r="F8" s="3">
        <v>2</v>
      </c>
      <c r="G8" s="3">
        <v>1300</v>
      </c>
      <c r="H8" s="3">
        <v>45.4</v>
      </c>
      <c r="I8" s="3">
        <v>364</v>
      </c>
      <c r="J8" s="3">
        <v>1</v>
      </c>
      <c r="K8" s="4">
        <f t="shared" si="0"/>
        <v>79.120879120879124</v>
      </c>
      <c r="L8" s="3">
        <v>60</v>
      </c>
      <c r="M8" s="1">
        <v>237.5</v>
      </c>
      <c r="N8" s="1">
        <v>238.9</v>
      </c>
      <c r="O8" s="2">
        <f t="shared" si="1"/>
        <v>238.9</v>
      </c>
      <c r="P8" s="1">
        <v>25</v>
      </c>
      <c r="Q8" s="1">
        <v>6.75</v>
      </c>
      <c r="R8" s="1" t="s">
        <v>92</v>
      </c>
      <c r="S8" s="1" t="s">
        <v>101</v>
      </c>
      <c r="T8" s="20" t="s">
        <v>165</v>
      </c>
      <c r="U8" s="1" t="s">
        <v>177</v>
      </c>
      <c r="V8" s="14">
        <v>0.02</v>
      </c>
      <c r="W8" s="1" t="s">
        <v>94</v>
      </c>
      <c r="X8" s="1"/>
      <c r="Y8" s="1"/>
      <c r="Z8" s="1"/>
    </row>
    <row r="9" spans="1:26" ht="24.9" customHeight="1" x14ac:dyDescent="0.3">
      <c r="A9" s="28" t="s">
        <v>31</v>
      </c>
      <c r="B9" s="28" t="s">
        <v>166</v>
      </c>
      <c r="C9" s="5">
        <v>46043</v>
      </c>
      <c r="D9" s="5">
        <v>46048</v>
      </c>
      <c r="E9" s="13" t="s">
        <v>167</v>
      </c>
      <c r="F9" s="3">
        <v>4</v>
      </c>
      <c r="G9" s="3">
        <v>5218</v>
      </c>
      <c r="H9" s="3">
        <v>33.1</v>
      </c>
      <c r="I9" s="3">
        <v>870</v>
      </c>
      <c r="J9" s="3">
        <v>1</v>
      </c>
      <c r="K9" s="4">
        <f t="shared" si="0"/>
        <v>33.103448275862071</v>
      </c>
      <c r="L9" s="3">
        <v>242</v>
      </c>
      <c r="M9" s="1">
        <v>56.7</v>
      </c>
      <c r="N9" s="1">
        <v>57.2</v>
      </c>
      <c r="O9" s="2">
        <f t="shared" si="1"/>
        <v>57.2</v>
      </c>
      <c r="P9" s="1">
        <v>175</v>
      </c>
      <c r="Q9" s="1">
        <v>10.7</v>
      </c>
      <c r="R9" s="1" t="s">
        <v>168</v>
      </c>
      <c r="S9" s="1" t="s">
        <v>88</v>
      </c>
      <c r="T9" s="20" t="s">
        <v>165</v>
      </c>
      <c r="U9" s="1" t="s">
        <v>169</v>
      </c>
      <c r="V9" s="14">
        <v>0.02</v>
      </c>
      <c r="W9" s="1" t="s">
        <v>103</v>
      </c>
      <c r="X9" s="1"/>
      <c r="Y9" s="1"/>
      <c r="Z9" s="1"/>
    </row>
    <row r="10" spans="1:26" ht="24.9" customHeight="1" x14ac:dyDescent="0.3">
      <c r="A10" s="28" t="s">
        <v>32</v>
      </c>
      <c r="B10" s="28" t="s">
        <v>178</v>
      </c>
      <c r="C10" s="5">
        <v>46044</v>
      </c>
      <c r="D10" s="5">
        <v>46045</v>
      </c>
      <c r="E10" s="13" t="s">
        <v>179</v>
      </c>
      <c r="F10" s="3">
        <v>2</v>
      </c>
      <c r="G10" s="3">
        <v>323</v>
      </c>
      <c r="H10" s="3">
        <v>45.5</v>
      </c>
      <c r="I10" s="3">
        <v>633</v>
      </c>
      <c r="J10" s="3">
        <v>1</v>
      </c>
      <c r="K10" s="4">
        <f t="shared" si="0"/>
        <v>45.497630331753555</v>
      </c>
      <c r="L10" s="3"/>
      <c r="M10" s="1">
        <v>229.1</v>
      </c>
      <c r="N10" s="1">
        <v>230.8</v>
      </c>
      <c r="O10" s="2">
        <f t="shared" si="1"/>
        <v>230.8</v>
      </c>
      <c r="P10" s="1">
        <v>25</v>
      </c>
      <c r="Q10" s="1">
        <v>6.75</v>
      </c>
      <c r="R10" s="1" t="s">
        <v>92</v>
      </c>
      <c r="S10" s="1" t="s">
        <v>88</v>
      </c>
      <c r="T10" s="20" t="s">
        <v>165</v>
      </c>
      <c r="U10" s="1" t="s">
        <v>180</v>
      </c>
      <c r="V10" s="14">
        <v>0.02</v>
      </c>
      <c r="W10" s="1" t="s">
        <v>94</v>
      </c>
      <c r="X10" s="1"/>
      <c r="Y10" s="1"/>
      <c r="Z10" s="1"/>
    </row>
    <row r="11" spans="1:26" ht="24.9" customHeight="1" x14ac:dyDescent="0.3">
      <c r="A11" s="28" t="s">
        <v>33</v>
      </c>
      <c r="B11" s="28" t="s">
        <v>183</v>
      </c>
      <c r="C11" s="5">
        <v>46045</v>
      </c>
      <c r="D11" s="5">
        <v>46045</v>
      </c>
      <c r="E11" s="13" t="s">
        <v>179</v>
      </c>
      <c r="F11" s="3">
        <v>2</v>
      </c>
      <c r="G11" s="3">
        <v>555</v>
      </c>
      <c r="H11" s="3">
        <v>45.5</v>
      </c>
      <c r="I11" s="3">
        <v>633</v>
      </c>
      <c r="J11" s="3">
        <v>1</v>
      </c>
      <c r="K11" s="4">
        <f t="shared" si="0"/>
        <v>45.497630331753555</v>
      </c>
      <c r="L11" s="3">
        <v>82</v>
      </c>
      <c r="M11" s="1">
        <v>244.4</v>
      </c>
      <c r="N11" s="1">
        <v>253.4</v>
      </c>
      <c r="O11" s="2">
        <f t="shared" si="1"/>
        <v>253.4</v>
      </c>
      <c r="P11" s="1">
        <v>25</v>
      </c>
      <c r="Q11" s="1">
        <v>6.75</v>
      </c>
      <c r="R11" s="1" t="s">
        <v>92</v>
      </c>
      <c r="S11" s="1" t="s">
        <v>101</v>
      </c>
      <c r="T11" s="20" t="s">
        <v>165</v>
      </c>
      <c r="U11" s="1" t="s">
        <v>184</v>
      </c>
      <c r="V11" s="14">
        <v>0.02</v>
      </c>
      <c r="W11" s="1"/>
      <c r="X11" s="1"/>
      <c r="Y11" s="1"/>
      <c r="Z11" s="1"/>
    </row>
    <row r="12" spans="1:26" ht="24.9" customHeight="1" x14ac:dyDescent="0.3">
      <c r="A12" s="28" t="s">
        <v>34</v>
      </c>
      <c r="B12" s="28" t="s">
        <v>185</v>
      </c>
      <c r="C12" s="5">
        <v>46048</v>
      </c>
      <c r="D12" s="5">
        <v>46048</v>
      </c>
      <c r="E12" s="13" t="s">
        <v>179</v>
      </c>
      <c r="F12" s="3">
        <v>2</v>
      </c>
      <c r="G12" s="3">
        <v>504</v>
      </c>
      <c r="H12" s="3">
        <v>66.7</v>
      </c>
      <c r="I12" s="3">
        <v>432</v>
      </c>
      <c r="J12" s="3">
        <v>1</v>
      </c>
      <c r="K12" s="4">
        <f t="shared" si="0"/>
        <v>66.666666666666671</v>
      </c>
      <c r="L12" s="3">
        <v>130</v>
      </c>
      <c r="M12" s="1">
        <v>254.4</v>
      </c>
      <c r="N12" s="1">
        <v>255.4</v>
      </c>
      <c r="O12" s="2">
        <f t="shared" si="1"/>
        <v>255.4</v>
      </c>
      <c r="P12" s="1">
        <v>25</v>
      </c>
      <c r="Q12" s="1">
        <v>6.75</v>
      </c>
      <c r="R12" s="1" t="s">
        <v>92</v>
      </c>
      <c r="S12" s="1" t="s">
        <v>117</v>
      </c>
      <c r="T12" s="20" t="s">
        <v>165</v>
      </c>
      <c r="U12" s="1" t="s">
        <v>141</v>
      </c>
      <c r="V12" s="14">
        <v>0.02</v>
      </c>
      <c r="W12" s="1"/>
      <c r="X12" s="1"/>
      <c r="Y12" s="1"/>
      <c r="Z12" s="1"/>
    </row>
    <row r="13" spans="1:26" ht="24.9" customHeight="1" x14ac:dyDescent="0.3">
      <c r="A13" s="28" t="s">
        <v>35</v>
      </c>
      <c r="B13" s="28" t="s">
        <v>194</v>
      </c>
      <c r="C13" s="5">
        <v>46045</v>
      </c>
      <c r="D13" s="5">
        <v>46048</v>
      </c>
      <c r="E13" s="13" t="s">
        <v>186</v>
      </c>
      <c r="F13" s="3">
        <v>3</v>
      </c>
      <c r="G13" s="3">
        <v>500</v>
      </c>
      <c r="H13" s="3">
        <v>48</v>
      </c>
      <c r="I13" s="3">
        <v>600</v>
      </c>
      <c r="J13" s="3">
        <v>1</v>
      </c>
      <c r="K13" s="4">
        <f t="shared" si="0"/>
        <v>48</v>
      </c>
      <c r="L13" s="3"/>
      <c r="M13" s="1">
        <v>122.1</v>
      </c>
      <c r="N13" s="1">
        <v>123.4</v>
      </c>
      <c r="O13" s="2">
        <f t="shared" si="1"/>
        <v>123.4</v>
      </c>
      <c r="P13" s="1">
        <v>40</v>
      </c>
      <c r="Q13" s="1">
        <v>5.0999999999999996</v>
      </c>
      <c r="R13" s="1" t="s">
        <v>87</v>
      </c>
      <c r="S13" s="1" t="s">
        <v>88</v>
      </c>
      <c r="T13" s="20" t="s">
        <v>165</v>
      </c>
      <c r="U13" s="1" t="s">
        <v>169</v>
      </c>
      <c r="V13" s="14">
        <v>0.02</v>
      </c>
      <c r="W13" s="1" t="s">
        <v>94</v>
      </c>
      <c r="X13" s="1"/>
      <c r="Y13" s="1"/>
      <c r="Z13" s="1"/>
    </row>
    <row r="14" spans="1:26" ht="24.9" customHeight="1" x14ac:dyDescent="0.3">
      <c r="A14" s="28" t="s">
        <v>36</v>
      </c>
      <c r="B14" s="28" t="s">
        <v>195</v>
      </c>
      <c r="C14" s="5">
        <v>46048</v>
      </c>
      <c r="D14" s="3" t="s">
        <v>198</v>
      </c>
      <c r="E14" s="13" t="s">
        <v>186</v>
      </c>
      <c r="F14" s="3">
        <v>3</v>
      </c>
      <c r="G14" s="3">
        <v>920</v>
      </c>
      <c r="H14" s="3">
        <v>47.9</v>
      </c>
      <c r="I14" s="3">
        <v>601</v>
      </c>
      <c r="J14" s="3">
        <v>1</v>
      </c>
      <c r="K14" s="4">
        <f t="shared" si="0"/>
        <v>47.920133111480865</v>
      </c>
      <c r="L14" s="3"/>
      <c r="M14" s="1">
        <v>123</v>
      </c>
      <c r="N14" s="1">
        <v>123.7</v>
      </c>
      <c r="O14" s="2">
        <f t="shared" si="1"/>
        <v>123.7</v>
      </c>
      <c r="P14" s="1">
        <v>40</v>
      </c>
      <c r="Q14" s="1">
        <v>5.0999999999999996</v>
      </c>
      <c r="R14" s="1" t="s">
        <v>87</v>
      </c>
      <c r="S14" s="1" t="s">
        <v>101</v>
      </c>
      <c r="T14" s="20" t="s">
        <v>165</v>
      </c>
      <c r="U14" s="1" t="s">
        <v>199</v>
      </c>
      <c r="V14" s="14">
        <v>0.02</v>
      </c>
      <c r="W14" s="1"/>
      <c r="X14" s="1"/>
      <c r="Y14" s="1"/>
      <c r="Z14" s="1"/>
    </row>
    <row r="15" spans="1:26" ht="24.9" customHeight="1" x14ac:dyDescent="0.3">
      <c r="A15" s="28" t="s">
        <v>37</v>
      </c>
      <c r="B15" s="28" t="s">
        <v>196</v>
      </c>
      <c r="C15" s="5">
        <v>46049</v>
      </c>
      <c r="D15" s="5">
        <v>46050</v>
      </c>
      <c r="E15" s="13" t="s">
        <v>186</v>
      </c>
      <c r="F15" s="3">
        <v>3</v>
      </c>
      <c r="G15" s="3">
        <v>1000</v>
      </c>
      <c r="H15" s="3">
        <v>48.1</v>
      </c>
      <c r="I15" s="3">
        <v>598</v>
      </c>
      <c r="J15" s="3">
        <v>1</v>
      </c>
      <c r="K15" s="4">
        <f t="shared" si="0"/>
        <v>48.16053511705686</v>
      </c>
      <c r="L15" s="3"/>
      <c r="M15" s="1">
        <v>122.4</v>
      </c>
      <c r="N15" s="1">
        <v>123</v>
      </c>
      <c r="O15" s="2">
        <f t="shared" si="1"/>
        <v>123</v>
      </c>
      <c r="P15" s="1">
        <v>40</v>
      </c>
      <c r="Q15" s="1">
        <v>5.0999999999999996</v>
      </c>
      <c r="R15" s="1" t="s">
        <v>87</v>
      </c>
      <c r="S15" s="21" t="s">
        <v>117</v>
      </c>
      <c r="T15" s="20" t="s">
        <v>165</v>
      </c>
      <c r="U15" s="1" t="s">
        <v>199</v>
      </c>
      <c r="V15" s="14">
        <v>0.02</v>
      </c>
      <c r="W15" s="1"/>
      <c r="X15" s="1"/>
      <c r="Y15" s="1"/>
      <c r="Z15" s="1"/>
    </row>
    <row r="16" spans="1:26" ht="24.9" customHeight="1" x14ac:dyDescent="0.3">
      <c r="A16" s="28" t="s">
        <v>38</v>
      </c>
      <c r="B16" s="28" t="s">
        <v>197</v>
      </c>
      <c r="C16" s="5">
        <v>46050</v>
      </c>
      <c r="D16" s="5">
        <v>46051</v>
      </c>
      <c r="E16" s="13" t="s">
        <v>186</v>
      </c>
      <c r="F16" s="3">
        <v>3</v>
      </c>
      <c r="G16" s="3">
        <v>1000</v>
      </c>
      <c r="H16" s="3">
        <v>48.2</v>
      </c>
      <c r="I16" s="3">
        <v>597</v>
      </c>
      <c r="J16" s="3">
        <v>1</v>
      </c>
      <c r="K16" s="4">
        <f t="shared" si="0"/>
        <v>48.241206030150757</v>
      </c>
      <c r="L16" s="3"/>
      <c r="M16" s="1">
        <v>122.3</v>
      </c>
      <c r="N16" s="1">
        <v>123</v>
      </c>
      <c r="O16" s="2">
        <f t="shared" si="1"/>
        <v>123</v>
      </c>
      <c r="P16" s="1">
        <v>40</v>
      </c>
      <c r="Q16" s="1">
        <v>5.0999999999999996</v>
      </c>
      <c r="R16" s="1" t="s">
        <v>87</v>
      </c>
      <c r="S16" s="1" t="s">
        <v>119</v>
      </c>
      <c r="T16" s="20" t="s">
        <v>165</v>
      </c>
      <c r="U16" s="1" t="s">
        <v>208</v>
      </c>
      <c r="V16" s="14">
        <v>0.02</v>
      </c>
      <c r="W16" s="1"/>
      <c r="X16" s="1"/>
      <c r="Y16" s="1"/>
      <c r="Z16" s="1"/>
    </row>
    <row r="17" spans="1:26" ht="24.9" customHeight="1" x14ac:dyDescent="0.3">
      <c r="A17" s="28" t="s">
        <v>39</v>
      </c>
      <c r="B17" s="28" t="s">
        <v>200</v>
      </c>
      <c r="C17" s="5">
        <v>46049</v>
      </c>
      <c r="D17" s="3" t="s">
        <v>209</v>
      </c>
      <c r="E17" s="13" t="s">
        <v>201</v>
      </c>
      <c r="F17" s="3">
        <v>2</v>
      </c>
      <c r="G17" s="3">
        <v>501</v>
      </c>
      <c r="H17" s="3">
        <v>67.400000000000006</v>
      </c>
      <c r="I17" s="3">
        <v>427</v>
      </c>
      <c r="J17" s="3">
        <v>1</v>
      </c>
      <c r="K17" s="4">
        <f t="shared" si="0"/>
        <v>67.44730679156909</v>
      </c>
      <c r="L17" s="3">
        <v>65</v>
      </c>
      <c r="M17" s="1">
        <v>208</v>
      </c>
      <c r="N17" s="1">
        <v>208.6</v>
      </c>
      <c r="O17" s="2">
        <f t="shared" si="1"/>
        <v>208.6</v>
      </c>
      <c r="P17" s="1">
        <v>52</v>
      </c>
      <c r="Q17" s="1">
        <v>11.9</v>
      </c>
      <c r="R17" s="1" t="s">
        <v>99</v>
      </c>
      <c r="S17" s="1" t="s">
        <v>88</v>
      </c>
      <c r="T17" s="20" t="s">
        <v>202</v>
      </c>
      <c r="U17" s="1" t="s">
        <v>184</v>
      </c>
      <c r="V17" s="14">
        <v>0.02</v>
      </c>
      <c r="W17" s="1" t="s">
        <v>103</v>
      </c>
      <c r="X17" s="1"/>
      <c r="Y17" s="1"/>
      <c r="Z17" s="1"/>
    </row>
    <row r="18" spans="1:26" ht="24.9" customHeight="1" x14ac:dyDescent="0.3">
      <c r="A18" s="28" t="s">
        <v>40</v>
      </c>
      <c r="B18" s="28" t="s">
        <v>210</v>
      </c>
      <c r="C18" s="5">
        <v>46049</v>
      </c>
      <c r="D18" s="5">
        <v>46050</v>
      </c>
      <c r="E18" s="13" t="s">
        <v>201</v>
      </c>
      <c r="F18" s="3">
        <v>2</v>
      </c>
      <c r="G18" s="3">
        <v>520</v>
      </c>
      <c r="H18" s="3">
        <v>72.2</v>
      </c>
      <c r="I18" s="3">
        <v>399</v>
      </c>
      <c r="J18" s="3">
        <v>1</v>
      </c>
      <c r="K18" s="4">
        <f t="shared" si="0"/>
        <v>72.180451127819552</v>
      </c>
      <c r="L18" s="3">
        <v>23</v>
      </c>
      <c r="M18" s="1">
        <v>209.7</v>
      </c>
      <c r="N18" s="1">
        <v>210.3</v>
      </c>
      <c r="O18" s="2">
        <f t="shared" si="1"/>
        <v>210.3</v>
      </c>
      <c r="P18" s="1">
        <v>52</v>
      </c>
      <c r="Q18" s="1">
        <v>11.9</v>
      </c>
      <c r="R18" s="1" t="s">
        <v>99</v>
      </c>
      <c r="S18" s="1" t="s">
        <v>101</v>
      </c>
      <c r="T18" s="20" t="s">
        <v>165</v>
      </c>
      <c r="U18" s="1" t="s">
        <v>211</v>
      </c>
      <c r="V18" s="14">
        <v>0.02</v>
      </c>
      <c r="W18" s="1"/>
      <c r="X18" s="1"/>
      <c r="Y18" s="1"/>
      <c r="Z18" s="1"/>
    </row>
    <row r="19" spans="1:26" ht="24.9" customHeight="1" x14ac:dyDescent="0.3">
      <c r="A19" s="28" t="s">
        <v>41</v>
      </c>
      <c r="B19" s="28" t="s">
        <v>212</v>
      </c>
      <c r="C19" s="5">
        <v>46050</v>
      </c>
      <c r="D19" s="5">
        <v>46052</v>
      </c>
      <c r="E19" s="13" t="s">
        <v>201</v>
      </c>
      <c r="F19" s="3">
        <v>2</v>
      </c>
      <c r="G19" s="3">
        <v>1200</v>
      </c>
      <c r="H19" s="3">
        <v>77.400000000000006</v>
      </c>
      <c r="I19" s="3">
        <v>372</v>
      </c>
      <c r="J19" s="3">
        <v>1</v>
      </c>
      <c r="K19" s="4">
        <f t="shared" si="0"/>
        <v>77.41935483870968</v>
      </c>
      <c r="L19" s="3">
        <v>36</v>
      </c>
      <c r="M19" s="1">
        <v>209.4</v>
      </c>
      <c r="N19" s="1">
        <v>210</v>
      </c>
      <c r="O19" s="2">
        <f t="shared" si="1"/>
        <v>210</v>
      </c>
      <c r="P19" s="1">
        <v>52</v>
      </c>
      <c r="Q19" s="1">
        <v>11.9</v>
      </c>
      <c r="R19" s="1" t="s">
        <v>99</v>
      </c>
      <c r="S19" s="1" t="s">
        <v>117</v>
      </c>
      <c r="T19" s="20" t="s">
        <v>165</v>
      </c>
      <c r="U19" s="1" t="s">
        <v>134</v>
      </c>
      <c r="V19" s="14">
        <v>0.02</v>
      </c>
      <c r="W19" s="1"/>
      <c r="X19" s="1"/>
      <c r="Y19" s="1"/>
      <c r="Z19" s="1"/>
    </row>
    <row r="20" spans="1:26" ht="24.9" customHeight="1" x14ac:dyDescent="0.3">
      <c r="A20" s="28" t="s">
        <v>42</v>
      </c>
      <c r="B20" s="28" t="s">
        <v>221</v>
      </c>
      <c r="C20" s="5">
        <v>46052</v>
      </c>
      <c r="D20" s="5">
        <v>46055</v>
      </c>
      <c r="E20" s="13" t="s">
        <v>201</v>
      </c>
      <c r="F20" s="3">
        <v>2</v>
      </c>
      <c r="G20" s="3">
        <v>500</v>
      </c>
      <c r="H20" s="3">
        <v>77.2</v>
      </c>
      <c r="I20" s="3">
        <v>373</v>
      </c>
      <c r="J20" s="3">
        <v>1</v>
      </c>
      <c r="K20" s="4">
        <f t="shared" si="0"/>
        <v>77.211796246648788</v>
      </c>
      <c r="L20" s="3"/>
      <c r="M20" s="1">
        <v>208.8</v>
      </c>
      <c r="N20" s="1">
        <v>209.4</v>
      </c>
      <c r="O20" s="2">
        <f t="shared" si="1"/>
        <v>209.4</v>
      </c>
      <c r="P20" s="1">
        <v>52</v>
      </c>
      <c r="Q20" s="1">
        <v>11.9</v>
      </c>
      <c r="R20" s="1" t="s">
        <v>99</v>
      </c>
      <c r="S20" s="1" t="s">
        <v>119</v>
      </c>
      <c r="T20" s="20" t="s">
        <v>202</v>
      </c>
      <c r="U20" s="1" t="s">
        <v>149</v>
      </c>
      <c r="V20" s="14">
        <v>0.02</v>
      </c>
      <c r="W20" s="1"/>
      <c r="X20" s="1"/>
      <c r="Y20" s="1"/>
      <c r="Z20" s="1"/>
    </row>
    <row r="21" spans="1:26" ht="24.9" customHeight="1" x14ac:dyDescent="0.3">
      <c r="A21" s="28" t="s">
        <v>43</v>
      </c>
      <c r="B21" s="28" t="s">
        <v>238</v>
      </c>
      <c r="C21" s="5">
        <v>46055</v>
      </c>
      <c r="D21" s="5">
        <v>46056</v>
      </c>
      <c r="E21" s="13" t="s">
        <v>201</v>
      </c>
      <c r="F21" s="3">
        <v>2</v>
      </c>
      <c r="G21" s="3">
        <v>1248</v>
      </c>
      <c r="H21" s="3">
        <v>75.599999999999994</v>
      </c>
      <c r="I21" s="3">
        <v>380</v>
      </c>
      <c r="J21" s="3">
        <v>1</v>
      </c>
      <c r="K21" s="4">
        <f t="shared" si="0"/>
        <v>75.78947368421052</v>
      </c>
      <c r="L21" s="3">
        <v>58</v>
      </c>
      <c r="M21" s="1">
        <v>211.9</v>
      </c>
      <c r="N21" s="1">
        <v>212.2</v>
      </c>
      <c r="O21" s="2">
        <f t="shared" si="1"/>
        <v>212.2</v>
      </c>
      <c r="P21" s="1">
        <v>52</v>
      </c>
      <c r="Q21" s="1">
        <v>11.9</v>
      </c>
      <c r="R21" s="1" t="s">
        <v>99</v>
      </c>
      <c r="S21" s="1" t="s">
        <v>239</v>
      </c>
      <c r="T21" s="20" t="s">
        <v>202</v>
      </c>
      <c r="U21" s="1" t="s">
        <v>180</v>
      </c>
      <c r="V21" s="14">
        <v>0.02</v>
      </c>
      <c r="W21" s="1"/>
      <c r="X21" s="1" t="s">
        <v>94</v>
      </c>
      <c r="Y21" s="1" t="s">
        <v>120</v>
      </c>
      <c r="Z21" s="1"/>
    </row>
    <row r="22" spans="1:26" ht="24.9" customHeight="1" x14ac:dyDescent="0.3">
      <c r="A22" s="28" t="s">
        <v>44</v>
      </c>
      <c r="B22" s="28" t="s">
        <v>203</v>
      </c>
      <c r="C22" s="5">
        <v>46045</v>
      </c>
      <c r="D22" s="5">
        <v>46057</v>
      </c>
      <c r="E22" s="13" t="s">
        <v>204</v>
      </c>
      <c r="F22" s="3">
        <v>8</v>
      </c>
      <c r="G22" s="3">
        <v>5100</v>
      </c>
      <c r="H22" s="3">
        <v>71.3</v>
      </c>
      <c r="I22" s="3">
        <v>404</v>
      </c>
      <c r="J22" s="3">
        <v>1</v>
      </c>
      <c r="K22" s="4">
        <f t="shared" si="0"/>
        <v>71.287128712871294</v>
      </c>
      <c r="L22" s="3"/>
      <c r="M22" s="1">
        <v>398.7</v>
      </c>
      <c r="N22" s="1">
        <v>400</v>
      </c>
      <c r="O22" s="2">
        <f t="shared" si="1"/>
        <v>400</v>
      </c>
      <c r="P22" s="1">
        <v>20</v>
      </c>
      <c r="Q22" s="1">
        <v>8.1999999999999993</v>
      </c>
      <c r="R22" s="1" t="s">
        <v>205</v>
      </c>
      <c r="S22" s="1" t="s">
        <v>88</v>
      </c>
      <c r="T22" s="17" t="s">
        <v>206</v>
      </c>
      <c r="U22" s="1" t="s">
        <v>207</v>
      </c>
      <c r="V22" s="14">
        <v>0.02</v>
      </c>
      <c r="W22" s="1" t="s">
        <v>103</v>
      </c>
      <c r="X22" s="1" t="s">
        <v>103</v>
      </c>
      <c r="Y22" s="1" t="s">
        <v>120</v>
      </c>
      <c r="Z22" s="1"/>
    </row>
    <row r="23" spans="1:26" ht="24.9" customHeight="1" x14ac:dyDescent="0.3">
      <c r="A23" s="28" t="s">
        <v>45</v>
      </c>
      <c r="B23" s="28" t="s">
        <v>235</v>
      </c>
      <c r="C23" s="5">
        <v>46051</v>
      </c>
      <c r="D23" s="5">
        <v>46052</v>
      </c>
      <c r="E23" s="13" t="s">
        <v>213</v>
      </c>
      <c r="F23" s="3">
        <v>1</v>
      </c>
      <c r="G23" s="3">
        <v>1285</v>
      </c>
      <c r="H23" s="3">
        <v>44.7</v>
      </c>
      <c r="I23" s="3">
        <v>644</v>
      </c>
      <c r="J23" s="3">
        <v>1</v>
      </c>
      <c r="K23" s="4">
        <f t="shared" si="0"/>
        <v>44.720496894409941</v>
      </c>
      <c r="L23" s="3">
        <v>169</v>
      </c>
      <c r="M23" s="1">
        <v>104.4</v>
      </c>
      <c r="N23" s="1">
        <v>107</v>
      </c>
      <c r="O23" s="2">
        <f t="shared" si="1"/>
        <v>107</v>
      </c>
      <c r="P23" s="1">
        <v>100</v>
      </c>
      <c r="Q23" s="1">
        <v>10.85</v>
      </c>
      <c r="R23" s="1" t="s">
        <v>168</v>
      </c>
      <c r="S23" s="1" t="s">
        <v>214</v>
      </c>
      <c r="T23" s="11" t="s">
        <v>215</v>
      </c>
      <c r="U23" s="1" t="s">
        <v>216</v>
      </c>
      <c r="V23" s="14">
        <v>0.02</v>
      </c>
      <c r="W23" s="1" t="s">
        <v>103</v>
      </c>
      <c r="X23" s="1"/>
      <c r="Y23" s="1"/>
      <c r="Z23" s="1"/>
    </row>
    <row r="24" spans="1:26" ht="24.9" customHeight="1" x14ac:dyDescent="0.3">
      <c r="A24" s="28" t="s">
        <v>46</v>
      </c>
      <c r="B24" s="28" t="s">
        <v>236</v>
      </c>
      <c r="C24" s="5">
        <v>46055</v>
      </c>
      <c r="D24" s="5">
        <v>46056</v>
      </c>
      <c r="E24" s="13" t="s">
        <v>213</v>
      </c>
      <c r="F24" s="3">
        <v>1</v>
      </c>
      <c r="G24" s="3">
        <v>1225</v>
      </c>
      <c r="H24" s="3">
        <v>44.7</v>
      </c>
      <c r="I24" s="3">
        <v>644</v>
      </c>
      <c r="J24" s="3">
        <v>1</v>
      </c>
      <c r="K24" s="4">
        <f t="shared" si="0"/>
        <v>44.720496894409941</v>
      </c>
      <c r="L24" s="3"/>
      <c r="M24" s="1">
        <v>100.9</v>
      </c>
      <c r="N24" s="1">
        <v>101.8</v>
      </c>
      <c r="O24" s="2">
        <f t="shared" si="1"/>
        <v>101.8</v>
      </c>
      <c r="P24" s="1">
        <v>100</v>
      </c>
      <c r="Q24" s="1">
        <v>10.85</v>
      </c>
      <c r="R24" s="1" t="s">
        <v>168</v>
      </c>
      <c r="S24" s="1" t="s">
        <v>237</v>
      </c>
      <c r="T24" s="11" t="s">
        <v>215</v>
      </c>
      <c r="U24" s="1" t="s">
        <v>141</v>
      </c>
      <c r="V24" s="14">
        <v>0.02</v>
      </c>
      <c r="W24" s="1"/>
      <c r="X24" s="1"/>
      <c r="Y24" s="1"/>
      <c r="Z24" s="1"/>
    </row>
    <row r="25" spans="1:26" ht="24.9" customHeight="1" x14ac:dyDescent="0.3">
      <c r="A25" s="28" t="s">
        <v>47</v>
      </c>
      <c r="B25" s="28" t="s">
        <v>249</v>
      </c>
      <c r="C25" s="5">
        <v>46056</v>
      </c>
      <c r="D25" s="5">
        <v>46056</v>
      </c>
      <c r="E25" s="13" t="s">
        <v>213</v>
      </c>
      <c r="F25" s="3">
        <v>1</v>
      </c>
      <c r="G25" s="3">
        <v>800</v>
      </c>
      <c r="H25" s="3">
        <v>44.7</v>
      </c>
      <c r="I25" s="3">
        <v>644</v>
      </c>
      <c r="J25" s="3">
        <v>1</v>
      </c>
      <c r="K25" s="4">
        <f t="shared" si="0"/>
        <v>44.720496894409941</v>
      </c>
      <c r="L25" s="3"/>
      <c r="M25" s="1">
        <v>101.8</v>
      </c>
      <c r="N25" s="1">
        <v>102.7</v>
      </c>
      <c r="O25" s="2">
        <f t="shared" si="1"/>
        <v>102.7</v>
      </c>
      <c r="P25" s="1">
        <v>100</v>
      </c>
      <c r="Q25" s="1">
        <v>10.85</v>
      </c>
      <c r="R25" s="1" t="s">
        <v>168</v>
      </c>
      <c r="S25" s="1" t="s">
        <v>250</v>
      </c>
      <c r="T25" s="11" t="s">
        <v>215</v>
      </c>
      <c r="U25" s="1" t="s">
        <v>251</v>
      </c>
      <c r="V25" s="14">
        <v>0.02</v>
      </c>
      <c r="W25" s="1"/>
      <c r="X25" s="1"/>
      <c r="Y25" s="1"/>
      <c r="Z25" s="1"/>
    </row>
    <row r="26" spans="1:26" ht="24.9" customHeight="1" x14ac:dyDescent="0.3">
      <c r="A26" s="28" t="s">
        <v>48</v>
      </c>
      <c r="B26" s="28" t="s">
        <v>252</v>
      </c>
      <c r="C26" s="5">
        <v>46057</v>
      </c>
      <c r="D26" s="5">
        <v>46057</v>
      </c>
      <c r="E26" s="13" t="s">
        <v>213</v>
      </c>
      <c r="F26" s="3">
        <v>1</v>
      </c>
      <c r="G26" s="3">
        <v>600</v>
      </c>
      <c r="H26" s="3">
        <v>44.7</v>
      </c>
      <c r="I26" s="3">
        <v>644</v>
      </c>
      <c r="J26" s="3">
        <v>1</v>
      </c>
      <c r="K26" s="4">
        <f t="shared" si="0"/>
        <v>44.720496894409941</v>
      </c>
      <c r="L26" s="3">
        <v>14</v>
      </c>
      <c r="M26" s="1">
        <v>101.6</v>
      </c>
      <c r="N26" s="1">
        <v>102.5</v>
      </c>
      <c r="O26" s="2">
        <f t="shared" si="1"/>
        <v>102.5</v>
      </c>
      <c r="P26" s="1">
        <v>100</v>
      </c>
      <c r="Q26" s="1">
        <v>10.85</v>
      </c>
      <c r="R26" s="1" t="s">
        <v>168</v>
      </c>
      <c r="S26" s="1" t="s">
        <v>253</v>
      </c>
      <c r="T26" s="11" t="s">
        <v>215</v>
      </c>
      <c r="U26" s="1" t="s">
        <v>254</v>
      </c>
      <c r="V26" s="14">
        <v>0.02</v>
      </c>
      <c r="W26" s="1"/>
      <c r="X26" s="1"/>
      <c r="Y26" s="1"/>
      <c r="Z26" s="1"/>
    </row>
    <row r="27" spans="1:26" ht="24.9" customHeight="1" x14ac:dyDescent="0.3">
      <c r="A27" s="28" t="s">
        <v>49</v>
      </c>
      <c r="B27" s="28" t="s">
        <v>259</v>
      </c>
      <c r="C27" s="5">
        <v>46057</v>
      </c>
      <c r="D27" s="5">
        <v>46058</v>
      </c>
      <c r="E27" s="13" t="s">
        <v>213</v>
      </c>
      <c r="F27" s="3">
        <v>1</v>
      </c>
      <c r="G27" s="3">
        <v>500</v>
      </c>
      <c r="H27" s="3">
        <v>44.7</v>
      </c>
      <c r="I27" s="3">
        <v>644</v>
      </c>
      <c r="J27" s="3">
        <v>1</v>
      </c>
      <c r="K27" s="4">
        <f t="shared" si="0"/>
        <v>44.720496894409941</v>
      </c>
      <c r="L27" s="3">
        <v>147</v>
      </c>
      <c r="M27" s="1">
        <v>101.9</v>
      </c>
      <c r="N27" s="1">
        <v>102.8</v>
      </c>
      <c r="O27" s="2">
        <f t="shared" si="1"/>
        <v>102.8</v>
      </c>
      <c r="P27" s="1">
        <v>100</v>
      </c>
      <c r="Q27" s="1">
        <v>10.85</v>
      </c>
      <c r="R27" s="1" t="s">
        <v>168</v>
      </c>
      <c r="S27" s="1" t="s">
        <v>239</v>
      </c>
      <c r="T27" s="20" t="s">
        <v>215</v>
      </c>
      <c r="U27" s="1" t="s">
        <v>263</v>
      </c>
      <c r="V27" s="14">
        <v>0.02</v>
      </c>
      <c r="W27" s="1"/>
      <c r="X27" s="1" t="s">
        <v>156</v>
      </c>
      <c r="Y27" s="1"/>
      <c r="Z27" s="1"/>
    </row>
    <row r="28" spans="1:26" ht="24.9" customHeight="1" x14ac:dyDescent="0.3">
      <c r="A28" s="28" t="s">
        <v>50</v>
      </c>
      <c r="B28" s="28" t="s">
        <v>255</v>
      </c>
      <c r="C28" s="5">
        <v>46057</v>
      </c>
      <c r="D28" s="5">
        <v>46063</v>
      </c>
      <c r="E28" s="13" t="s">
        <v>256</v>
      </c>
      <c r="F28" s="3">
        <v>2</v>
      </c>
      <c r="G28" s="3">
        <v>3000</v>
      </c>
      <c r="H28" s="3">
        <v>75.900000000000006</v>
      </c>
      <c r="I28" s="3">
        <v>380</v>
      </c>
      <c r="J28" s="3">
        <v>1</v>
      </c>
      <c r="K28" s="4">
        <f t="shared" si="0"/>
        <v>75.78947368421052</v>
      </c>
      <c r="L28" s="3">
        <v>106</v>
      </c>
      <c r="M28" s="1">
        <v>212.1</v>
      </c>
      <c r="N28" s="1">
        <v>212.8</v>
      </c>
      <c r="O28" s="2">
        <f t="shared" si="1"/>
        <v>212.8</v>
      </c>
      <c r="P28" s="1">
        <v>48</v>
      </c>
      <c r="Q28" s="1">
        <v>11.15</v>
      </c>
      <c r="R28" s="1" t="s">
        <v>257</v>
      </c>
      <c r="S28" s="1" t="s">
        <v>243</v>
      </c>
      <c r="T28" s="20" t="s">
        <v>202</v>
      </c>
      <c r="U28" s="1" t="s">
        <v>258</v>
      </c>
      <c r="V28" s="14">
        <v>0.03</v>
      </c>
      <c r="W28" s="1" t="s">
        <v>94</v>
      </c>
      <c r="X28" s="1"/>
      <c r="Y28" s="1"/>
      <c r="Z28" s="1"/>
    </row>
    <row r="29" spans="1:26" ht="24.9" customHeight="1" x14ac:dyDescent="0.3">
      <c r="A29" s="28" t="s">
        <v>51</v>
      </c>
      <c r="B29" s="28" t="s">
        <v>260</v>
      </c>
      <c r="C29" s="5">
        <v>46057</v>
      </c>
      <c r="D29" s="5">
        <v>46058</v>
      </c>
      <c r="E29" s="3" t="s">
        <v>261</v>
      </c>
      <c r="F29" s="3">
        <v>8</v>
      </c>
      <c r="G29" s="3">
        <v>800</v>
      </c>
      <c r="H29" s="3">
        <v>76.3</v>
      </c>
      <c r="I29" s="3">
        <v>377</v>
      </c>
      <c r="J29" s="3">
        <v>1</v>
      </c>
      <c r="K29" s="4">
        <f t="shared" si="0"/>
        <v>76.392572944297086</v>
      </c>
      <c r="L29" s="3"/>
      <c r="M29" s="1">
        <v>398.7</v>
      </c>
      <c r="N29" s="1">
        <v>400</v>
      </c>
      <c r="O29" s="2">
        <f t="shared" si="1"/>
        <v>400</v>
      </c>
      <c r="P29" s="1">
        <v>20</v>
      </c>
      <c r="Q29" s="1">
        <v>8.1999999999999993</v>
      </c>
      <c r="R29" s="1" t="s">
        <v>205</v>
      </c>
      <c r="S29" s="1" t="s">
        <v>243</v>
      </c>
      <c r="T29" s="17" t="s">
        <v>133</v>
      </c>
      <c r="U29" s="1" t="s">
        <v>180</v>
      </c>
      <c r="V29" s="14">
        <v>0.02</v>
      </c>
      <c r="W29" s="1" t="s">
        <v>103</v>
      </c>
      <c r="X29" s="1"/>
      <c r="Y29" s="1"/>
      <c r="Z29" s="1"/>
    </row>
    <row r="30" spans="1:26" ht="24.9" customHeight="1" x14ac:dyDescent="0.3">
      <c r="A30" s="28" t="s">
        <v>52</v>
      </c>
      <c r="B30" s="28" t="s">
        <v>260</v>
      </c>
      <c r="C30" s="5">
        <v>46058</v>
      </c>
      <c r="D30" s="5">
        <v>46062</v>
      </c>
      <c r="E30" s="3" t="s">
        <v>261</v>
      </c>
      <c r="F30" s="3">
        <v>8</v>
      </c>
      <c r="G30" s="3">
        <v>800</v>
      </c>
      <c r="H30" s="3">
        <v>76.3</v>
      </c>
      <c r="I30" s="3">
        <v>377</v>
      </c>
      <c r="J30" s="3">
        <v>1</v>
      </c>
      <c r="K30" s="4">
        <f t="shared" si="0"/>
        <v>76.392572944297086</v>
      </c>
      <c r="L30" s="3">
        <v>36</v>
      </c>
      <c r="M30" s="1">
        <v>398.7</v>
      </c>
      <c r="N30" s="1">
        <v>400</v>
      </c>
      <c r="O30" s="2">
        <f t="shared" si="1"/>
        <v>400</v>
      </c>
      <c r="P30" s="1">
        <v>20</v>
      </c>
      <c r="Q30" s="1">
        <v>8.1999999999999993</v>
      </c>
      <c r="R30" s="1" t="s">
        <v>205</v>
      </c>
      <c r="S30" s="1" t="s">
        <v>237</v>
      </c>
      <c r="T30" s="17" t="s">
        <v>133</v>
      </c>
      <c r="U30" s="1" t="s">
        <v>169</v>
      </c>
      <c r="V30" s="14">
        <v>0.02</v>
      </c>
      <c r="W30" s="1"/>
      <c r="X30" s="1"/>
      <c r="Y30" s="1"/>
      <c r="Z30" s="1"/>
    </row>
    <row r="31" spans="1:26" ht="24.9" customHeight="1" x14ac:dyDescent="0.3">
      <c r="A31" s="28" t="s">
        <v>53</v>
      </c>
      <c r="B31" s="28" t="s">
        <v>260</v>
      </c>
      <c r="C31" s="5">
        <v>46062</v>
      </c>
      <c r="D31" s="5">
        <v>46063</v>
      </c>
      <c r="E31" s="3" t="s">
        <v>261</v>
      </c>
      <c r="F31" s="3">
        <v>8</v>
      </c>
      <c r="G31" s="3">
        <v>800</v>
      </c>
      <c r="H31" s="3">
        <v>76.3</v>
      </c>
      <c r="I31" s="3">
        <v>377</v>
      </c>
      <c r="J31" s="3">
        <v>1</v>
      </c>
      <c r="K31" s="4">
        <f t="shared" si="0"/>
        <v>76.392572944297086</v>
      </c>
      <c r="L31" s="3">
        <v>22</v>
      </c>
      <c r="M31" s="1">
        <v>398.7</v>
      </c>
      <c r="N31" s="1">
        <v>400</v>
      </c>
      <c r="O31" s="2">
        <f t="shared" si="1"/>
        <v>400</v>
      </c>
      <c r="P31" s="1">
        <v>20</v>
      </c>
      <c r="Q31" s="1">
        <v>8.1999999999999993</v>
      </c>
      <c r="R31" s="1" t="s">
        <v>205</v>
      </c>
      <c r="S31" s="1" t="s">
        <v>250</v>
      </c>
      <c r="T31" s="17" t="s">
        <v>133</v>
      </c>
      <c r="U31" s="1" t="s">
        <v>134</v>
      </c>
      <c r="V31" s="14">
        <v>0.02</v>
      </c>
      <c r="W31" s="1"/>
      <c r="X31" s="1" t="s">
        <v>94</v>
      </c>
      <c r="Y31" s="1" t="s">
        <v>120</v>
      </c>
      <c r="Z31" s="1"/>
    </row>
    <row r="32" spans="1:26" ht="24.9" customHeight="1" x14ac:dyDescent="0.3">
      <c r="A32" s="28" t="s">
        <v>54</v>
      </c>
      <c r="B32" s="28" t="s">
        <v>264</v>
      </c>
      <c r="C32" s="5">
        <v>46058</v>
      </c>
      <c r="D32" s="5">
        <v>46069</v>
      </c>
      <c r="E32" s="3" t="s">
        <v>265</v>
      </c>
      <c r="F32" s="3">
        <v>1</v>
      </c>
      <c r="G32" s="3">
        <v>7800</v>
      </c>
      <c r="H32" s="3">
        <v>45.1</v>
      </c>
      <c r="I32" s="3">
        <v>638</v>
      </c>
      <c r="J32" s="3">
        <v>1</v>
      </c>
      <c r="K32" s="4">
        <f t="shared" si="0"/>
        <v>45.141065830721004</v>
      </c>
      <c r="L32" s="3">
        <v>640</v>
      </c>
      <c r="M32" s="1">
        <v>101.5</v>
      </c>
      <c r="N32" s="1">
        <v>102.7</v>
      </c>
      <c r="O32" s="2">
        <f t="shared" si="1"/>
        <v>102.7</v>
      </c>
      <c r="P32" s="1">
        <v>100</v>
      </c>
      <c r="Q32" s="1">
        <v>10.85</v>
      </c>
      <c r="R32" s="1" t="s">
        <v>168</v>
      </c>
      <c r="S32" s="1" t="s">
        <v>262</v>
      </c>
      <c r="T32" s="11" t="s">
        <v>215</v>
      </c>
      <c r="U32" s="1" t="s">
        <v>266</v>
      </c>
      <c r="V32" s="14">
        <v>0.02</v>
      </c>
      <c r="W32" s="1" t="s">
        <v>103</v>
      </c>
      <c r="X32" s="1"/>
      <c r="Y32" s="1"/>
      <c r="Z32" s="1"/>
    </row>
    <row r="33" spans="1:26" ht="24.9" customHeight="1" x14ac:dyDescent="0.3">
      <c r="A33" s="28" t="s">
        <v>55</v>
      </c>
      <c r="B33" s="28" t="s">
        <v>277</v>
      </c>
      <c r="C33" s="5">
        <v>46062</v>
      </c>
      <c r="D33" s="5">
        <v>46064</v>
      </c>
      <c r="E33" s="3" t="s">
        <v>278</v>
      </c>
      <c r="F33" s="3">
        <v>5</v>
      </c>
      <c r="G33" s="3">
        <v>1235</v>
      </c>
      <c r="H33" s="3">
        <v>31.6</v>
      </c>
      <c r="I33" s="3">
        <v>911</v>
      </c>
      <c r="J33" s="3">
        <v>1</v>
      </c>
      <c r="K33" s="4">
        <f t="shared" si="0"/>
        <v>31.613611416026345</v>
      </c>
      <c r="L33" s="3"/>
      <c r="M33" s="1">
        <v>61.7</v>
      </c>
      <c r="N33" s="1">
        <v>62.3</v>
      </c>
      <c r="O33" s="2">
        <f t="shared" si="1"/>
        <v>62.3</v>
      </c>
      <c r="P33" s="1">
        <v>160</v>
      </c>
      <c r="Q33" s="1">
        <v>10.3</v>
      </c>
      <c r="R33" s="1" t="s">
        <v>92</v>
      </c>
      <c r="S33" s="1" t="s">
        <v>262</v>
      </c>
      <c r="T33" s="11" t="s">
        <v>215</v>
      </c>
      <c r="U33" s="1" t="s">
        <v>216</v>
      </c>
      <c r="V33" s="14">
        <v>0.02</v>
      </c>
      <c r="W33" s="1" t="s">
        <v>94</v>
      </c>
      <c r="X33" s="1"/>
      <c r="Y33" s="1"/>
      <c r="Z33" s="1"/>
    </row>
    <row r="34" spans="1:26" ht="24.9" customHeight="1" x14ac:dyDescent="0.3">
      <c r="A34" s="28" t="s">
        <v>56</v>
      </c>
      <c r="B34" s="28" t="s">
        <v>282</v>
      </c>
      <c r="C34" s="5">
        <v>46064</v>
      </c>
      <c r="D34" s="5">
        <v>46066</v>
      </c>
      <c r="E34" s="3" t="s">
        <v>278</v>
      </c>
      <c r="F34" s="3">
        <v>5</v>
      </c>
      <c r="G34" s="3">
        <v>1038</v>
      </c>
      <c r="H34" s="3">
        <v>34.520000000000003</v>
      </c>
      <c r="I34" s="3">
        <v>834</v>
      </c>
      <c r="J34" s="3">
        <v>1</v>
      </c>
      <c r="K34" s="4">
        <f t="shared" si="0"/>
        <v>34.532374100719423</v>
      </c>
      <c r="L34" s="3"/>
      <c r="M34" s="1">
        <v>61.5</v>
      </c>
      <c r="N34" s="1">
        <v>63</v>
      </c>
      <c r="O34" s="2">
        <f t="shared" si="1"/>
        <v>63</v>
      </c>
      <c r="P34" s="1">
        <v>160</v>
      </c>
      <c r="Q34" s="1">
        <v>10.3</v>
      </c>
      <c r="R34" s="1" t="s">
        <v>92</v>
      </c>
      <c r="S34" s="1" t="s">
        <v>283</v>
      </c>
      <c r="T34" s="11" t="s">
        <v>215</v>
      </c>
      <c r="U34" s="1" t="s">
        <v>141</v>
      </c>
      <c r="V34" s="14">
        <v>0.02</v>
      </c>
      <c r="W34" s="1"/>
      <c r="X34" s="1"/>
      <c r="Y34" s="1"/>
      <c r="Z34" s="1"/>
    </row>
    <row r="35" spans="1:26" ht="24.9" customHeight="1" x14ac:dyDescent="0.3">
      <c r="A35" s="28" t="s">
        <v>57</v>
      </c>
      <c r="B35" s="28" t="s">
        <v>284</v>
      </c>
      <c r="C35" s="5">
        <v>46069</v>
      </c>
      <c r="D35" s="5">
        <v>46070</v>
      </c>
      <c r="E35" s="3" t="s">
        <v>278</v>
      </c>
      <c r="F35" s="3">
        <v>5</v>
      </c>
      <c r="G35" s="3">
        <v>2005</v>
      </c>
      <c r="H35" s="3">
        <v>34.549999999999997</v>
      </c>
      <c r="I35" s="3">
        <v>833</v>
      </c>
      <c r="J35" s="3">
        <v>1</v>
      </c>
      <c r="K35" s="4">
        <f t="shared" si="0"/>
        <v>34.573829531812727</v>
      </c>
      <c r="L35" s="3">
        <v>215</v>
      </c>
      <c r="M35" s="1">
        <v>61.5</v>
      </c>
      <c r="N35" s="1">
        <v>63.1</v>
      </c>
      <c r="O35" s="2">
        <f t="shared" si="1"/>
        <v>63.1</v>
      </c>
      <c r="P35" s="1">
        <v>160</v>
      </c>
      <c r="Q35" s="1">
        <v>10.3</v>
      </c>
      <c r="R35" s="1" t="s">
        <v>92</v>
      </c>
      <c r="S35" s="1" t="s">
        <v>285</v>
      </c>
      <c r="T35" s="11" t="s">
        <v>215</v>
      </c>
      <c r="U35" s="1" t="s">
        <v>141</v>
      </c>
      <c r="V35" s="14">
        <v>0.02</v>
      </c>
      <c r="W35" s="1"/>
      <c r="X35" s="1"/>
      <c r="Y35" s="1"/>
      <c r="Z35" s="1"/>
    </row>
    <row r="36" spans="1:26" ht="24.9" customHeight="1" x14ac:dyDescent="0.3">
      <c r="A36" s="28" t="s">
        <v>58</v>
      </c>
      <c r="B36" s="28" t="s">
        <v>308</v>
      </c>
      <c r="C36" s="5">
        <v>46070</v>
      </c>
      <c r="D36" s="5">
        <v>46070</v>
      </c>
      <c r="E36" s="3" t="s">
        <v>278</v>
      </c>
      <c r="F36" s="3">
        <v>5</v>
      </c>
      <c r="G36" s="3">
        <v>700</v>
      </c>
      <c r="H36" s="3">
        <v>34.549999999999997</v>
      </c>
      <c r="I36" s="3">
        <v>833</v>
      </c>
      <c r="J36" s="3">
        <v>1</v>
      </c>
      <c r="K36" s="4">
        <f t="shared" si="0"/>
        <v>34.573829531812727</v>
      </c>
      <c r="L36" s="3">
        <v>72</v>
      </c>
      <c r="M36" s="1">
        <v>61.2</v>
      </c>
      <c r="N36" s="1">
        <v>62.7</v>
      </c>
      <c r="O36" s="2">
        <f t="shared" si="1"/>
        <v>62.7</v>
      </c>
      <c r="P36" s="1">
        <v>160</v>
      </c>
      <c r="Q36" s="1">
        <v>10.3</v>
      </c>
      <c r="R36" s="1" t="s">
        <v>92</v>
      </c>
      <c r="S36" s="1" t="s">
        <v>309</v>
      </c>
      <c r="T36" s="11" t="s">
        <v>215</v>
      </c>
      <c r="U36" s="1" t="s">
        <v>310</v>
      </c>
      <c r="V36" s="14">
        <v>0.02</v>
      </c>
      <c r="W36" s="1"/>
      <c r="X36" s="1"/>
      <c r="Y36" s="1"/>
      <c r="Z36" s="1"/>
    </row>
    <row r="37" spans="1:26" ht="24.9" customHeight="1" x14ac:dyDescent="0.3">
      <c r="A37" s="28" t="s">
        <v>59</v>
      </c>
      <c r="B37" s="28" t="s">
        <v>311</v>
      </c>
      <c r="C37" s="5">
        <v>46071</v>
      </c>
      <c r="D37" s="5">
        <v>46071</v>
      </c>
      <c r="E37" s="3" t="s">
        <v>278</v>
      </c>
      <c r="F37" s="3">
        <v>5</v>
      </c>
      <c r="G37" s="3">
        <v>546</v>
      </c>
      <c r="H37" s="3">
        <v>34.549999999999997</v>
      </c>
      <c r="I37" s="3">
        <v>833</v>
      </c>
      <c r="J37" s="3">
        <v>1</v>
      </c>
      <c r="K37" s="4">
        <f t="shared" si="0"/>
        <v>34.573829531812727</v>
      </c>
      <c r="L37" s="3">
        <v>144</v>
      </c>
      <c r="M37" s="1">
        <v>61.8</v>
      </c>
      <c r="N37" s="1">
        <v>63.3</v>
      </c>
      <c r="O37" s="2">
        <f t="shared" si="1"/>
        <v>63.3</v>
      </c>
      <c r="P37" s="1">
        <v>160</v>
      </c>
      <c r="Q37" s="1">
        <v>10.3</v>
      </c>
      <c r="R37" s="1" t="s">
        <v>92</v>
      </c>
      <c r="S37" s="1" t="s">
        <v>312</v>
      </c>
      <c r="T37" s="11" t="s">
        <v>215</v>
      </c>
      <c r="U37" s="1" t="s">
        <v>266</v>
      </c>
      <c r="V37" s="14">
        <v>0.02</v>
      </c>
      <c r="W37" s="1"/>
      <c r="X37" s="1"/>
      <c r="Y37" s="1"/>
      <c r="Z37" s="1"/>
    </row>
    <row r="38" spans="1:26" ht="24.9" customHeight="1" x14ac:dyDescent="0.3">
      <c r="A38" s="28" t="s">
        <v>60</v>
      </c>
      <c r="B38" s="28" t="s">
        <v>279</v>
      </c>
      <c r="C38" s="5">
        <v>46064</v>
      </c>
      <c r="D38" s="5">
        <v>46065</v>
      </c>
      <c r="E38" s="3" t="s">
        <v>280</v>
      </c>
      <c r="F38" s="3">
        <v>4</v>
      </c>
      <c r="G38" s="3">
        <v>1035</v>
      </c>
      <c r="H38" s="3">
        <v>49.1</v>
      </c>
      <c r="I38" s="3">
        <v>586</v>
      </c>
      <c r="J38" s="3">
        <v>1</v>
      </c>
      <c r="K38" s="4">
        <f t="shared" si="0"/>
        <v>49.146757679180887</v>
      </c>
      <c r="L38" s="3"/>
      <c r="M38" s="1">
        <v>128.80000000000001</v>
      </c>
      <c r="N38" s="1">
        <v>129.4</v>
      </c>
      <c r="O38" s="2">
        <f t="shared" si="1"/>
        <v>129.4</v>
      </c>
      <c r="P38" s="1">
        <v>32</v>
      </c>
      <c r="Q38" s="1">
        <v>4.3499999999999996</v>
      </c>
      <c r="R38" s="1" t="s">
        <v>87</v>
      </c>
      <c r="S38" s="1" t="s">
        <v>243</v>
      </c>
      <c r="T38" s="11" t="s">
        <v>206</v>
      </c>
      <c r="U38" s="1" t="s">
        <v>134</v>
      </c>
      <c r="V38" s="14">
        <v>0.02</v>
      </c>
      <c r="W38" s="1" t="s">
        <v>103</v>
      </c>
      <c r="X38" s="1"/>
      <c r="Y38" s="1"/>
      <c r="Z38" s="1"/>
    </row>
    <row r="39" spans="1:26" ht="24.9" customHeight="1" x14ac:dyDescent="0.3">
      <c r="A39" s="28" t="s">
        <v>61</v>
      </c>
      <c r="B39" s="28" t="s">
        <v>281</v>
      </c>
      <c r="C39" s="5">
        <v>46065</v>
      </c>
      <c r="D39" s="5">
        <v>46066</v>
      </c>
      <c r="E39" s="3" t="s">
        <v>280</v>
      </c>
      <c r="F39" s="3">
        <v>4</v>
      </c>
      <c r="G39" s="3">
        <v>1024</v>
      </c>
      <c r="H39" s="3">
        <v>49.1</v>
      </c>
      <c r="I39" s="3">
        <v>589</v>
      </c>
      <c r="J39" s="3">
        <v>1</v>
      </c>
      <c r="K39" s="4">
        <f t="shared" si="0"/>
        <v>48.896434634974533</v>
      </c>
      <c r="L39" s="3"/>
      <c r="M39" s="1">
        <v>128.80000000000001</v>
      </c>
      <c r="N39" s="1">
        <v>129.4</v>
      </c>
      <c r="O39" s="2">
        <f t="shared" si="1"/>
        <v>129.4</v>
      </c>
      <c r="P39" s="1">
        <v>32</v>
      </c>
      <c r="Q39" s="1">
        <v>4.3499999999999996</v>
      </c>
      <c r="R39" s="1" t="s">
        <v>87</v>
      </c>
      <c r="S39" s="1" t="s">
        <v>237</v>
      </c>
      <c r="T39" s="19" t="s">
        <v>133</v>
      </c>
      <c r="U39" s="1" t="s">
        <v>180</v>
      </c>
      <c r="V39" s="14">
        <v>0.02</v>
      </c>
      <c r="W39" s="1"/>
      <c r="X39" s="1" t="s">
        <v>103</v>
      </c>
      <c r="Y39" s="1" t="s">
        <v>120</v>
      </c>
      <c r="Z39" s="1"/>
    </row>
    <row r="40" spans="1:26" ht="24.9" customHeight="1" x14ac:dyDescent="0.3">
      <c r="A40" s="28" t="s">
        <v>62</v>
      </c>
      <c r="B40" s="28" t="s">
        <v>290</v>
      </c>
      <c r="C40" s="5">
        <v>46063</v>
      </c>
      <c r="D40" s="5">
        <v>46064</v>
      </c>
      <c r="E40" s="3" t="s">
        <v>291</v>
      </c>
      <c r="F40" s="3">
        <v>8</v>
      </c>
      <c r="G40" s="3">
        <v>1005</v>
      </c>
      <c r="H40" s="3">
        <v>42.2</v>
      </c>
      <c r="I40" s="3">
        <v>682</v>
      </c>
      <c r="J40" s="3">
        <v>1</v>
      </c>
      <c r="K40" s="4">
        <f t="shared" si="0"/>
        <v>42.228739002932549</v>
      </c>
      <c r="L40" s="3"/>
      <c r="M40" s="1">
        <v>240.3</v>
      </c>
      <c r="N40" s="1">
        <v>241.3</v>
      </c>
      <c r="O40" s="2">
        <f t="shared" si="1"/>
        <v>241.3</v>
      </c>
      <c r="P40" s="1">
        <v>80</v>
      </c>
      <c r="Q40" s="1">
        <v>19.05</v>
      </c>
      <c r="R40" s="1" t="s">
        <v>168</v>
      </c>
      <c r="S40" s="1" t="s">
        <v>243</v>
      </c>
      <c r="T40" s="17" t="s">
        <v>133</v>
      </c>
      <c r="U40" s="1" t="s">
        <v>207</v>
      </c>
      <c r="V40" s="14">
        <v>0.02</v>
      </c>
      <c r="W40" s="1" t="s">
        <v>94</v>
      </c>
      <c r="X40" s="1"/>
      <c r="Y40" s="1"/>
      <c r="Z40" s="1"/>
    </row>
    <row r="41" spans="1:26" ht="24.9" customHeight="1" x14ac:dyDescent="0.3">
      <c r="A41" s="28" t="s">
        <v>63</v>
      </c>
      <c r="B41" s="28" t="s">
        <v>292</v>
      </c>
      <c r="C41" s="5">
        <v>46064</v>
      </c>
      <c r="D41" s="5">
        <v>46065</v>
      </c>
      <c r="E41" s="3" t="s">
        <v>291</v>
      </c>
      <c r="F41" s="3">
        <v>8</v>
      </c>
      <c r="G41" s="3">
        <v>800</v>
      </c>
      <c r="H41" s="3">
        <v>41.5</v>
      </c>
      <c r="I41" s="3">
        <v>693</v>
      </c>
      <c r="J41" s="3">
        <v>1</v>
      </c>
      <c r="K41" s="4">
        <f t="shared" si="0"/>
        <v>41.558441558441558</v>
      </c>
      <c r="L41" s="3"/>
      <c r="M41" s="1">
        <v>240.3</v>
      </c>
      <c r="N41" s="1">
        <v>241.3</v>
      </c>
      <c r="O41" s="2">
        <f t="shared" si="1"/>
        <v>241.3</v>
      </c>
      <c r="P41" s="1">
        <v>80</v>
      </c>
      <c r="Q41" s="1">
        <v>19.05</v>
      </c>
      <c r="R41" s="1" t="s">
        <v>168</v>
      </c>
      <c r="S41" s="1" t="s">
        <v>237</v>
      </c>
      <c r="T41" s="17" t="s">
        <v>133</v>
      </c>
      <c r="U41" s="1" t="s">
        <v>180</v>
      </c>
      <c r="V41" s="14">
        <v>0.02</v>
      </c>
      <c r="W41" s="1"/>
      <c r="X41" s="1"/>
      <c r="Y41" s="1"/>
      <c r="Z41" s="1"/>
    </row>
    <row r="42" spans="1:26" ht="24.9" customHeight="1" x14ac:dyDescent="0.3">
      <c r="A42" s="28" t="s">
        <v>64</v>
      </c>
      <c r="B42" s="28" t="s">
        <v>293</v>
      </c>
      <c r="C42" s="5">
        <v>46065</v>
      </c>
      <c r="D42" s="5">
        <v>46065</v>
      </c>
      <c r="E42" s="3" t="s">
        <v>291</v>
      </c>
      <c r="F42" s="3">
        <v>8</v>
      </c>
      <c r="G42" s="3">
        <v>560</v>
      </c>
      <c r="H42" s="3">
        <v>42.8</v>
      </c>
      <c r="I42" s="3">
        <v>672</v>
      </c>
      <c r="J42" s="3">
        <v>1</v>
      </c>
      <c r="K42" s="4">
        <f t="shared" si="0"/>
        <v>42.857142857142854</v>
      </c>
      <c r="L42" s="3"/>
      <c r="M42" s="1">
        <v>240.3</v>
      </c>
      <c r="N42" s="1">
        <v>241.3</v>
      </c>
      <c r="O42" s="2">
        <f t="shared" si="1"/>
        <v>241.3</v>
      </c>
      <c r="P42" s="1">
        <v>80</v>
      </c>
      <c r="Q42" s="1">
        <v>19.05</v>
      </c>
      <c r="R42" s="1" t="s">
        <v>168</v>
      </c>
      <c r="S42" s="1" t="s">
        <v>250</v>
      </c>
      <c r="T42" s="17" t="s">
        <v>133</v>
      </c>
      <c r="U42" s="1" t="s">
        <v>294</v>
      </c>
      <c r="V42" s="14">
        <v>0.02</v>
      </c>
      <c r="W42" s="1"/>
      <c r="X42" s="1"/>
      <c r="Y42" s="1"/>
      <c r="Z42" s="1"/>
    </row>
    <row r="43" spans="1:26" ht="24.9" customHeight="1" x14ac:dyDescent="0.3">
      <c r="A43" s="28" t="s">
        <v>65</v>
      </c>
      <c r="B43" s="28" t="s">
        <v>295</v>
      </c>
      <c r="C43" s="5">
        <v>46069</v>
      </c>
      <c r="D43" s="5">
        <v>46076</v>
      </c>
      <c r="E43" s="3" t="s">
        <v>296</v>
      </c>
      <c r="F43" s="3">
        <v>8</v>
      </c>
      <c r="G43" s="3">
        <v>5120</v>
      </c>
      <c r="H43" s="3">
        <v>54</v>
      </c>
      <c r="I43" s="3">
        <v>533</v>
      </c>
      <c r="J43" s="3">
        <v>1</v>
      </c>
      <c r="K43" s="4">
        <f t="shared" si="0"/>
        <v>54.033771106941842</v>
      </c>
      <c r="L43" s="3">
        <v>1382</v>
      </c>
      <c r="M43" s="1">
        <v>235.5</v>
      </c>
      <c r="N43" s="1">
        <v>238.9</v>
      </c>
      <c r="O43" s="2">
        <f t="shared" si="1"/>
        <v>238.9</v>
      </c>
      <c r="P43" s="1">
        <v>80</v>
      </c>
      <c r="Q43" s="1">
        <v>19.05</v>
      </c>
      <c r="R43" s="1" t="s">
        <v>168</v>
      </c>
      <c r="S43" s="1" t="s">
        <v>243</v>
      </c>
      <c r="T43" s="17" t="s">
        <v>206</v>
      </c>
      <c r="U43" s="1" t="s">
        <v>300</v>
      </c>
      <c r="V43" s="14">
        <v>0.02</v>
      </c>
      <c r="W43" s="1" t="s">
        <v>103</v>
      </c>
      <c r="X43" s="1"/>
      <c r="Y43" s="1"/>
      <c r="Z43" s="1"/>
    </row>
    <row r="44" spans="1:26" ht="24.9" customHeight="1" x14ac:dyDescent="0.3">
      <c r="A44" s="28" t="s">
        <v>66</v>
      </c>
      <c r="B44" s="28" t="s">
        <v>297</v>
      </c>
      <c r="C44" s="5">
        <v>46070</v>
      </c>
      <c r="D44" s="5">
        <v>46071</v>
      </c>
      <c r="E44" s="3" t="s">
        <v>298</v>
      </c>
      <c r="F44" s="3">
        <v>1</v>
      </c>
      <c r="G44" s="3">
        <v>2284</v>
      </c>
      <c r="H44" s="3">
        <v>50.4</v>
      </c>
      <c r="I44" s="3">
        <v>571</v>
      </c>
      <c r="J44" s="3">
        <v>1</v>
      </c>
      <c r="K44" s="4">
        <f t="shared" si="0"/>
        <v>50.437828371278457</v>
      </c>
      <c r="L44" s="3">
        <v>155</v>
      </c>
      <c r="M44" s="1">
        <v>97.4</v>
      </c>
      <c r="N44" s="1">
        <v>99.1</v>
      </c>
      <c r="O44" s="2">
        <f t="shared" si="1"/>
        <v>99.1</v>
      </c>
      <c r="P44" s="1">
        <v>50</v>
      </c>
      <c r="Q44" s="1">
        <v>5.5</v>
      </c>
      <c r="R44" s="1" t="s">
        <v>168</v>
      </c>
      <c r="S44" s="1" t="s">
        <v>243</v>
      </c>
      <c r="T44" s="17" t="s">
        <v>299</v>
      </c>
      <c r="U44" s="1"/>
      <c r="V44" s="1"/>
      <c r="W44" s="1"/>
      <c r="X44" s="1"/>
      <c r="Y44" s="1"/>
      <c r="Z44" s="1"/>
    </row>
    <row r="45" spans="1:26" ht="24.9" customHeight="1" x14ac:dyDescent="0.3">
      <c r="A45" s="28" t="s">
        <v>67</v>
      </c>
      <c r="B45" s="28" t="s">
        <v>301</v>
      </c>
      <c r="C45" s="5">
        <v>46070</v>
      </c>
      <c r="D45" s="5">
        <v>46072</v>
      </c>
      <c r="E45" s="3" t="s">
        <v>302</v>
      </c>
      <c r="F45" s="3">
        <v>2</v>
      </c>
      <c r="G45" s="3">
        <v>3100</v>
      </c>
      <c r="H45" s="3">
        <v>50.5</v>
      </c>
      <c r="I45" s="3">
        <v>570</v>
      </c>
      <c r="J45" s="3">
        <v>1</v>
      </c>
      <c r="K45" s="4">
        <f t="shared" si="0"/>
        <v>50.526315789473685</v>
      </c>
      <c r="L45" s="3">
        <v>243</v>
      </c>
      <c r="M45" s="1">
        <v>119.2</v>
      </c>
      <c r="N45" s="1">
        <v>121.1</v>
      </c>
      <c r="O45" s="2">
        <f t="shared" si="1"/>
        <v>121.1</v>
      </c>
      <c r="P45" s="1">
        <v>46</v>
      </c>
      <c r="Q45" s="1">
        <v>6.45</v>
      </c>
      <c r="R45" s="1" t="s">
        <v>92</v>
      </c>
      <c r="S45" s="1" t="s">
        <v>243</v>
      </c>
      <c r="T45" s="20" t="s">
        <v>165</v>
      </c>
      <c r="U45" s="1" t="s">
        <v>199</v>
      </c>
      <c r="V45" s="14">
        <v>0.02</v>
      </c>
      <c r="W45" s="1" t="s">
        <v>94</v>
      </c>
      <c r="X45" s="1"/>
      <c r="Y45" s="1"/>
      <c r="Z45" s="1"/>
    </row>
    <row r="46" spans="1:26" ht="24.9" customHeight="1" x14ac:dyDescent="0.3">
      <c r="A46" s="28" t="s">
        <v>68</v>
      </c>
      <c r="B46" s="28" t="s">
        <v>327</v>
      </c>
      <c r="C46" s="5">
        <v>46077</v>
      </c>
      <c r="D46" s="5">
        <v>46078</v>
      </c>
      <c r="E46" s="3" t="s">
        <v>325</v>
      </c>
      <c r="F46" s="3">
        <v>8</v>
      </c>
      <c r="G46" s="3">
        <v>800</v>
      </c>
      <c r="H46" s="3">
        <v>42.2</v>
      </c>
      <c r="I46" s="3">
        <v>682</v>
      </c>
      <c r="J46" s="3">
        <v>1</v>
      </c>
      <c r="K46" s="4">
        <f t="shared" si="0"/>
        <v>42.228739002932549</v>
      </c>
      <c r="L46" s="3">
        <v>133</v>
      </c>
      <c r="M46" s="1">
        <v>232.6</v>
      </c>
      <c r="N46" s="1">
        <v>233</v>
      </c>
      <c r="O46" s="2">
        <f t="shared" si="1"/>
        <v>233</v>
      </c>
      <c r="P46" s="1">
        <v>20</v>
      </c>
      <c r="Q46" s="1">
        <v>4.9000000000000004</v>
      </c>
      <c r="R46" s="1" t="s">
        <v>329</v>
      </c>
      <c r="S46" s="1" t="s">
        <v>243</v>
      </c>
      <c r="T46" s="17" t="s">
        <v>133</v>
      </c>
      <c r="U46" s="1" t="s">
        <v>177</v>
      </c>
      <c r="V46" s="14">
        <v>0.02</v>
      </c>
      <c r="W46" s="1" t="s">
        <v>94</v>
      </c>
      <c r="X46" s="1"/>
      <c r="Y46" s="1"/>
      <c r="Z46" s="1" t="s">
        <v>326</v>
      </c>
    </row>
    <row r="47" spans="1:26" ht="24.9" customHeight="1" x14ac:dyDescent="0.3">
      <c r="A47" s="28" t="s">
        <v>69</v>
      </c>
      <c r="B47" s="28" t="s">
        <v>328</v>
      </c>
      <c r="C47" s="5">
        <v>46078</v>
      </c>
      <c r="D47" s="5">
        <v>46079</v>
      </c>
      <c r="E47" s="3" t="s">
        <v>325</v>
      </c>
      <c r="F47" s="3">
        <v>8</v>
      </c>
      <c r="G47" s="3">
        <v>800</v>
      </c>
      <c r="H47" s="3">
        <v>42.3</v>
      </c>
      <c r="I47" s="3">
        <v>680</v>
      </c>
      <c r="J47" s="3">
        <v>1</v>
      </c>
      <c r="K47" s="4">
        <f t="shared" si="0"/>
        <v>42.352941176470587</v>
      </c>
      <c r="L47" s="3">
        <v>176</v>
      </c>
      <c r="M47" s="1">
        <v>231.8</v>
      </c>
      <c r="N47" s="1">
        <v>234.5</v>
      </c>
      <c r="O47" s="2">
        <f t="shared" si="1"/>
        <v>234.5</v>
      </c>
      <c r="P47" s="1">
        <v>20</v>
      </c>
      <c r="Q47" s="1">
        <v>4.9000000000000004</v>
      </c>
      <c r="R47" s="1" t="s">
        <v>329</v>
      </c>
      <c r="S47" s="1" t="s">
        <v>237</v>
      </c>
      <c r="T47" s="17" t="s">
        <v>133</v>
      </c>
      <c r="U47" s="1" t="s">
        <v>169</v>
      </c>
      <c r="V47" s="14">
        <v>0.02</v>
      </c>
      <c r="W47" s="1"/>
      <c r="X47" s="1"/>
      <c r="Y47" s="1"/>
      <c r="Z47" s="1"/>
    </row>
    <row r="48" spans="1:26" ht="24.9" customHeight="1" x14ac:dyDescent="0.3">
      <c r="A48" s="28" t="s">
        <v>70</v>
      </c>
      <c r="B48" s="28" t="s">
        <v>331</v>
      </c>
      <c r="C48" s="5">
        <v>46079</v>
      </c>
      <c r="D48" s="5">
        <v>46080</v>
      </c>
      <c r="E48" s="3" t="s">
        <v>325</v>
      </c>
      <c r="F48" s="3">
        <v>8</v>
      </c>
      <c r="G48" s="3">
        <v>800</v>
      </c>
      <c r="H48" s="3">
        <v>42.3</v>
      </c>
      <c r="I48" s="3">
        <v>680</v>
      </c>
      <c r="J48" s="3">
        <v>1</v>
      </c>
      <c r="K48" s="4">
        <f t="shared" si="0"/>
        <v>42.352941176470587</v>
      </c>
      <c r="L48" s="3">
        <v>51</v>
      </c>
      <c r="M48" s="1">
        <v>233.1</v>
      </c>
      <c r="N48" s="1">
        <v>233.7</v>
      </c>
      <c r="O48" s="2">
        <f t="shared" si="1"/>
        <v>233.7</v>
      </c>
      <c r="P48" s="1">
        <v>20</v>
      </c>
      <c r="Q48" s="1">
        <v>4.9000000000000004</v>
      </c>
      <c r="R48" s="1" t="s">
        <v>329</v>
      </c>
      <c r="S48" s="1" t="s">
        <v>250</v>
      </c>
      <c r="T48" s="17" t="s">
        <v>133</v>
      </c>
      <c r="U48" s="1" t="s">
        <v>134</v>
      </c>
      <c r="V48" s="14">
        <v>0.02</v>
      </c>
      <c r="W48" s="1"/>
      <c r="X48" s="1"/>
      <c r="Y48" s="1"/>
      <c r="Z48" s="1"/>
    </row>
    <row r="49" spans="1:26" ht="24.9" customHeight="1" x14ac:dyDescent="0.3">
      <c r="A49" s="28" t="s">
        <v>71</v>
      </c>
      <c r="B49" s="28" t="s">
        <v>332</v>
      </c>
      <c r="C49" s="5">
        <v>46079</v>
      </c>
      <c r="D49" s="5">
        <v>46079</v>
      </c>
      <c r="E49" s="3" t="s">
        <v>333</v>
      </c>
      <c r="F49" s="3">
        <v>5</v>
      </c>
      <c r="G49" s="3">
        <v>1009</v>
      </c>
      <c r="H49" s="3">
        <v>44.89</v>
      </c>
      <c r="I49" s="3">
        <v>1283</v>
      </c>
      <c r="J49" s="3">
        <v>2</v>
      </c>
      <c r="K49" s="4">
        <f t="shared" si="0"/>
        <v>44.894777864380359</v>
      </c>
      <c r="L49" s="3">
        <v>149</v>
      </c>
      <c r="M49" s="1">
        <v>53.7</v>
      </c>
      <c r="N49" s="1">
        <v>108.9</v>
      </c>
      <c r="O49" s="2">
        <f t="shared" si="1"/>
        <v>54.45</v>
      </c>
      <c r="P49" s="1">
        <v>250</v>
      </c>
      <c r="Q49" s="1">
        <v>14</v>
      </c>
      <c r="R49" s="1" t="s">
        <v>92</v>
      </c>
      <c r="S49" s="1" t="s">
        <v>243</v>
      </c>
      <c r="T49" s="17" t="s">
        <v>133</v>
      </c>
      <c r="U49" s="1" t="s">
        <v>334</v>
      </c>
      <c r="V49" s="14">
        <v>0.04</v>
      </c>
      <c r="W49" s="1" t="s">
        <v>94</v>
      </c>
      <c r="X49" s="1"/>
      <c r="Y49" s="1"/>
      <c r="Z49" s="1"/>
    </row>
    <row r="50" spans="1:26" ht="24.9" customHeight="1" x14ac:dyDescent="0.3">
      <c r="A50" s="28" t="s">
        <v>72</v>
      </c>
      <c r="B50" s="28" t="s">
        <v>341</v>
      </c>
      <c r="C50" s="5">
        <v>46079</v>
      </c>
      <c r="D50" s="5">
        <v>46080</v>
      </c>
      <c r="E50" s="3" t="s">
        <v>333</v>
      </c>
      <c r="F50" s="3">
        <v>5</v>
      </c>
      <c r="G50" s="3">
        <v>424</v>
      </c>
      <c r="H50" s="3">
        <v>44.89</v>
      </c>
      <c r="I50" s="3">
        <v>1283</v>
      </c>
      <c r="J50" s="3">
        <v>2</v>
      </c>
      <c r="K50" s="4">
        <f t="shared" si="0"/>
        <v>44.894777864380359</v>
      </c>
      <c r="L50" s="3">
        <v>66</v>
      </c>
      <c r="M50" s="1">
        <v>53.6</v>
      </c>
      <c r="N50" s="1">
        <v>108.3</v>
      </c>
      <c r="O50" s="2">
        <f t="shared" si="1"/>
        <v>54.15</v>
      </c>
      <c r="P50" s="1">
        <v>250</v>
      </c>
      <c r="Q50" s="1">
        <v>14</v>
      </c>
      <c r="R50" s="1" t="s">
        <v>92</v>
      </c>
      <c r="S50" s="1" t="s">
        <v>237</v>
      </c>
      <c r="T50" s="17" t="s">
        <v>206</v>
      </c>
      <c r="U50" s="1" t="s">
        <v>342</v>
      </c>
      <c r="V50" s="14">
        <v>0.04</v>
      </c>
      <c r="W50" s="1"/>
      <c r="X50" s="1"/>
      <c r="Y50" s="1"/>
      <c r="Z50" s="1"/>
    </row>
    <row r="51" spans="1:26" ht="24.9" customHeight="1" x14ac:dyDescent="0.3">
      <c r="A51" s="28" t="s">
        <v>73</v>
      </c>
      <c r="B51" s="28" t="s">
        <v>343</v>
      </c>
      <c r="C51" s="5">
        <v>46080</v>
      </c>
      <c r="D51" s="5">
        <v>46080</v>
      </c>
      <c r="E51" s="3" t="s">
        <v>333</v>
      </c>
      <c r="F51" s="3">
        <v>5</v>
      </c>
      <c r="G51" s="3">
        <v>200</v>
      </c>
      <c r="H51" s="3">
        <v>44.89</v>
      </c>
      <c r="I51" s="3">
        <v>1283</v>
      </c>
      <c r="J51" s="3">
        <v>2</v>
      </c>
      <c r="K51" s="4">
        <f t="shared" si="0"/>
        <v>44.894777864380359</v>
      </c>
      <c r="L51" s="3"/>
      <c r="M51" s="1">
        <v>53.9</v>
      </c>
      <c r="N51" s="1">
        <v>109.1</v>
      </c>
      <c r="O51" s="2">
        <f t="shared" si="1"/>
        <v>54.55</v>
      </c>
      <c r="P51" s="1">
        <v>250</v>
      </c>
      <c r="Q51" s="1">
        <v>14</v>
      </c>
      <c r="R51" s="1" t="s">
        <v>92</v>
      </c>
      <c r="S51" s="1" t="s">
        <v>250</v>
      </c>
      <c r="T51" s="17" t="s">
        <v>133</v>
      </c>
      <c r="U51" s="1" t="s">
        <v>344</v>
      </c>
      <c r="V51" s="14">
        <v>0.03</v>
      </c>
      <c r="W51" s="1"/>
      <c r="X51" s="1"/>
      <c r="Y51" s="1"/>
      <c r="Z51" s="1"/>
    </row>
    <row r="52" spans="1:26" ht="24.9" customHeight="1" x14ac:dyDescent="0.3">
      <c r="A52" s="28" t="s">
        <v>74</v>
      </c>
      <c r="B52" s="28" t="s">
        <v>646</v>
      </c>
      <c r="C52" s="5">
        <v>46080</v>
      </c>
      <c r="D52" s="5">
        <v>46080</v>
      </c>
      <c r="E52" s="3" t="s">
        <v>333</v>
      </c>
      <c r="F52" s="3">
        <v>5</v>
      </c>
      <c r="G52" s="3">
        <v>210</v>
      </c>
      <c r="H52" s="3">
        <v>44.89</v>
      </c>
      <c r="I52" s="3">
        <v>1283</v>
      </c>
      <c r="J52" s="3">
        <v>2</v>
      </c>
      <c r="K52" s="4">
        <f t="shared" si="0"/>
        <v>44.894777864380359</v>
      </c>
      <c r="L52" s="3">
        <v>10</v>
      </c>
      <c r="M52" s="1">
        <v>54.2</v>
      </c>
      <c r="N52" s="1">
        <v>109.4</v>
      </c>
      <c r="O52" s="2">
        <f t="shared" si="1"/>
        <v>54.7</v>
      </c>
      <c r="P52" s="1">
        <v>250</v>
      </c>
      <c r="Q52" s="1">
        <v>14</v>
      </c>
      <c r="R52" s="1" t="s">
        <v>92</v>
      </c>
      <c r="S52" s="1" t="s">
        <v>253</v>
      </c>
      <c r="T52" s="17" t="s">
        <v>133</v>
      </c>
      <c r="U52" s="1" t="s">
        <v>647</v>
      </c>
      <c r="V52" s="14">
        <v>0.03</v>
      </c>
      <c r="W52" s="1"/>
      <c r="X52" s="1"/>
      <c r="Y52" s="1"/>
      <c r="Z52" s="1"/>
    </row>
    <row r="53" spans="1:26" ht="24.9" customHeight="1" x14ac:dyDescent="0.3">
      <c r="A53" s="28" t="s">
        <v>75</v>
      </c>
      <c r="B53" s="28" t="s">
        <v>651</v>
      </c>
      <c r="C53" s="5">
        <v>46080</v>
      </c>
      <c r="D53" s="5">
        <v>46080</v>
      </c>
      <c r="E53" s="3" t="s">
        <v>333</v>
      </c>
      <c r="F53" s="3">
        <v>5</v>
      </c>
      <c r="G53" s="3">
        <v>215</v>
      </c>
      <c r="H53" s="3">
        <v>44.89</v>
      </c>
      <c r="I53" s="3">
        <v>1283</v>
      </c>
      <c r="J53" s="3">
        <v>2</v>
      </c>
      <c r="K53" s="4">
        <f t="shared" si="0"/>
        <v>44.894777864380359</v>
      </c>
      <c r="L53" s="3">
        <v>55</v>
      </c>
      <c r="M53" s="1">
        <v>54.1</v>
      </c>
      <c r="N53" s="1">
        <v>109.5</v>
      </c>
      <c r="O53" s="2">
        <f t="shared" si="1"/>
        <v>54.75</v>
      </c>
      <c r="P53" s="1">
        <v>250</v>
      </c>
      <c r="Q53" s="1">
        <v>14</v>
      </c>
      <c r="R53" s="1" t="s">
        <v>92</v>
      </c>
      <c r="S53" s="1" t="s">
        <v>239</v>
      </c>
      <c r="T53" s="17" t="s">
        <v>133</v>
      </c>
      <c r="U53" s="1" t="s">
        <v>652</v>
      </c>
      <c r="V53" s="14">
        <v>0.03</v>
      </c>
      <c r="W53" s="1"/>
      <c r="X53" s="1"/>
      <c r="Y53" s="1"/>
      <c r="Z53" s="1"/>
    </row>
    <row r="54" spans="1:26" ht="24.9" customHeight="1" x14ac:dyDescent="0.3">
      <c r="A54" s="28" t="s">
        <v>76</v>
      </c>
      <c r="B54" s="28" t="s">
        <v>645</v>
      </c>
      <c r="C54" s="5">
        <v>46200</v>
      </c>
      <c r="D54" s="5">
        <v>46080</v>
      </c>
      <c r="E54" s="3" t="s">
        <v>345</v>
      </c>
      <c r="F54" s="3">
        <v>2</v>
      </c>
      <c r="G54" s="3">
        <v>1000</v>
      </c>
      <c r="H54" s="3">
        <v>32.9</v>
      </c>
      <c r="I54" s="3">
        <v>875</v>
      </c>
      <c r="J54" s="3">
        <v>1</v>
      </c>
      <c r="K54" s="4">
        <f t="shared" si="0"/>
        <v>32.914285714285711</v>
      </c>
      <c r="L54" s="3"/>
      <c r="M54" s="1">
        <v>119.3</v>
      </c>
      <c r="N54" s="1">
        <v>124</v>
      </c>
      <c r="O54" s="2">
        <f t="shared" si="1"/>
        <v>124</v>
      </c>
      <c r="P54" s="1">
        <v>40</v>
      </c>
      <c r="Q54" s="1">
        <v>5.5</v>
      </c>
      <c r="R54" s="1" t="s">
        <v>168</v>
      </c>
      <c r="S54" s="1" t="s">
        <v>243</v>
      </c>
      <c r="T54" s="11" t="s">
        <v>346</v>
      </c>
      <c r="U54" s="1" t="s">
        <v>334</v>
      </c>
      <c r="V54" s="14">
        <v>0.04</v>
      </c>
      <c r="W54" s="1" t="s">
        <v>103</v>
      </c>
      <c r="X54" s="1"/>
      <c r="Y54" s="1"/>
      <c r="Z54" s="1"/>
    </row>
    <row r="55" spans="1:26" ht="24.9" customHeight="1" x14ac:dyDescent="0.3">
      <c r="A55" s="28" t="s">
        <v>77</v>
      </c>
      <c r="B55" s="28" t="s">
        <v>655</v>
      </c>
      <c r="C55" s="5">
        <v>46080</v>
      </c>
      <c r="D55" s="5">
        <v>46083</v>
      </c>
      <c r="E55" s="3" t="s">
        <v>345</v>
      </c>
      <c r="F55" s="3">
        <v>2</v>
      </c>
      <c r="G55" s="3">
        <v>1200</v>
      </c>
      <c r="H55" s="3">
        <v>32.9</v>
      </c>
      <c r="I55" s="3">
        <v>875</v>
      </c>
      <c r="J55" s="3">
        <v>1</v>
      </c>
      <c r="K55" s="4">
        <f t="shared" si="0"/>
        <v>32.914285714285711</v>
      </c>
      <c r="L55" s="3"/>
      <c r="M55" s="1">
        <v>118.7</v>
      </c>
      <c r="N55" s="1">
        <v>123.3</v>
      </c>
      <c r="O55" s="2">
        <f t="shared" si="1"/>
        <v>123.3</v>
      </c>
      <c r="P55" s="1">
        <v>40</v>
      </c>
      <c r="Q55" s="1">
        <v>5.5</v>
      </c>
      <c r="R55" s="1" t="s">
        <v>168</v>
      </c>
      <c r="S55" s="1" t="s">
        <v>237</v>
      </c>
      <c r="T55" s="11" t="s">
        <v>346</v>
      </c>
      <c r="U55" s="1" t="s">
        <v>342</v>
      </c>
      <c r="V55" s="14">
        <v>0.04</v>
      </c>
      <c r="W55" s="1"/>
      <c r="X55" s="1"/>
      <c r="Y55" s="1"/>
      <c r="Z55" s="1"/>
    </row>
    <row r="56" spans="1:26" ht="24.9" customHeight="1" x14ac:dyDescent="0.3">
      <c r="A56" s="28" t="s">
        <v>78</v>
      </c>
      <c r="B56" s="28" t="s">
        <v>661</v>
      </c>
      <c r="C56" s="5">
        <v>46083</v>
      </c>
      <c r="D56" s="5">
        <v>46083</v>
      </c>
      <c r="E56" s="3" t="s">
        <v>345</v>
      </c>
      <c r="F56" s="3">
        <v>2</v>
      </c>
      <c r="G56" s="3">
        <v>1120</v>
      </c>
      <c r="H56" s="3">
        <v>32.9</v>
      </c>
      <c r="I56" s="3">
        <v>875</v>
      </c>
      <c r="J56" s="3">
        <v>1</v>
      </c>
      <c r="K56" s="4">
        <f t="shared" si="0"/>
        <v>32.914285714285711</v>
      </c>
      <c r="L56" s="3"/>
      <c r="M56" s="1">
        <v>124.2</v>
      </c>
      <c r="N56" s="1">
        <v>124.8</v>
      </c>
      <c r="O56" s="2">
        <f t="shared" si="1"/>
        <v>124.8</v>
      </c>
      <c r="P56" s="1">
        <v>40</v>
      </c>
      <c r="Q56" s="1">
        <v>5.5</v>
      </c>
      <c r="R56" s="1" t="s">
        <v>168</v>
      </c>
      <c r="S56" s="1" t="s">
        <v>662</v>
      </c>
      <c r="T56" s="11" t="s">
        <v>346</v>
      </c>
      <c r="U56" s="1" t="s">
        <v>344</v>
      </c>
      <c r="V56" s="14">
        <v>0.03</v>
      </c>
      <c r="W56" s="1"/>
      <c r="X56" s="1"/>
      <c r="Y56" s="1"/>
      <c r="Z56" s="1"/>
    </row>
    <row r="57" spans="1:26" ht="25.2" customHeight="1" x14ac:dyDescent="0.3">
      <c r="A57" s="28" t="s">
        <v>79</v>
      </c>
      <c r="B57" s="28" t="s">
        <v>671</v>
      </c>
      <c r="C57" s="5">
        <v>46084</v>
      </c>
      <c r="D57" s="5">
        <v>46084</v>
      </c>
      <c r="E57" s="3" t="s">
        <v>345</v>
      </c>
      <c r="F57" s="3">
        <v>2</v>
      </c>
      <c r="G57" s="3">
        <v>1000</v>
      </c>
      <c r="H57" s="3">
        <v>32.9</v>
      </c>
      <c r="I57" s="3">
        <v>875</v>
      </c>
      <c r="J57" s="3">
        <v>1</v>
      </c>
      <c r="K57" s="4">
        <f t="shared" si="0"/>
        <v>32.914285714285711</v>
      </c>
      <c r="L57" s="3">
        <v>40</v>
      </c>
      <c r="M57" s="1">
        <v>124.3</v>
      </c>
      <c r="N57" s="1">
        <v>124.9</v>
      </c>
      <c r="O57" s="2">
        <f t="shared" si="1"/>
        <v>124.9</v>
      </c>
      <c r="P57" s="1">
        <v>40</v>
      </c>
      <c r="Q57" s="1">
        <v>5.5</v>
      </c>
      <c r="R57" s="1" t="s">
        <v>168</v>
      </c>
      <c r="S57" s="1" t="s">
        <v>672</v>
      </c>
      <c r="T57" s="11" t="s">
        <v>346</v>
      </c>
      <c r="U57" s="1" t="s">
        <v>647</v>
      </c>
      <c r="V57" s="14">
        <v>0.03</v>
      </c>
      <c r="W57" s="1"/>
      <c r="X57" s="1"/>
      <c r="Y57" s="1"/>
      <c r="Z57" s="1"/>
    </row>
    <row r="58" spans="1:26" ht="26.4" customHeight="1" x14ac:dyDescent="0.3">
      <c r="A58" s="28" t="s">
        <v>80</v>
      </c>
      <c r="B58" s="28" t="s">
        <v>673</v>
      </c>
      <c r="C58" s="5">
        <v>46084</v>
      </c>
      <c r="D58" s="5">
        <v>46085</v>
      </c>
      <c r="E58" s="3" t="s">
        <v>345</v>
      </c>
      <c r="F58" s="3">
        <v>2</v>
      </c>
      <c r="G58" s="3">
        <v>1200</v>
      </c>
      <c r="H58" s="3">
        <v>32.9</v>
      </c>
      <c r="I58" s="3">
        <v>875</v>
      </c>
      <c r="J58" s="3">
        <v>1</v>
      </c>
      <c r="K58" s="4">
        <f t="shared" si="0"/>
        <v>32.914285714285711</v>
      </c>
      <c r="L58" s="3">
        <v>26</v>
      </c>
      <c r="M58" s="1">
        <v>124.2</v>
      </c>
      <c r="N58" s="1">
        <v>124.8</v>
      </c>
      <c r="O58" s="2">
        <f t="shared" si="1"/>
        <v>124.8</v>
      </c>
      <c r="P58" s="1">
        <v>40</v>
      </c>
      <c r="Q58" s="1">
        <v>5.5</v>
      </c>
      <c r="R58" s="1" t="s">
        <v>168</v>
      </c>
      <c r="S58" s="1" t="s">
        <v>674</v>
      </c>
      <c r="T58" s="11" t="s">
        <v>346</v>
      </c>
      <c r="U58" s="1" t="s">
        <v>652</v>
      </c>
      <c r="V58" s="14">
        <v>0.03</v>
      </c>
      <c r="W58" s="1"/>
      <c r="X58" s="1"/>
      <c r="Y58" s="1"/>
      <c r="Z58" s="1"/>
    </row>
    <row r="59" spans="1:26" ht="25.2" customHeight="1" x14ac:dyDescent="0.3">
      <c r="A59" s="28" t="s">
        <v>81</v>
      </c>
      <c r="B59" s="28" t="s">
        <v>665</v>
      </c>
      <c r="C59" s="5">
        <v>46080</v>
      </c>
      <c r="D59" s="5">
        <v>46083</v>
      </c>
      <c r="E59" s="3" t="s">
        <v>649</v>
      </c>
      <c r="F59" s="3">
        <v>8</v>
      </c>
      <c r="G59" s="3">
        <v>1000</v>
      </c>
      <c r="H59" s="3">
        <v>65.900000000000006</v>
      </c>
      <c r="I59" s="3">
        <v>437</v>
      </c>
      <c r="J59" s="3">
        <v>1</v>
      </c>
      <c r="K59" s="4">
        <f t="shared" si="0"/>
        <v>65.903890160183067</v>
      </c>
      <c r="L59" s="3">
        <v>77</v>
      </c>
      <c r="M59" s="1">
        <v>398.7</v>
      </c>
      <c r="N59" s="1">
        <v>400</v>
      </c>
      <c r="O59" s="2">
        <f t="shared" si="1"/>
        <v>400</v>
      </c>
      <c r="P59" s="1">
        <v>110</v>
      </c>
      <c r="Q59" s="1"/>
      <c r="R59" s="1" t="s">
        <v>99</v>
      </c>
      <c r="S59" s="1" t="s">
        <v>650</v>
      </c>
      <c r="T59" s="17" t="s">
        <v>133</v>
      </c>
      <c r="U59" s="1" t="s">
        <v>180</v>
      </c>
      <c r="V59" s="14">
        <v>0.02</v>
      </c>
      <c r="W59" s="1" t="s">
        <v>126</v>
      </c>
      <c r="X59" s="1"/>
      <c r="Y59" s="1"/>
      <c r="Z59" s="1"/>
    </row>
    <row r="60" spans="1:26" ht="25.2" customHeight="1" x14ac:dyDescent="0.3">
      <c r="A60" s="28" t="s">
        <v>347</v>
      </c>
      <c r="B60" s="28" t="s">
        <v>648</v>
      </c>
      <c r="C60" s="5">
        <v>46083</v>
      </c>
      <c r="D60" s="5">
        <v>46086</v>
      </c>
      <c r="E60" s="3" t="s">
        <v>649</v>
      </c>
      <c r="F60" s="3">
        <v>8</v>
      </c>
      <c r="G60" s="3">
        <v>470</v>
      </c>
      <c r="H60" s="3">
        <v>65.900000000000006</v>
      </c>
      <c r="I60" s="3">
        <v>437</v>
      </c>
      <c r="J60" s="3">
        <v>1</v>
      </c>
      <c r="K60" s="4">
        <f t="shared" ref="K60:K123" si="2">(3600/(I60/8))*J60</f>
        <v>65.903890160183067</v>
      </c>
      <c r="L60" s="3"/>
      <c r="M60" s="1">
        <v>398.7</v>
      </c>
      <c r="N60" s="1">
        <v>400</v>
      </c>
      <c r="O60" s="2">
        <f t="shared" ref="O60:O123" si="3">N60/J60</f>
        <v>400</v>
      </c>
      <c r="P60" s="1">
        <v>110</v>
      </c>
      <c r="Q60" s="1"/>
      <c r="R60" s="1" t="s">
        <v>99</v>
      </c>
      <c r="S60" s="1" t="s">
        <v>664</v>
      </c>
      <c r="T60" s="17" t="s">
        <v>133</v>
      </c>
      <c r="U60" s="1" t="s">
        <v>180</v>
      </c>
      <c r="V60" s="14">
        <v>0.02</v>
      </c>
      <c r="W60" s="1"/>
      <c r="X60" s="1"/>
      <c r="Y60" s="1"/>
      <c r="Z60" s="1"/>
    </row>
    <row r="61" spans="1:26" ht="25.2" customHeight="1" x14ac:dyDescent="0.3">
      <c r="A61" s="28" t="s">
        <v>348</v>
      </c>
      <c r="B61" s="28" t="s">
        <v>659</v>
      </c>
      <c r="C61" s="5">
        <v>46083</v>
      </c>
      <c r="D61" s="5">
        <v>46084</v>
      </c>
      <c r="E61" s="3" t="s">
        <v>660</v>
      </c>
      <c r="F61" s="3">
        <v>4</v>
      </c>
      <c r="G61" s="3">
        <v>916</v>
      </c>
      <c r="H61" s="3">
        <v>45.2</v>
      </c>
      <c r="I61" s="3">
        <v>637</v>
      </c>
      <c r="J61" s="3">
        <v>1</v>
      </c>
      <c r="K61" s="4">
        <f t="shared" si="2"/>
        <v>45.211930926216638</v>
      </c>
      <c r="L61" s="3">
        <v>43</v>
      </c>
      <c r="M61" s="1">
        <v>157.4</v>
      </c>
      <c r="N61" s="1">
        <v>157.80000000000001</v>
      </c>
      <c r="O61" s="2">
        <f t="shared" si="3"/>
        <v>157.80000000000001</v>
      </c>
      <c r="P61" s="1">
        <v>40</v>
      </c>
      <c r="Q61" s="1">
        <v>6.65</v>
      </c>
      <c r="R61" s="1" t="s">
        <v>92</v>
      </c>
      <c r="S61" s="1" t="s">
        <v>650</v>
      </c>
      <c r="T61" s="11" t="s">
        <v>346</v>
      </c>
      <c r="U61" s="1" t="s">
        <v>334</v>
      </c>
      <c r="V61" s="14">
        <v>0.05</v>
      </c>
      <c r="W61" s="1" t="s">
        <v>103</v>
      </c>
      <c r="X61" s="1"/>
      <c r="Y61" s="1"/>
      <c r="Z61" s="1"/>
    </row>
    <row r="62" spans="1:26" ht="25.2" customHeight="1" x14ac:dyDescent="0.3">
      <c r="A62" s="28" t="s">
        <v>349</v>
      </c>
      <c r="B62" s="28" t="s">
        <v>663</v>
      </c>
      <c r="C62" s="5">
        <v>46084</v>
      </c>
      <c r="D62" s="5">
        <v>46085</v>
      </c>
      <c r="E62" s="3" t="s">
        <v>660</v>
      </c>
      <c r="F62" s="3">
        <v>4</v>
      </c>
      <c r="G62" s="3">
        <v>1006</v>
      </c>
      <c r="H62" s="3">
        <v>43.8</v>
      </c>
      <c r="I62" s="3">
        <v>657</v>
      </c>
      <c r="J62" s="3">
        <v>1</v>
      </c>
      <c r="K62" s="4">
        <f t="shared" si="2"/>
        <v>43.835616438356162</v>
      </c>
      <c r="L62" s="3">
        <v>267</v>
      </c>
      <c r="M62" s="1">
        <v>156</v>
      </c>
      <c r="N62" s="1">
        <v>156.4</v>
      </c>
      <c r="O62" s="2">
        <f t="shared" si="3"/>
        <v>156.4</v>
      </c>
      <c r="P62" s="1">
        <v>40</v>
      </c>
      <c r="Q62" s="1">
        <v>6.65</v>
      </c>
      <c r="R62" s="1" t="s">
        <v>92</v>
      </c>
      <c r="S62" s="1" t="s">
        <v>664</v>
      </c>
      <c r="T62" s="11" t="s">
        <v>346</v>
      </c>
      <c r="U62" s="1" t="s">
        <v>342</v>
      </c>
      <c r="V62" s="14">
        <v>0.05</v>
      </c>
      <c r="W62" s="1"/>
      <c r="X62" s="1"/>
      <c r="Y62" s="1"/>
      <c r="Z62" s="1" t="s">
        <v>680</v>
      </c>
    </row>
    <row r="63" spans="1:26" ht="25.2" customHeight="1" x14ac:dyDescent="0.3">
      <c r="A63" s="28" t="s">
        <v>350</v>
      </c>
      <c r="B63" s="28" t="s">
        <v>681</v>
      </c>
      <c r="C63" s="5">
        <v>46085</v>
      </c>
      <c r="D63" s="5">
        <v>46085</v>
      </c>
      <c r="E63" s="3" t="s">
        <v>660</v>
      </c>
      <c r="F63" s="3">
        <v>4</v>
      </c>
      <c r="G63" s="3">
        <v>518</v>
      </c>
      <c r="H63" s="3">
        <v>43.8</v>
      </c>
      <c r="I63" s="3">
        <v>657</v>
      </c>
      <c r="J63" s="3">
        <v>1</v>
      </c>
      <c r="K63" s="4">
        <f t="shared" si="2"/>
        <v>43.835616438356162</v>
      </c>
      <c r="L63" s="3">
        <v>28</v>
      </c>
      <c r="M63" s="1">
        <v>156.80000000000001</v>
      </c>
      <c r="N63" s="1">
        <v>160</v>
      </c>
      <c r="O63" s="2">
        <f t="shared" si="3"/>
        <v>160</v>
      </c>
      <c r="P63" s="1">
        <v>40</v>
      </c>
      <c r="Q63" s="1">
        <v>6.65</v>
      </c>
      <c r="R63" s="1" t="s">
        <v>92</v>
      </c>
      <c r="S63" s="1" t="s">
        <v>662</v>
      </c>
      <c r="T63" s="11" t="s">
        <v>346</v>
      </c>
      <c r="U63" s="1" t="s">
        <v>344</v>
      </c>
      <c r="V63" s="14">
        <v>0.03</v>
      </c>
      <c r="W63" s="1"/>
      <c r="X63" s="1"/>
      <c r="Y63" s="1"/>
      <c r="Z63" s="1"/>
    </row>
    <row r="64" spans="1:26" ht="25.2" customHeight="1" x14ac:dyDescent="0.3">
      <c r="A64" s="28" t="s">
        <v>351</v>
      </c>
      <c r="B64" s="28" t="s">
        <v>685</v>
      </c>
      <c r="C64" s="5">
        <v>46085</v>
      </c>
      <c r="D64" s="5">
        <v>46086</v>
      </c>
      <c r="E64" s="3" t="s">
        <v>660</v>
      </c>
      <c r="F64" s="3">
        <v>4</v>
      </c>
      <c r="G64" s="3">
        <v>808</v>
      </c>
      <c r="H64" s="3">
        <v>43.8</v>
      </c>
      <c r="I64" s="3">
        <v>657</v>
      </c>
      <c r="J64" s="3">
        <v>1</v>
      </c>
      <c r="K64" s="4">
        <f t="shared" si="2"/>
        <v>43.835616438356162</v>
      </c>
      <c r="L64" s="3"/>
      <c r="M64" s="1">
        <v>156.19999999999999</v>
      </c>
      <c r="N64" s="1">
        <v>156.6</v>
      </c>
      <c r="O64" s="2">
        <f t="shared" si="3"/>
        <v>156.6</v>
      </c>
      <c r="P64" s="1">
        <v>40</v>
      </c>
      <c r="Q64" s="1">
        <v>6.65</v>
      </c>
      <c r="R64" s="1" t="s">
        <v>92</v>
      </c>
      <c r="S64" s="1" t="s">
        <v>672</v>
      </c>
      <c r="T64" s="11" t="s">
        <v>346</v>
      </c>
      <c r="U64" s="1" t="s">
        <v>647</v>
      </c>
      <c r="V64" s="14">
        <v>0.03</v>
      </c>
      <c r="W64" s="1"/>
      <c r="X64" s="1"/>
      <c r="Y64" s="1"/>
      <c r="Z64" s="1"/>
    </row>
    <row r="65" spans="1:26" ht="25.2" customHeight="1" x14ac:dyDescent="0.3">
      <c r="A65" s="28" t="s">
        <v>352</v>
      </c>
      <c r="B65" s="28" t="s">
        <v>690</v>
      </c>
      <c r="C65" s="5">
        <v>46086</v>
      </c>
      <c r="D65" s="5">
        <v>46087</v>
      </c>
      <c r="E65" s="3" t="s">
        <v>660</v>
      </c>
      <c r="F65" s="3">
        <v>4</v>
      </c>
      <c r="G65" s="3">
        <v>1103</v>
      </c>
      <c r="H65" s="3">
        <v>43.8</v>
      </c>
      <c r="I65" s="3">
        <v>657</v>
      </c>
      <c r="J65" s="3">
        <v>1</v>
      </c>
      <c r="K65" s="4">
        <f t="shared" si="2"/>
        <v>43.835616438356162</v>
      </c>
      <c r="L65" s="3">
        <v>8</v>
      </c>
      <c r="M65" s="1">
        <v>158.19999999999999</v>
      </c>
      <c r="N65" s="1">
        <v>158.6</v>
      </c>
      <c r="O65" s="2">
        <f t="shared" si="3"/>
        <v>158.6</v>
      </c>
      <c r="P65" s="1">
        <v>40</v>
      </c>
      <c r="Q65" s="1">
        <v>6.65</v>
      </c>
      <c r="R65" s="1" t="s">
        <v>92</v>
      </c>
      <c r="S65" s="1" t="s">
        <v>674</v>
      </c>
      <c r="T65" s="11" t="s">
        <v>346</v>
      </c>
      <c r="U65" s="1" t="s">
        <v>652</v>
      </c>
      <c r="V65" s="14">
        <v>0.03</v>
      </c>
      <c r="W65" s="1"/>
      <c r="X65" s="1"/>
      <c r="Y65" s="1"/>
      <c r="Z65" s="1"/>
    </row>
    <row r="66" spans="1:26" ht="25.2" customHeight="1" x14ac:dyDescent="0.3">
      <c r="A66" s="28" t="s">
        <v>353</v>
      </c>
      <c r="B66" s="28" t="s">
        <v>691</v>
      </c>
      <c r="C66" s="5">
        <v>46087</v>
      </c>
      <c r="D66" s="5">
        <v>46090</v>
      </c>
      <c r="E66" s="3" t="s">
        <v>660</v>
      </c>
      <c r="F66" s="3">
        <v>4</v>
      </c>
      <c r="G66" s="3">
        <v>914</v>
      </c>
      <c r="H66" s="3">
        <v>43.8</v>
      </c>
      <c r="I66" s="3">
        <v>657</v>
      </c>
      <c r="J66" s="3">
        <v>1</v>
      </c>
      <c r="K66" s="4">
        <f t="shared" si="2"/>
        <v>43.835616438356162</v>
      </c>
      <c r="L66" s="3">
        <v>24</v>
      </c>
      <c r="M66" s="1">
        <v>156.9</v>
      </c>
      <c r="N66" s="1">
        <v>157.5</v>
      </c>
      <c r="O66" s="2">
        <f t="shared" si="3"/>
        <v>157.5</v>
      </c>
      <c r="P66" s="1">
        <v>40</v>
      </c>
      <c r="Q66" s="1">
        <v>6.65</v>
      </c>
      <c r="R66" s="1" t="s">
        <v>92</v>
      </c>
      <c r="S66" s="1" t="s">
        <v>693</v>
      </c>
      <c r="T66" s="11" t="s">
        <v>346</v>
      </c>
      <c r="U66" s="1" t="s">
        <v>694</v>
      </c>
      <c r="V66" s="14">
        <v>0.02</v>
      </c>
      <c r="W66" s="1"/>
      <c r="X66" s="1"/>
      <c r="Y66" s="1"/>
      <c r="Z66" s="1"/>
    </row>
    <row r="67" spans="1:26" ht="25.2" customHeight="1" x14ac:dyDescent="0.3">
      <c r="A67" s="28" t="s">
        <v>354</v>
      </c>
      <c r="B67" s="28" t="s">
        <v>667</v>
      </c>
      <c r="C67" s="5">
        <v>46084</v>
      </c>
      <c r="D67" s="5">
        <v>46085</v>
      </c>
      <c r="E67" s="3" t="s">
        <v>668</v>
      </c>
      <c r="F67" s="3">
        <v>8</v>
      </c>
      <c r="G67" s="3">
        <v>800</v>
      </c>
      <c r="H67" s="3">
        <v>44.4</v>
      </c>
      <c r="I67" s="3">
        <v>648</v>
      </c>
      <c r="J67" s="3">
        <v>1</v>
      </c>
      <c r="K67" s="4">
        <f t="shared" si="2"/>
        <v>44.444444444444443</v>
      </c>
      <c r="L67" s="3">
        <v>46</v>
      </c>
      <c r="M67" s="1">
        <v>170</v>
      </c>
      <c r="N67" s="1">
        <v>170.5</v>
      </c>
      <c r="O67" s="2">
        <f t="shared" si="3"/>
        <v>170.5</v>
      </c>
      <c r="P67" s="1">
        <v>70</v>
      </c>
      <c r="Q67" s="1">
        <v>12</v>
      </c>
      <c r="R67" s="1" t="s">
        <v>669</v>
      </c>
      <c r="S67" s="1" t="s">
        <v>650</v>
      </c>
      <c r="T67" s="17" t="s">
        <v>133</v>
      </c>
      <c r="U67" s="1" t="s">
        <v>207</v>
      </c>
      <c r="V67" s="14">
        <v>0.03</v>
      </c>
      <c r="W67" s="1" t="s">
        <v>670</v>
      </c>
      <c r="X67" s="1"/>
      <c r="Y67" s="1"/>
      <c r="Z67" s="1"/>
    </row>
    <row r="68" spans="1:26" ht="25.2" customHeight="1" x14ac:dyDescent="0.3">
      <c r="A68" s="28" t="s">
        <v>355</v>
      </c>
      <c r="B68" s="29" t="s">
        <v>682</v>
      </c>
      <c r="C68" s="5">
        <v>46085</v>
      </c>
      <c r="D68" s="5">
        <v>46087</v>
      </c>
      <c r="E68" s="3" t="s">
        <v>683</v>
      </c>
      <c r="F68" s="3">
        <v>2</v>
      </c>
      <c r="G68" s="3">
        <v>3685</v>
      </c>
      <c r="H68" s="3">
        <v>56.2</v>
      </c>
      <c r="I68" s="3">
        <v>512</v>
      </c>
      <c r="J68" s="3">
        <v>2</v>
      </c>
      <c r="K68" s="4">
        <f t="shared" si="2"/>
        <v>112.5</v>
      </c>
      <c r="L68" s="3">
        <v>443</v>
      </c>
      <c r="M68" s="1">
        <v>66.5</v>
      </c>
      <c r="N68" s="1">
        <v>136.6</v>
      </c>
      <c r="O68" s="2">
        <f t="shared" si="3"/>
        <v>68.3</v>
      </c>
      <c r="P68" s="1">
        <v>140</v>
      </c>
      <c r="Q68" s="1">
        <v>10</v>
      </c>
      <c r="R68" s="1" t="s">
        <v>92</v>
      </c>
      <c r="S68" s="1" t="s">
        <v>650</v>
      </c>
      <c r="T68" s="17" t="s">
        <v>133</v>
      </c>
      <c r="U68" s="1" t="s">
        <v>684</v>
      </c>
      <c r="V68" s="14">
        <v>0.03</v>
      </c>
      <c r="W68" s="1" t="s">
        <v>94</v>
      </c>
      <c r="X68" s="1"/>
      <c r="Y68" s="1"/>
      <c r="Z68" s="1"/>
    </row>
    <row r="69" spans="1:26" ht="25.2" customHeight="1" x14ac:dyDescent="0.3">
      <c r="A69" s="28" t="s">
        <v>356</v>
      </c>
      <c r="B69" s="29" t="s">
        <v>695</v>
      </c>
      <c r="C69" s="5">
        <v>46087</v>
      </c>
      <c r="D69" s="5">
        <v>46091</v>
      </c>
      <c r="E69" s="3" t="s">
        <v>683</v>
      </c>
      <c r="F69" s="3">
        <v>2</v>
      </c>
      <c r="G69" s="3">
        <v>3600</v>
      </c>
      <c r="H69" s="3">
        <v>56.2</v>
      </c>
      <c r="I69" s="3">
        <v>512</v>
      </c>
      <c r="J69" s="3">
        <v>2</v>
      </c>
      <c r="K69" s="4">
        <f t="shared" si="2"/>
        <v>112.5</v>
      </c>
      <c r="L69" s="3">
        <v>512</v>
      </c>
      <c r="M69" s="1">
        <v>66.7</v>
      </c>
      <c r="N69" s="1">
        <v>136.5</v>
      </c>
      <c r="O69" s="2">
        <f t="shared" si="3"/>
        <v>68.25</v>
      </c>
      <c r="P69" s="1">
        <v>140</v>
      </c>
      <c r="Q69" s="1">
        <v>10</v>
      </c>
      <c r="R69" s="1" t="s">
        <v>92</v>
      </c>
      <c r="S69" s="1" t="s">
        <v>664</v>
      </c>
      <c r="T69" s="17" t="s">
        <v>133</v>
      </c>
      <c r="U69" s="1" t="s">
        <v>342</v>
      </c>
      <c r="V69" s="14">
        <v>0.03</v>
      </c>
      <c r="W69" s="1"/>
      <c r="X69" s="1"/>
      <c r="Y69" s="1"/>
      <c r="Z69" s="1"/>
    </row>
    <row r="70" spans="1:26" ht="25.2" customHeight="1" x14ac:dyDescent="0.3">
      <c r="A70" s="28" t="s">
        <v>357</v>
      </c>
      <c r="B70" s="29" t="s">
        <v>698</v>
      </c>
      <c r="C70" s="5">
        <v>46092</v>
      </c>
      <c r="D70" s="5">
        <v>46094</v>
      </c>
      <c r="E70" s="3" t="s">
        <v>683</v>
      </c>
      <c r="F70" s="3">
        <v>2</v>
      </c>
      <c r="G70" s="3">
        <v>3635</v>
      </c>
      <c r="H70" s="3">
        <v>56.2</v>
      </c>
      <c r="I70" s="3">
        <v>512</v>
      </c>
      <c r="J70" s="3">
        <v>2</v>
      </c>
      <c r="K70" s="4">
        <f t="shared" si="2"/>
        <v>112.5</v>
      </c>
      <c r="L70" s="3">
        <v>275</v>
      </c>
      <c r="M70" s="1">
        <v>66.400000000000006</v>
      </c>
      <c r="N70" s="1">
        <v>136.6</v>
      </c>
      <c r="O70" s="2">
        <f t="shared" si="3"/>
        <v>68.3</v>
      </c>
      <c r="P70" s="1">
        <v>140</v>
      </c>
      <c r="Q70" s="1">
        <v>10</v>
      </c>
      <c r="R70" s="1" t="s">
        <v>92</v>
      </c>
      <c r="S70" s="1" t="s">
        <v>662</v>
      </c>
      <c r="T70" s="17" t="s">
        <v>133</v>
      </c>
      <c r="U70" s="1" t="s">
        <v>344</v>
      </c>
      <c r="V70" s="14">
        <v>0.03</v>
      </c>
      <c r="W70" s="1"/>
      <c r="X70" s="1"/>
      <c r="Y70" s="1"/>
      <c r="Z70" s="1"/>
    </row>
    <row r="71" spans="1:26" ht="25.2" customHeight="1" x14ac:dyDescent="0.3">
      <c r="A71" s="28" t="s">
        <v>358</v>
      </c>
      <c r="B71" s="28" t="s">
        <v>686</v>
      </c>
      <c r="C71" s="5">
        <v>46086</v>
      </c>
      <c r="D71" s="5">
        <v>46092</v>
      </c>
      <c r="E71" s="3" t="s">
        <v>687</v>
      </c>
      <c r="F71" s="3">
        <v>5</v>
      </c>
      <c r="G71" s="3">
        <v>34500</v>
      </c>
      <c r="H71" s="3">
        <v>34.06</v>
      </c>
      <c r="I71" s="3">
        <v>845</v>
      </c>
      <c r="J71" s="3">
        <v>7</v>
      </c>
      <c r="K71" s="4">
        <f t="shared" si="2"/>
        <v>238.57988165680476</v>
      </c>
      <c r="L71" s="3"/>
      <c r="M71" s="1">
        <v>0.6</v>
      </c>
      <c r="N71" s="1">
        <v>10.199999999999999</v>
      </c>
      <c r="O71" s="2">
        <f t="shared" si="3"/>
        <v>1.4571428571428571</v>
      </c>
      <c r="P71" s="1" t="s">
        <v>703</v>
      </c>
      <c r="Q71" s="1"/>
      <c r="R71" s="1" t="s">
        <v>124</v>
      </c>
      <c r="S71" s="1" t="s">
        <v>688</v>
      </c>
      <c r="T71" s="23" t="s">
        <v>689</v>
      </c>
      <c r="U71" s="1"/>
      <c r="V71" s="1"/>
      <c r="W71" s="1" t="s">
        <v>94</v>
      </c>
      <c r="X71" s="1" t="s">
        <v>103</v>
      </c>
      <c r="Y71" s="1" t="s">
        <v>704</v>
      </c>
      <c r="Z71" s="1"/>
    </row>
    <row r="72" spans="1:26" ht="25.2" customHeight="1" x14ac:dyDescent="0.3">
      <c r="A72" s="28" t="s">
        <v>359</v>
      </c>
      <c r="B72" s="28" t="s">
        <v>696</v>
      </c>
      <c r="C72" s="5">
        <v>46090</v>
      </c>
      <c r="D72" s="5">
        <v>46091</v>
      </c>
      <c r="E72" s="3" t="s">
        <v>697</v>
      </c>
      <c r="F72" s="3">
        <v>4</v>
      </c>
      <c r="G72" s="3">
        <v>2000</v>
      </c>
      <c r="H72" s="3">
        <v>35.1</v>
      </c>
      <c r="I72" s="3">
        <v>820</v>
      </c>
      <c r="J72" s="3">
        <v>1</v>
      </c>
      <c r="K72" s="4">
        <f t="shared" si="2"/>
        <v>35.121951219512198</v>
      </c>
      <c r="L72" s="3"/>
      <c r="M72" s="1">
        <v>117.3</v>
      </c>
      <c r="N72" s="1">
        <v>121.4</v>
      </c>
      <c r="O72" s="2">
        <f t="shared" si="3"/>
        <v>121.4</v>
      </c>
      <c r="P72" s="1">
        <v>40</v>
      </c>
      <c r="Q72" s="1">
        <v>5.5</v>
      </c>
      <c r="R72" s="1" t="s">
        <v>168</v>
      </c>
      <c r="S72" s="1" t="s">
        <v>650</v>
      </c>
      <c r="T72" s="11" t="s">
        <v>346</v>
      </c>
      <c r="U72" s="1" t="s">
        <v>342</v>
      </c>
      <c r="V72" s="14">
        <v>0.04</v>
      </c>
      <c r="W72" s="1" t="s">
        <v>103</v>
      </c>
      <c r="X72" s="1"/>
      <c r="Y72" s="1"/>
      <c r="Z72" s="1"/>
    </row>
    <row r="73" spans="1:26" ht="25.2" customHeight="1" x14ac:dyDescent="0.3">
      <c r="A73" s="28" t="s">
        <v>360</v>
      </c>
      <c r="B73" s="28" t="s">
        <v>702</v>
      </c>
      <c r="C73" s="5">
        <v>46091</v>
      </c>
      <c r="D73" s="5">
        <v>46093</v>
      </c>
      <c r="E73" s="3" t="s">
        <v>697</v>
      </c>
      <c r="F73" s="3">
        <v>4</v>
      </c>
      <c r="G73" s="3">
        <v>2003</v>
      </c>
      <c r="H73" s="3">
        <v>40.299999999999997</v>
      </c>
      <c r="I73" s="3">
        <v>714</v>
      </c>
      <c r="J73" s="3">
        <v>1</v>
      </c>
      <c r="K73" s="4">
        <f t="shared" si="2"/>
        <v>40.336134453781511</v>
      </c>
      <c r="L73" s="3"/>
      <c r="M73" s="1">
        <v>117.5</v>
      </c>
      <c r="N73" s="1">
        <v>121.9</v>
      </c>
      <c r="O73" s="2">
        <f t="shared" si="3"/>
        <v>121.9</v>
      </c>
      <c r="P73" s="1">
        <v>40</v>
      </c>
      <c r="Q73" s="1">
        <v>5.5</v>
      </c>
      <c r="R73" s="1" t="s">
        <v>92</v>
      </c>
      <c r="S73" s="1" t="s">
        <v>664</v>
      </c>
      <c r="T73" s="11" t="s">
        <v>346</v>
      </c>
      <c r="U73" s="1" t="s">
        <v>344</v>
      </c>
      <c r="V73" s="14">
        <v>0.03</v>
      </c>
      <c r="W73" s="1"/>
      <c r="X73" s="1"/>
      <c r="Y73" s="1"/>
      <c r="Z73" s="1"/>
    </row>
    <row r="74" spans="1:26" ht="25.2" customHeight="1" x14ac:dyDescent="0.3">
      <c r="A74" s="28" t="s">
        <v>361</v>
      </c>
      <c r="B74" s="28" t="s">
        <v>711</v>
      </c>
      <c r="C74" s="5">
        <v>46093</v>
      </c>
      <c r="D74" s="5">
        <v>46094</v>
      </c>
      <c r="E74" s="3" t="s">
        <v>697</v>
      </c>
      <c r="F74" s="3">
        <v>4</v>
      </c>
      <c r="G74" s="3">
        <v>2000</v>
      </c>
      <c r="H74" s="3">
        <v>36.200000000000003</v>
      </c>
      <c r="I74" s="3">
        <v>795</v>
      </c>
      <c r="J74" s="3">
        <v>1</v>
      </c>
      <c r="K74" s="4">
        <f t="shared" si="2"/>
        <v>36.226415094339622</v>
      </c>
      <c r="L74" s="3"/>
      <c r="M74" s="1">
        <v>117.2</v>
      </c>
      <c r="N74" s="1">
        <v>121.6</v>
      </c>
      <c r="O74" s="2">
        <f t="shared" si="3"/>
        <v>121.6</v>
      </c>
      <c r="P74" s="1">
        <v>40</v>
      </c>
      <c r="Q74" s="1">
        <v>5.5</v>
      </c>
      <c r="R74" s="1" t="s">
        <v>92</v>
      </c>
      <c r="S74" s="1" t="s">
        <v>662</v>
      </c>
      <c r="T74" s="11" t="s">
        <v>346</v>
      </c>
      <c r="U74" s="1" t="s">
        <v>344</v>
      </c>
      <c r="V74" s="14">
        <v>0.03</v>
      </c>
      <c r="W74" s="1"/>
      <c r="X74" s="1"/>
      <c r="Y74" s="1"/>
      <c r="Z74" s="1"/>
    </row>
    <row r="75" spans="1:26" ht="25.2" customHeight="1" x14ac:dyDescent="0.3">
      <c r="A75" s="28" t="s">
        <v>362</v>
      </c>
      <c r="B75" s="28" t="s">
        <v>705</v>
      </c>
      <c r="C75" s="5">
        <v>46092</v>
      </c>
      <c r="D75" s="5">
        <v>46093</v>
      </c>
      <c r="E75" s="3" t="s">
        <v>706</v>
      </c>
      <c r="F75" s="3">
        <v>5</v>
      </c>
      <c r="G75" s="3">
        <v>2240</v>
      </c>
      <c r="H75" s="3">
        <v>35.75</v>
      </c>
      <c r="I75" s="3">
        <v>805</v>
      </c>
      <c r="J75" s="3">
        <v>1</v>
      </c>
      <c r="K75" s="4">
        <f t="shared" si="2"/>
        <v>35.776397515527947</v>
      </c>
      <c r="L75" s="3">
        <v>77</v>
      </c>
      <c r="M75" s="1">
        <v>119.7</v>
      </c>
      <c r="N75" s="1">
        <v>125.5</v>
      </c>
      <c r="O75" s="2">
        <f t="shared" si="3"/>
        <v>125.5</v>
      </c>
      <c r="P75" s="1">
        <v>32</v>
      </c>
      <c r="Q75" s="1">
        <v>4.6500000000000004</v>
      </c>
      <c r="R75" s="1" t="s">
        <v>92</v>
      </c>
      <c r="S75" s="1" t="s">
        <v>650</v>
      </c>
      <c r="T75" s="11" t="s">
        <v>346</v>
      </c>
      <c r="U75" s="1" t="s">
        <v>684</v>
      </c>
      <c r="V75" s="14">
        <v>0.03</v>
      </c>
      <c r="W75" s="1" t="s">
        <v>103</v>
      </c>
      <c r="X75" s="1"/>
      <c r="Y75" s="1"/>
      <c r="Z75" s="1"/>
    </row>
    <row r="76" spans="1:26" ht="25.2" customHeight="1" x14ac:dyDescent="0.3">
      <c r="A76" s="28" t="s">
        <v>363</v>
      </c>
      <c r="B76" s="28" t="s">
        <v>712</v>
      </c>
      <c r="C76" s="5">
        <v>46093</v>
      </c>
      <c r="D76" s="5">
        <v>46097</v>
      </c>
      <c r="E76" s="3" t="s">
        <v>706</v>
      </c>
      <c r="F76" s="3">
        <v>5</v>
      </c>
      <c r="G76" s="3">
        <v>2208</v>
      </c>
      <c r="H76" s="3">
        <v>35.72</v>
      </c>
      <c r="I76" s="3">
        <v>805</v>
      </c>
      <c r="J76" s="3">
        <v>1</v>
      </c>
      <c r="K76" s="4">
        <f t="shared" si="2"/>
        <v>35.776397515527947</v>
      </c>
      <c r="L76" s="3"/>
      <c r="M76" s="1">
        <v>125.4</v>
      </c>
      <c r="N76" s="1">
        <v>126.2</v>
      </c>
      <c r="O76" s="2">
        <f t="shared" si="3"/>
        <v>126.2</v>
      </c>
      <c r="P76" s="1">
        <v>32</v>
      </c>
      <c r="Q76" s="1">
        <v>4.6500000000000004</v>
      </c>
      <c r="R76" s="1" t="s">
        <v>92</v>
      </c>
      <c r="S76" s="1" t="s">
        <v>664</v>
      </c>
      <c r="T76" s="11" t="s">
        <v>346</v>
      </c>
      <c r="U76" s="1" t="s">
        <v>344</v>
      </c>
      <c r="V76" s="14">
        <v>0.03</v>
      </c>
      <c r="W76" s="1"/>
      <c r="X76" s="1"/>
      <c r="Y76" s="1"/>
      <c r="Z76" s="1"/>
    </row>
    <row r="77" spans="1:26" ht="25.2" customHeight="1" x14ac:dyDescent="0.3">
      <c r="A77" s="28" t="s">
        <v>364</v>
      </c>
      <c r="B77" s="28" t="s">
        <v>713</v>
      </c>
      <c r="C77" s="5">
        <v>46097</v>
      </c>
      <c r="D77" s="5">
        <v>46099</v>
      </c>
      <c r="E77" s="3" t="s">
        <v>706</v>
      </c>
      <c r="F77" s="3">
        <v>5</v>
      </c>
      <c r="G77" s="3">
        <v>2208</v>
      </c>
      <c r="H77" s="3">
        <v>35.72</v>
      </c>
      <c r="I77" s="3">
        <v>805</v>
      </c>
      <c r="J77" s="3">
        <v>1</v>
      </c>
      <c r="K77" s="4">
        <f t="shared" si="2"/>
        <v>35.776397515527947</v>
      </c>
      <c r="L77" s="3"/>
      <c r="M77" s="1">
        <v>119.1</v>
      </c>
      <c r="N77" s="1">
        <v>130</v>
      </c>
      <c r="O77" s="2">
        <f t="shared" si="3"/>
        <v>130</v>
      </c>
      <c r="P77" s="1">
        <v>32</v>
      </c>
      <c r="Q77" s="1">
        <v>4.6500000000000004</v>
      </c>
      <c r="R77" s="1" t="s">
        <v>168</v>
      </c>
      <c r="S77" s="1" t="s">
        <v>662</v>
      </c>
      <c r="T77" s="11" t="s">
        <v>346</v>
      </c>
      <c r="U77" s="1" t="s">
        <v>342</v>
      </c>
      <c r="V77" s="14">
        <v>0.05</v>
      </c>
      <c r="W77" s="1"/>
      <c r="X77" s="1"/>
      <c r="Y77" s="1"/>
      <c r="Z77" s="1"/>
    </row>
    <row r="78" spans="1:26" ht="25.2" customHeight="1" x14ac:dyDescent="0.3">
      <c r="A78" s="28" t="s">
        <v>365</v>
      </c>
      <c r="B78" s="28" t="s">
        <v>661</v>
      </c>
      <c r="C78" s="5">
        <v>46094</v>
      </c>
      <c r="D78" s="5">
        <v>46094</v>
      </c>
      <c r="E78" s="3" t="s">
        <v>714</v>
      </c>
      <c r="F78" s="3">
        <v>4</v>
      </c>
      <c r="G78" s="3">
        <v>600</v>
      </c>
      <c r="H78" s="3">
        <v>36.200000000000003</v>
      </c>
      <c r="I78" s="3">
        <v>795</v>
      </c>
      <c r="J78" s="3">
        <v>1</v>
      </c>
      <c r="K78" s="4">
        <f t="shared" si="2"/>
        <v>36.226415094339622</v>
      </c>
      <c r="L78" s="3"/>
      <c r="M78" s="1">
        <v>117.2</v>
      </c>
      <c r="N78" s="1">
        <v>121.6</v>
      </c>
      <c r="O78" s="2">
        <f t="shared" si="3"/>
        <v>121.6</v>
      </c>
      <c r="P78" s="1">
        <v>40</v>
      </c>
      <c r="Q78" s="1">
        <v>5.5</v>
      </c>
      <c r="R78" s="1" t="s">
        <v>92</v>
      </c>
      <c r="S78" s="1" t="s">
        <v>662</v>
      </c>
      <c r="T78" s="11" t="s">
        <v>346</v>
      </c>
      <c r="U78" s="1" t="s">
        <v>344</v>
      </c>
      <c r="V78" s="14">
        <v>0.03</v>
      </c>
      <c r="W78" s="1" t="s">
        <v>103</v>
      </c>
      <c r="X78" s="1"/>
      <c r="Y78" s="1"/>
      <c r="Z78" s="1"/>
    </row>
    <row r="79" spans="1:26" ht="25.2" customHeight="1" x14ac:dyDescent="0.3">
      <c r="A79" s="28" t="s">
        <v>366</v>
      </c>
      <c r="B79" s="28" t="s">
        <v>671</v>
      </c>
      <c r="C79" s="5">
        <v>46094</v>
      </c>
      <c r="D79" s="5">
        <v>46097</v>
      </c>
      <c r="E79" s="3" t="s">
        <v>714</v>
      </c>
      <c r="F79" s="3">
        <v>4</v>
      </c>
      <c r="G79" s="3">
        <v>615</v>
      </c>
      <c r="H79" s="3">
        <v>36.299999999999997</v>
      </c>
      <c r="I79" s="3">
        <v>795</v>
      </c>
      <c r="J79" s="3">
        <v>1</v>
      </c>
      <c r="K79" s="4">
        <f t="shared" si="2"/>
        <v>36.226415094339622</v>
      </c>
      <c r="L79" s="3"/>
      <c r="M79" s="1">
        <v>124.3</v>
      </c>
      <c r="N79" s="1">
        <v>124.9</v>
      </c>
      <c r="O79" s="2">
        <f t="shared" si="3"/>
        <v>124.9</v>
      </c>
      <c r="P79" s="1">
        <v>40</v>
      </c>
      <c r="Q79" s="1">
        <v>5.5</v>
      </c>
      <c r="R79" s="1" t="s">
        <v>92</v>
      </c>
      <c r="S79" s="1" t="s">
        <v>672</v>
      </c>
      <c r="T79" s="11" t="s">
        <v>346</v>
      </c>
      <c r="U79" s="1" t="s">
        <v>647</v>
      </c>
      <c r="V79" s="14">
        <v>0.03</v>
      </c>
      <c r="W79" s="1"/>
      <c r="X79" s="1"/>
      <c r="Y79" s="1"/>
      <c r="Z79" s="1"/>
    </row>
    <row r="80" spans="1:26" ht="25.2" customHeight="1" x14ac:dyDescent="0.3">
      <c r="A80" s="28" t="s">
        <v>367</v>
      </c>
      <c r="B80" s="28" t="s">
        <v>673</v>
      </c>
      <c r="C80" s="5">
        <v>46097</v>
      </c>
      <c r="D80" s="5">
        <v>46097</v>
      </c>
      <c r="E80" s="3" t="s">
        <v>714</v>
      </c>
      <c r="F80" s="3">
        <v>4</v>
      </c>
      <c r="G80" s="3">
        <v>800</v>
      </c>
      <c r="H80" s="3">
        <v>37.700000000000003</v>
      </c>
      <c r="I80" s="3">
        <v>763</v>
      </c>
      <c r="J80" s="3">
        <v>1</v>
      </c>
      <c r="K80" s="4">
        <f t="shared" si="2"/>
        <v>37.745740498034074</v>
      </c>
      <c r="L80" s="3">
        <v>46</v>
      </c>
      <c r="M80" s="1">
        <v>124.2</v>
      </c>
      <c r="N80" s="1">
        <v>124.8</v>
      </c>
      <c r="O80" s="2">
        <f t="shared" si="3"/>
        <v>124.8</v>
      </c>
      <c r="P80" s="1">
        <v>40</v>
      </c>
      <c r="Q80" s="1">
        <v>5.5</v>
      </c>
      <c r="R80" s="1" t="s">
        <v>92</v>
      </c>
      <c r="S80" s="1" t="s">
        <v>674</v>
      </c>
      <c r="T80" s="11" t="s">
        <v>346</v>
      </c>
      <c r="U80" s="1" t="s">
        <v>652</v>
      </c>
      <c r="V80" s="14">
        <v>0.03</v>
      </c>
      <c r="W80" s="1"/>
      <c r="X80" s="1"/>
      <c r="Y80" s="1"/>
      <c r="Z80" s="1"/>
    </row>
    <row r="81" spans="1:26" ht="25.2" customHeight="1" x14ac:dyDescent="0.3">
      <c r="A81" s="28" t="s">
        <v>368</v>
      </c>
      <c r="B81" s="28" t="s">
        <v>655</v>
      </c>
      <c r="C81" s="5">
        <v>46098</v>
      </c>
      <c r="D81" s="5">
        <v>46099</v>
      </c>
      <c r="E81" s="3" t="s">
        <v>714</v>
      </c>
      <c r="F81" s="3">
        <v>4</v>
      </c>
      <c r="G81" s="3">
        <v>800</v>
      </c>
      <c r="H81" s="3">
        <v>37.700000000000003</v>
      </c>
      <c r="I81" s="3">
        <v>763</v>
      </c>
      <c r="J81" s="3">
        <v>1</v>
      </c>
      <c r="K81" s="4">
        <f t="shared" si="2"/>
        <v>37.745740498034074</v>
      </c>
      <c r="L81" s="3"/>
      <c r="M81" s="1">
        <v>118.5</v>
      </c>
      <c r="N81" s="1">
        <v>123</v>
      </c>
      <c r="O81" s="2">
        <f t="shared" si="3"/>
        <v>123</v>
      </c>
      <c r="P81" s="1">
        <v>40</v>
      </c>
      <c r="Q81" s="1">
        <v>5.5</v>
      </c>
      <c r="R81" s="1" t="s">
        <v>168</v>
      </c>
      <c r="S81" s="1" t="s">
        <v>664</v>
      </c>
      <c r="T81" s="11" t="s">
        <v>346</v>
      </c>
      <c r="U81" s="1" t="s">
        <v>342</v>
      </c>
      <c r="V81" s="14">
        <v>0.05</v>
      </c>
      <c r="W81" s="1"/>
      <c r="X81" s="1"/>
      <c r="Y81" s="1"/>
      <c r="Z81" s="1"/>
    </row>
    <row r="82" spans="1:26" ht="25.2" customHeight="1" x14ac:dyDescent="0.3">
      <c r="A82" s="28" t="s">
        <v>369</v>
      </c>
      <c r="B82" s="28" t="s">
        <v>731</v>
      </c>
      <c r="C82" s="5">
        <v>46099</v>
      </c>
      <c r="D82" s="5">
        <v>46099</v>
      </c>
      <c r="E82" s="3" t="s">
        <v>714</v>
      </c>
      <c r="F82" s="3">
        <v>4</v>
      </c>
      <c r="G82" s="3">
        <v>800</v>
      </c>
      <c r="H82" s="3">
        <v>37.700000000000003</v>
      </c>
      <c r="I82" s="3">
        <v>763</v>
      </c>
      <c r="J82" s="3">
        <v>1</v>
      </c>
      <c r="K82" s="4">
        <f t="shared" si="2"/>
        <v>37.745740498034074</v>
      </c>
      <c r="L82" s="3"/>
      <c r="M82" s="1">
        <v>119.7</v>
      </c>
      <c r="N82" s="1">
        <v>124</v>
      </c>
      <c r="O82" s="2">
        <f t="shared" si="3"/>
        <v>124</v>
      </c>
      <c r="P82" s="1">
        <v>40</v>
      </c>
      <c r="Q82" s="1">
        <v>5.5</v>
      </c>
      <c r="R82" s="1" t="s">
        <v>168</v>
      </c>
      <c r="S82" s="1" t="s">
        <v>243</v>
      </c>
      <c r="T82" s="11" t="s">
        <v>346</v>
      </c>
      <c r="U82" s="1" t="s">
        <v>732</v>
      </c>
      <c r="V82" s="14">
        <v>0.04</v>
      </c>
      <c r="W82" s="1"/>
      <c r="X82" s="1"/>
      <c r="Y82" s="1"/>
      <c r="Z82" s="1"/>
    </row>
    <row r="83" spans="1:26" ht="25.2" customHeight="1" x14ac:dyDescent="0.3">
      <c r="A83" s="28" t="s">
        <v>370</v>
      </c>
      <c r="B83" s="30" t="s">
        <v>715</v>
      </c>
      <c r="C83" s="5">
        <v>46094</v>
      </c>
      <c r="D83" s="5">
        <v>46098</v>
      </c>
      <c r="E83" s="3" t="s">
        <v>716</v>
      </c>
      <c r="F83" s="3">
        <v>2</v>
      </c>
      <c r="G83" s="3">
        <v>4200</v>
      </c>
      <c r="H83" s="3">
        <v>53.2</v>
      </c>
      <c r="I83" s="3">
        <v>541</v>
      </c>
      <c r="J83" s="3">
        <v>2</v>
      </c>
      <c r="K83" s="4"/>
      <c r="L83" s="3">
        <v>260</v>
      </c>
      <c r="M83" s="1">
        <v>108.7</v>
      </c>
      <c r="N83" s="1">
        <v>219</v>
      </c>
      <c r="O83" s="2">
        <f t="shared" si="3"/>
        <v>109.5</v>
      </c>
      <c r="P83" s="1">
        <v>100</v>
      </c>
      <c r="Q83" s="1">
        <v>11.5</v>
      </c>
      <c r="R83" s="1" t="s">
        <v>168</v>
      </c>
      <c r="S83" s="1" t="s">
        <v>650</v>
      </c>
      <c r="T83" s="11" t="s">
        <v>346</v>
      </c>
      <c r="U83" s="1" t="s">
        <v>344</v>
      </c>
      <c r="V83" s="14">
        <v>0.03</v>
      </c>
      <c r="W83" s="1" t="s">
        <v>717</v>
      </c>
      <c r="X83" s="1"/>
      <c r="Y83" s="1"/>
      <c r="Z83" s="1"/>
    </row>
    <row r="84" spans="1:26" ht="25.2" customHeight="1" x14ac:dyDescent="0.3">
      <c r="A84" s="28" t="s">
        <v>371</v>
      </c>
      <c r="B84" s="30" t="s">
        <v>727</v>
      </c>
      <c r="C84" s="5">
        <v>46099</v>
      </c>
      <c r="D84" s="5">
        <v>46101</v>
      </c>
      <c r="E84" s="3" t="s">
        <v>716</v>
      </c>
      <c r="F84" s="3">
        <v>2</v>
      </c>
      <c r="G84" s="3">
        <v>4200</v>
      </c>
      <c r="H84" s="3">
        <v>53.2</v>
      </c>
      <c r="I84" s="3">
        <v>541</v>
      </c>
      <c r="J84" s="3">
        <v>2</v>
      </c>
      <c r="K84" s="4">
        <f t="shared" si="2"/>
        <v>106.46950092421442</v>
      </c>
      <c r="L84" s="3">
        <v>460</v>
      </c>
      <c r="M84" s="1">
        <v>108.5</v>
      </c>
      <c r="N84" s="1">
        <v>218.7</v>
      </c>
      <c r="O84" s="2">
        <f t="shared" si="3"/>
        <v>109.35</v>
      </c>
      <c r="P84" s="1">
        <v>100</v>
      </c>
      <c r="Q84" s="1">
        <v>11.5</v>
      </c>
      <c r="R84" s="1" t="s">
        <v>168</v>
      </c>
      <c r="S84" s="1" t="s">
        <v>664</v>
      </c>
      <c r="T84" s="11" t="s">
        <v>346</v>
      </c>
      <c r="U84" s="1" t="s">
        <v>342</v>
      </c>
      <c r="V84" s="14">
        <v>0.04</v>
      </c>
      <c r="W84" s="1"/>
      <c r="X84" s="1"/>
      <c r="Y84" s="1"/>
      <c r="Z84" s="1"/>
    </row>
    <row r="85" spans="1:26" ht="25.2" customHeight="1" x14ac:dyDescent="0.3">
      <c r="A85" s="28" t="s">
        <v>372</v>
      </c>
      <c r="B85" s="30" t="s">
        <v>753</v>
      </c>
      <c r="C85" s="5">
        <v>46104</v>
      </c>
      <c r="D85" s="3" t="s">
        <v>754</v>
      </c>
      <c r="E85" s="3" t="s">
        <v>716</v>
      </c>
      <c r="F85" s="3">
        <v>2</v>
      </c>
      <c r="G85" s="3">
        <v>4200</v>
      </c>
      <c r="H85" s="3">
        <v>53.2</v>
      </c>
      <c r="I85" s="3">
        <v>541</v>
      </c>
      <c r="J85" s="3">
        <v>2</v>
      </c>
      <c r="K85" s="4">
        <f t="shared" si="2"/>
        <v>106.46950092421442</v>
      </c>
      <c r="L85" s="3">
        <v>210</v>
      </c>
      <c r="M85" s="1">
        <v>108.4</v>
      </c>
      <c r="N85" s="1">
        <v>218.7</v>
      </c>
      <c r="O85" s="2">
        <f t="shared" si="3"/>
        <v>109.35</v>
      </c>
      <c r="P85" s="1">
        <v>100</v>
      </c>
      <c r="Q85" s="1">
        <v>11.5</v>
      </c>
      <c r="R85" s="1" t="s">
        <v>168</v>
      </c>
      <c r="S85" s="1" t="s">
        <v>662</v>
      </c>
      <c r="T85" s="11" t="s">
        <v>346</v>
      </c>
      <c r="U85" s="1" t="s">
        <v>684</v>
      </c>
      <c r="V85" s="14">
        <v>0.03</v>
      </c>
      <c r="W85" s="1"/>
      <c r="X85" s="1"/>
      <c r="Y85" s="1"/>
      <c r="Z85" s="1"/>
    </row>
    <row r="86" spans="1:26" ht="25.2" customHeight="1" x14ac:dyDescent="0.3">
      <c r="A86" s="28" t="s">
        <v>373</v>
      </c>
      <c r="B86" s="28" t="s">
        <v>728</v>
      </c>
      <c r="C86" s="5">
        <v>46098</v>
      </c>
      <c r="D86" s="5">
        <v>46099</v>
      </c>
      <c r="E86" s="3" t="s">
        <v>729</v>
      </c>
      <c r="F86" s="3">
        <v>2</v>
      </c>
      <c r="G86" s="24">
        <v>2531</v>
      </c>
      <c r="H86" s="3">
        <v>53.2</v>
      </c>
      <c r="I86" s="3">
        <v>541</v>
      </c>
      <c r="J86" s="3">
        <v>2</v>
      </c>
      <c r="K86" s="4">
        <f t="shared" si="2"/>
        <v>106.46950092421442</v>
      </c>
      <c r="L86" s="3"/>
      <c r="M86" s="1">
        <v>108.78</v>
      </c>
      <c r="N86" s="1">
        <v>219</v>
      </c>
      <c r="O86" s="2">
        <f t="shared" si="3"/>
        <v>109.5</v>
      </c>
      <c r="P86" s="1">
        <v>100</v>
      </c>
      <c r="Q86" s="1">
        <v>11.5</v>
      </c>
      <c r="R86" s="1" t="s">
        <v>168</v>
      </c>
      <c r="S86" s="1" t="s">
        <v>650</v>
      </c>
      <c r="T86" s="11" t="s">
        <v>346</v>
      </c>
      <c r="U86" s="1" t="s">
        <v>344</v>
      </c>
      <c r="V86" s="14">
        <v>0.03</v>
      </c>
      <c r="W86" s="1"/>
      <c r="X86" s="1"/>
      <c r="Y86" s="1"/>
      <c r="Z86" s="1"/>
    </row>
    <row r="87" spans="1:26" ht="25.2" customHeight="1" x14ac:dyDescent="0.3">
      <c r="A87" s="28" t="s">
        <v>374</v>
      </c>
      <c r="B87" s="28" t="s">
        <v>730</v>
      </c>
      <c r="C87" s="5">
        <v>46101</v>
      </c>
      <c r="D87" s="5">
        <v>46104</v>
      </c>
      <c r="E87" s="3" t="s">
        <v>729</v>
      </c>
      <c r="F87" s="3">
        <v>2</v>
      </c>
      <c r="G87" s="3">
        <v>1613</v>
      </c>
      <c r="H87" s="3">
        <v>53.2</v>
      </c>
      <c r="I87" s="3">
        <v>541</v>
      </c>
      <c r="J87" s="3">
        <v>2</v>
      </c>
      <c r="K87" s="4">
        <f t="shared" si="2"/>
        <v>106.46950092421442</v>
      </c>
      <c r="L87" s="3">
        <v>103</v>
      </c>
      <c r="M87" s="1">
        <v>108.5</v>
      </c>
      <c r="N87" s="1">
        <v>218.7</v>
      </c>
      <c r="O87" s="2">
        <f t="shared" si="3"/>
        <v>109.35</v>
      </c>
      <c r="P87" s="1">
        <v>100</v>
      </c>
      <c r="Q87" s="1">
        <v>11.5</v>
      </c>
      <c r="R87" s="1" t="s">
        <v>168</v>
      </c>
      <c r="S87" s="1" t="s">
        <v>664</v>
      </c>
      <c r="T87" s="11" t="s">
        <v>346</v>
      </c>
      <c r="U87" s="1" t="s">
        <v>342</v>
      </c>
      <c r="V87" s="14">
        <v>0.04</v>
      </c>
      <c r="W87" s="1"/>
      <c r="X87" s="1"/>
      <c r="Y87" s="1"/>
      <c r="Z87" s="1"/>
    </row>
    <row r="88" spans="1:26" ht="25.2" customHeight="1" x14ac:dyDescent="0.3">
      <c r="A88" s="28" t="s">
        <v>375</v>
      </c>
      <c r="B88" s="28" t="s">
        <v>755</v>
      </c>
      <c r="C88" s="5">
        <v>46106</v>
      </c>
      <c r="D88" s="5">
        <v>46107</v>
      </c>
      <c r="E88" s="3" t="s">
        <v>729</v>
      </c>
      <c r="F88" s="3">
        <v>2</v>
      </c>
      <c r="G88" s="3">
        <v>1995</v>
      </c>
      <c r="H88" s="3">
        <v>53.2</v>
      </c>
      <c r="I88" s="3">
        <v>541</v>
      </c>
      <c r="J88" s="3">
        <v>2</v>
      </c>
      <c r="K88" s="4">
        <f t="shared" si="2"/>
        <v>106.46950092421442</v>
      </c>
      <c r="L88" s="3"/>
      <c r="M88" s="1">
        <v>108.5</v>
      </c>
      <c r="N88" s="1">
        <v>219</v>
      </c>
      <c r="O88" s="2">
        <f t="shared" si="3"/>
        <v>109.5</v>
      </c>
      <c r="P88" s="1">
        <v>100</v>
      </c>
      <c r="Q88" s="1">
        <v>11.5</v>
      </c>
      <c r="R88" s="1" t="s">
        <v>168</v>
      </c>
      <c r="S88" s="1" t="s">
        <v>662</v>
      </c>
      <c r="T88" s="11" t="s">
        <v>346</v>
      </c>
      <c r="U88" s="1" t="s">
        <v>756</v>
      </c>
      <c r="V88" s="14">
        <v>0.03</v>
      </c>
      <c r="W88" s="1"/>
      <c r="X88" s="1"/>
      <c r="Y88" s="1"/>
      <c r="Z88" s="1"/>
    </row>
    <row r="89" spans="1:26" ht="25.2" customHeight="1" x14ac:dyDescent="0.3">
      <c r="A89" s="28" t="s">
        <v>376</v>
      </c>
      <c r="B89" s="28" t="s">
        <v>765</v>
      </c>
      <c r="C89" s="5">
        <v>46107</v>
      </c>
      <c r="D89" s="5">
        <v>46108</v>
      </c>
      <c r="E89" s="3" t="s">
        <v>729</v>
      </c>
      <c r="F89" s="3">
        <v>2</v>
      </c>
      <c r="G89" s="3">
        <v>1500</v>
      </c>
      <c r="H89" s="3">
        <v>53.2</v>
      </c>
      <c r="I89" s="3">
        <v>541</v>
      </c>
      <c r="J89" s="3">
        <v>2</v>
      </c>
      <c r="K89" s="4">
        <f t="shared" si="2"/>
        <v>106.46950092421442</v>
      </c>
      <c r="L89" s="3"/>
      <c r="M89" s="1">
        <v>107.9</v>
      </c>
      <c r="N89" s="1">
        <v>217.7</v>
      </c>
      <c r="O89" s="2">
        <f t="shared" si="3"/>
        <v>108.85</v>
      </c>
      <c r="P89" s="1">
        <v>100</v>
      </c>
      <c r="Q89" s="1">
        <v>11.5</v>
      </c>
      <c r="R89" s="1" t="s">
        <v>168</v>
      </c>
      <c r="S89" s="1" t="s">
        <v>672</v>
      </c>
      <c r="T89" s="11" t="s">
        <v>346</v>
      </c>
      <c r="U89" s="1" t="s">
        <v>334</v>
      </c>
      <c r="V89" s="14">
        <v>0.05</v>
      </c>
      <c r="W89" s="1"/>
      <c r="X89" s="1"/>
      <c r="Y89" s="1"/>
      <c r="Z89" s="1"/>
    </row>
    <row r="90" spans="1:26" ht="25.2" customHeight="1" x14ac:dyDescent="0.3">
      <c r="A90" s="28" t="s">
        <v>377</v>
      </c>
      <c r="B90" s="28" t="s">
        <v>737</v>
      </c>
      <c r="C90" s="5">
        <v>46097</v>
      </c>
      <c r="D90" s="5">
        <v>46097</v>
      </c>
      <c r="E90" s="3" t="s">
        <v>720</v>
      </c>
      <c r="F90" s="3">
        <v>5</v>
      </c>
      <c r="G90" s="3">
        <v>512</v>
      </c>
      <c r="H90" s="3">
        <v>35.72</v>
      </c>
      <c r="I90" s="3">
        <v>806</v>
      </c>
      <c r="J90" s="3">
        <v>1</v>
      </c>
      <c r="K90" s="4">
        <f t="shared" si="2"/>
        <v>35.732009925558316</v>
      </c>
      <c r="L90" s="3"/>
      <c r="M90" s="1">
        <v>125.4</v>
      </c>
      <c r="N90" s="1">
        <v>126.2</v>
      </c>
      <c r="O90" s="2">
        <f t="shared" si="3"/>
        <v>126.2</v>
      </c>
      <c r="P90" s="1">
        <v>32</v>
      </c>
      <c r="Q90" s="1">
        <v>4.6500000000000004</v>
      </c>
      <c r="R90" s="1" t="s">
        <v>168</v>
      </c>
      <c r="S90" s="1" t="s">
        <v>650</v>
      </c>
      <c r="T90" s="11" t="s">
        <v>346</v>
      </c>
      <c r="U90" s="1" t="s">
        <v>344</v>
      </c>
      <c r="V90" s="14">
        <v>0.03</v>
      </c>
      <c r="W90" s="1" t="s">
        <v>103</v>
      </c>
      <c r="X90" s="1"/>
      <c r="Y90" s="1"/>
      <c r="Z90" s="1"/>
    </row>
    <row r="91" spans="1:26" ht="25.2" customHeight="1" x14ac:dyDescent="0.3">
      <c r="A91" s="28" t="s">
        <v>378</v>
      </c>
      <c r="B91" s="28" t="s">
        <v>738</v>
      </c>
      <c r="C91" s="5">
        <v>46099</v>
      </c>
      <c r="D91" s="5">
        <v>46099</v>
      </c>
      <c r="E91" s="3" t="s">
        <v>720</v>
      </c>
      <c r="F91" s="3">
        <v>5</v>
      </c>
      <c r="G91" s="3">
        <v>1216</v>
      </c>
      <c r="H91" s="3">
        <v>35.72</v>
      </c>
      <c r="I91" s="3">
        <v>806</v>
      </c>
      <c r="J91" s="3">
        <v>1</v>
      </c>
      <c r="K91" s="4">
        <f t="shared" si="2"/>
        <v>35.732009925558316</v>
      </c>
      <c r="L91" s="3"/>
      <c r="M91" s="1">
        <v>125.4</v>
      </c>
      <c r="N91" s="1">
        <v>126.2</v>
      </c>
      <c r="O91" s="2">
        <f t="shared" si="3"/>
        <v>126.2</v>
      </c>
      <c r="P91" s="1">
        <v>32</v>
      </c>
      <c r="Q91" s="1">
        <v>4.6500000000000004</v>
      </c>
      <c r="R91" s="1" t="s">
        <v>168</v>
      </c>
      <c r="S91" s="1" t="s">
        <v>664</v>
      </c>
      <c r="T91" s="11" t="s">
        <v>346</v>
      </c>
      <c r="U91" s="1" t="s">
        <v>342</v>
      </c>
      <c r="V91" s="14">
        <v>0.04</v>
      </c>
      <c r="W91" s="1"/>
      <c r="X91" s="1"/>
      <c r="Y91" s="1"/>
      <c r="Z91" s="1"/>
    </row>
    <row r="92" spans="1:26" ht="25.2" customHeight="1" x14ac:dyDescent="0.3">
      <c r="A92" s="28" t="s">
        <v>379</v>
      </c>
      <c r="B92" s="28" t="s">
        <v>739</v>
      </c>
      <c r="C92" s="5">
        <v>46100</v>
      </c>
      <c r="D92" s="3" t="s">
        <v>740</v>
      </c>
      <c r="E92" s="3" t="s">
        <v>720</v>
      </c>
      <c r="F92" s="3">
        <v>5</v>
      </c>
      <c r="G92" s="3">
        <v>800</v>
      </c>
      <c r="H92" s="3">
        <v>35.72</v>
      </c>
      <c r="I92" s="3">
        <v>806</v>
      </c>
      <c r="J92" s="3">
        <v>1</v>
      </c>
      <c r="K92" s="4">
        <f t="shared" si="2"/>
        <v>35.732009925558316</v>
      </c>
      <c r="L92" s="3"/>
      <c r="M92" s="1">
        <v>125.4</v>
      </c>
      <c r="N92" s="1">
        <v>126.2</v>
      </c>
      <c r="O92" s="2">
        <f t="shared" si="3"/>
        <v>126.2</v>
      </c>
      <c r="P92" s="1">
        <v>32</v>
      </c>
      <c r="Q92" s="1">
        <v>4.6500000000000004</v>
      </c>
      <c r="R92" s="1" t="s">
        <v>168</v>
      </c>
      <c r="S92" s="1" t="s">
        <v>662</v>
      </c>
      <c r="T92" s="11" t="s">
        <v>346</v>
      </c>
      <c r="U92" s="1" t="s">
        <v>652</v>
      </c>
      <c r="V92" s="14">
        <v>0.03</v>
      </c>
      <c r="W92" s="1"/>
      <c r="X92" s="1"/>
      <c r="Y92" s="1"/>
      <c r="Z92" s="1"/>
    </row>
    <row r="93" spans="1:26" ht="25.2" customHeight="1" x14ac:dyDescent="0.3">
      <c r="A93" s="28" t="s">
        <v>380</v>
      </c>
      <c r="B93" s="28" t="s">
        <v>741</v>
      </c>
      <c r="C93" s="5">
        <v>46100</v>
      </c>
      <c r="D93" s="5">
        <v>46101</v>
      </c>
      <c r="E93" s="3" t="s">
        <v>720</v>
      </c>
      <c r="F93" s="3">
        <v>5</v>
      </c>
      <c r="G93" s="3">
        <v>1024</v>
      </c>
      <c r="H93" s="3">
        <v>35.72</v>
      </c>
      <c r="I93" s="3">
        <v>806</v>
      </c>
      <c r="J93" s="3">
        <v>1</v>
      </c>
      <c r="K93" s="4">
        <f t="shared" si="2"/>
        <v>35.732009925558316</v>
      </c>
      <c r="L93" s="3"/>
      <c r="M93" s="1">
        <v>125.4</v>
      </c>
      <c r="N93" s="1">
        <v>126.2</v>
      </c>
      <c r="O93" s="2">
        <f t="shared" si="3"/>
        <v>126.2</v>
      </c>
      <c r="P93" s="1">
        <v>32</v>
      </c>
      <c r="Q93" s="1">
        <v>4.6500000000000004</v>
      </c>
      <c r="R93" s="1" t="s">
        <v>168</v>
      </c>
      <c r="S93" s="1" t="s">
        <v>672</v>
      </c>
      <c r="T93" s="11" t="s">
        <v>346</v>
      </c>
      <c r="U93" s="1" t="s">
        <v>334</v>
      </c>
      <c r="V93" s="14">
        <v>0.03</v>
      </c>
      <c r="W93" s="1"/>
      <c r="X93" s="1"/>
      <c r="Y93" s="1"/>
      <c r="Z93" s="1"/>
    </row>
    <row r="94" spans="1:26" ht="25.2" customHeight="1" x14ac:dyDescent="0.3">
      <c r="A94" s="28" t="s">
        <v>381</v>
      </c>
      <c r="B94" s="28" t="s">
        <v>742</v>
      </c>
      <c r="C94" s="5">
        <v>46101</v>
      </c>
      <c r="D94" s="5">
        <v>46196</v>
      </c>
      <c r="E94" s="3" t="s">
        <v>720</v>
      </c>
      <c r="F94" s="3">
        <v>5</v>
      </c>
      <c r="G94" s="3">
        <v>1563</v>
      </c>
      <c r="H94" s="3">
        <v>35.72</v>
      </c>
      <c r="I94" s="3">
        <v>806</v>
      </c>
      <c r="J94" s="3">
        <v>1</v>
      </c>
      <c r="K94" s="4">
        <f t="shared" si="2"/>
        <v>35.732009925558316</v>
      </c>
      <c r="L94" s="3"/>
      <c r="M94" s="1">
        <v>125.4</v>
      </c>
      <c r="N94" s="1">
        <v>126.2</v>
      </c>
      <c r="O94" s="2">
        <f t="shared" si="3"/>
        <v>126.2</v>
      </c>
      <c r="P94" s="1">
        <v>32</v>
      </c>
      <c r="Q94" s="1">
        <v>4.6500000000000004</v>
      </c>
      <c r="R94" s="1" t="s">
        <v>168</v>
      </c>
      <c r="S94" s="1" t="s">
        <v>674</v>
      </c>
      <c r="T94" s="11" t="s">
        <v>346</v>
      </c>
      <c r="U94" s="1" t="s">
        <v>647</v>
      </c>
      <c r="V94" s="14">
        <v>0.03</v>
      </c>
      <c r="W94" s="1"/>
      <c r="X94" s="1"/>
      <c r="Y94" s="1"/>
      <c r="Z94" s="1"/>
    </row>
    <row r="95" spans="1:26" ht="25.2" customHeight="1" x14ac:dyDescent="0.3">
      <c r="A95" s="28" t="s">
        <v>382</v>
      </c>
      <c r="B95" s="28" t="s">
        <v>721</v>
      </c>
      <c r="C95" s="5">
        <v>46098</v>
      </c>
      <c r="D95" s="5">
        <v>46098</v>
      </c>
      <c r="E95" s="3" t="s">
        <v>722</v>
      </c>
      <c r="F95" s="3">
        <v>1</v>
      </c>
      <c r="G95" s="3">
        <v>468</v>
      </c>
      <c r="H95" s="3">
        <v>64.599999999999994</v>
      </c>
      <c r="I95" s="3">
        <v>445</v>
      </c>
      <c r="J95" s="3">
        <v>1</v>
      </c>
      <c r="K95" s="4">
        <f t="shared" si="2"/>
        <v>64.719101123595507</v>
      </c>
      <c r="L95" s="3">
        <v>51</v>
      </c>
      <c r="M95" s="1">
        <v>210.9</v>
      </c>
      <c r="N95" s="1">
        <v>210.9</v>
      </c>
      <c r="O95" s="2">
        <f t="shared" si="3"/>
        <v>210.9</v>
      </c>
      <c r="P95" s="1">
        <v>52</v>
      </c>
      <c r="Q95" s="1">
        <v>12</v>
      </c>
      <c r="R95" s="1" t="s">
        <v>99</v>
      </c>
      <c r="S95" s="1" t="s">
        <v>650</v>
      </c>
      <c r="T95" s="20" t="s">
        <v>723</v>
      </c>
      <c r="U95" s="1" t="s">
        <v>98</v>
      </c>
      <c r="V95" s="14">
        <v>0.04</v>
      </c>
      <c r="W95" s="1"/>
      <c r="X95" s="1"/>
      <c r="Y95" s="1"/>
      <c r="Z95" s="1"/>
    </row>
    <row r="96" spans="1:26" ht="25.2" customHeight="1" x14ac:dyDescent="0.3">
      <c r="A96" s="28" t="s">
        <v>383</v>
      </c>
      <c r="B96" s="28" t="s">
        <v>724</v>
      </c>
      <c r="C96" s="5">
        <v>46099</v>
      </c>
      <c r="D96" s="5">
        <v>46099</v>
      </c>
      <c r="E96" s="3" t="s">
        <v>722</v>
      </c>
      <c r="F96" s="3">
        <v>1</v>
      </c>
      <c r="G96" s="3">
        <v>1144</v>
      </c>
      <c r="H96" s="3">
        <v>64.599999999999994</v>
      </c>
      <c r="I96" s="3">
        <v>445</v>
      </c>
      <c r="J96" s="3">
        <v>1</v>
      </c>
      <c r="K96" s="4">
        <f t="shared" si="2"/>
        <v>64.719101123595507</v>
      </c>
      <c r="L96" s="3">
        <v>60</v>
      </c>
      <c r="M96" s="1">
        <v>211.1</v>
      </c>
      <c r="N96" s="1">
        <v>211.3</v>
      </c>
      <c r="O96" s="2">
        <f t="shared" si="3"/>
        <v>211.3</v>
      </c>
      <c r="P96" s="1">
        <v>52</v>
      </c>
      <c r="Q96" s="1">
        <v>12</v>
      </c>
      <c r="R96" s="1" t="s">
        <v>99</v>
      </c>
      <c r="S96" s="1" t="s">
        <v>664</v>
      </c>
      <c r="T96" s="20" t="s">
        <v>723</v>
      </c>
      <c r="U96" s="1" t="s">
        <v>141</v>
      </c>
      <c r="V96" s="14">
        <v>0.02</v>
      </c>
      <c r="W96" s="1"/>
      <c r="X96" s="1"/>
      <c r="Y96" s="1"/>
      <c r="Z96" s="1"/>
    </row>
    <row r="97" spans="1:26" ht="25.2" customHeight="1" x14ac:dyDescent="0.3">
      <c r="A97" s="28" t="s">
        <v>384</v>
      </c>
      <c r="B97" s="28" t="s">
        <v>725</v>
      </c>
      <c r="C97" s="5">
        <v>46100</v>
      </c>
      <c r="D97" s="5">
        <v>46104</v>
      </c>
      <c r="E97" s="3" t="s">
        <v>726</v>
      </c>
      <c r="F97" s="3">
        <v>1</v>
      </c>
      <c r="G97" s="3">
        <v>1600</v>
      </c>
      <c r="H97" s="3">
        <v>78.7</v>
      </c>
      <c r="I97" s="3">
        <v>366</v>
      </c>
      <c r="J97" s="3">
        <v>1</v>
      </c>
      <c r="K97" s="4">
        <f t="shared" si="2"/>
        <v>78.688524590163937</v>
      </c>
      <c r="L97" s="3"/>
      <c r="M97" s="1">
        <v>208.6</v>
      </c>
      <c r="N97" s="1">
        <v>208.9</v>
      </c>
      <c r="O97" s="2">
        <f t="shared" si="3"/>
        <v>208.9</v>
      </c>
      <c r="P97" s="1">
        <v>52</v>
      </c>
      <c r="Q97" s="1">
        <v>12</v>
      </c>
      <c r="R97" s="1" t="s">
        <v>99</v>
      </c>
      <c r="S97" s="1" t="s">
        <v>662</v>
      </c>
      <c r="T97" s="20" t="s">
        <v>723</v>
      </c>
      <c r="U97" s="1" t="s">
        <v>141</v>
      </c>
      <c r="V97" s="14">
        <v>0.02</v>
      </c>
      <c r="W97" s="1"/>
      <c r="X97" s="1"/>
      <c r="Y97" s="1"/>
      <c r="Z97" s="1"/>
    </row>
    <row r="98" spans="1:26" ht="25.2" customHeight="1" x14ac:dyDescent="0.3">
      <c r="A98" s="28" t="s">
        <v>385</v>
      </c>
      <c r="B98" s="28" t="s">
        <v>749</v>
      </c>
      <c r="C98" s="5">
        <v>46104</v>
      </c>
      <c r="D98" s="5">
        <v>46107</v>
      </c>
      <c r="E98" s="3" t="s">
        <v>726</v>
      </c>
      <c r="F98" s="3">
        <v>1</v>
      </c>
      <c r="G98" s="3">
        <v>1612</v>
      </c>
      <c r="H98" s="3">
        <v>74.7</v>
      </c>
      <c r="I98" s="3">
        <v>385</v>
      </c>
      <c r="J98" s="3">
        <v>1</v>
      </c>
      <c r="K98" s="4">
        <f t="shared" si="2"/>
        <v>74.805194805194802</v>
      </c>
      <c r="L98" s="3">
        <v>73</v>
      </c>
      <c r="M98" s="1">
        <v>211.8</v>
      </c>
      <c r="N98" s="1">
        <v>211.8</v>
      </c>
      <c r="O98" s="2">
        <f t="shared" si="3"/>
        <v>211.8</v>
      </c>
      <c r="P98" s="1">
        <v>52</v>
      </c>
      <c r="Q98" s="1">
        <v>12</v>
      </c>
      <c r="R98" s="1" t="s">
        <v>99</v>
      </c>
      <c r="S98" s="1" t="s">
        <v>672</v>
      </c>
      <c r="T98" s="20" t="s">
        <v>723</v>
      </c>
      <c r="U98" s="1" t="s">
        <v>149</v>
      </c>
      <c r="V98" s="14">
        <v>0.02</v>
      </c>
      <c r="W98" s="1"/>
      <c r="X98" s="1"/>
      <c r="Y98" s="1"/>
      <c r="Z98" s="1"/>
    </row>
    <row r="99" spans="1:26" ht="25.2" customHeight="1" x14ac:dyDescent="0.3">
      <c r="A99" s="28" t="s">
        <v>386</v>
      </c>
      <c r="B99" s="28" t="s">
        <v>734</v>
      </c>
      <c r="C99" s="5">
        <v>46100</v>
      </c>
      <c r="D99" s="5">
        <v>46105</v>
      </c>
      <c r="E99" s="3" t="s">
        <v>733</v>
      </c>
      <c r="F99" s="3">
        <v>4</v>
      </c>
      <c r="G99" s="3">
        <v>2434</v>
      </c>
      <c r="H99" s="3">
        <v>43.8</v>
      </c>
      <c r="I99" s="3">
        <v>657</v>
      </c>
      <c r="J99" s="3">
        <v>1</v>
      </c>
      <c r="K99" s="4">
        <f t="shared" ref="K99" si="4">(3600/(I99/8))*J99</f>
        <v>43.835616438356162</v>
      </c>
      <c r="L99" s="3">
        <v>267</v>
      </c>
      <c r="M99" s="1">
        <v>156</v>
      </c>
      <c r="N99" s="1">
        <v>156.4</v>
      </c>
      <c r="O99" s="2">
        <f t="shared" ref="O99" si="5">N99/J99</f>
        <v>156.4</v>
      </c>
      <c r="P99" s="1">
        <v>40</v>
      </c>
      <c r="Q99" s="1">
        <v>6.65</v>
      </c>
      <c r="R99" s="1" t="s">
        <v>92</v>
      </c>
      <c r="S99" s="1" t="s">
        <v>664</v>
      </c>
      <c r="T99" s="11" t="s">
        <v>346</v>
      </c>
      <c r="U99" s="1" t="s">
        <v>342</v>
      </c>
      <c r="V99" s="14">
        <v>0.05</v>
      </c>
      <c r="W99" s="1"/>
      <c r="X99" s="1"/>
      <c r="Y99" s="1"/>
      <c r="Z99" s="1"/>
    </row>
    <row r="100" spans="1:26" ht="25.2" customHeight="1" x14ac:dyDescent="0.3">
      <c r="A100" s="28" t="s">
        <v>387</v>
      </c>
      <c r="B100" s="28" t="s">
        <v>775</v>
      </c>
      <c r="C100" s="5">
        <v>46105</v>
      </c>
      <c r="D100" s="5">
        <v>46108</v>
      </c>
      <c r="E100" s="3" t="s">
        <v>733</v>
      </c>
      <c r="F100" s="3">
        <v>4</v>
      </c>
      <c r="G100" s="3">
        <v>2200</v>
      </c>
      <c r="H100" s="3">
        <v>58.6</v>
      </c>
      <c r="I100" s="3">
        <v>491</v>
      </c>
      <c r="J100" s="3">
        <v>1</v>
      </c>
      <c r="K100" s="4">
        <f t="shared" si="2"/>
        <v>58.655804480651732</v>
      </c>
      <c r="L100" s="3">
        <v>195</v>
      </c>
      <c r="M100" s="1">
        <v>156</v>
      </c>
      <c r="N100" s="1">
        <v>156.4</v>
      </c>
      <c r="O100" s="2">
        <f t="shared" si="3"/>
        <v>156.4</v>
      </c>
      <c r="P100" s="1">
        <v>40</v>
      </c>
      <c r="Q100" s="1">
        <v>6.65</v>
      </c>
      <c r="R100" s="1" t="s">
        <v>92</v>
      </c>
      <c r="S100" s="1" t="s">
        <v>662</v>
      </c>
      <c r="T100" s="11" t="s">
        <v>346</v>
      </c>
      <c r="U100" s="1" t="s">
        <v>684</v>
      </c>
      <c r="V100" s="14">
        <v>0.03</v>
      </c>
      <c r="W100" s="1"/>
      <c r="X100" s="1"/>
      <c r="Y100" s="1"/>
      <c r="Z100" s="1"/>
    </row>
    <row r="101" spans="1:26" ht="25.2" customHeight="1" x14ac:dyDescent="0.3">
      <c r="A101" s="28" t="s">
        <v>388</v>
      </c>
      <c r="B101" s="28" t="s">
        <v>776</v>
      </c>
      <c r="C101" s="5">
        <v>46108</v>
      </c>
      <c r="D101" s="5">
        <v>46113</v>
      </c>
      <c r="E101" s="3" t="s">
        <v>733</v>
      </c>
      <c r="F101" s="3">
        <v>4</v>
      </c>
      <c r="G101" s="3">
        <v>2200</v>
      </c>
      <c r="H101" s="3">
        <v>58.5</v>
      </c>
      <c r="I101" s="3">
        <v>490</v>
      </c>
      <c r="J101" s="3">
        <v>1</v>
      </c>
      <c r="K101" s="4">
        <f t="shared" si="2"/>
        <v>58.775510204081634</v>
      </c>
      <c r="L101" s="3"/>
      <c r="M101" s="1">
        <v>159</v>
      </c>
      <c r="N101" s="1">
        <v>159.30000000000001</v>
      </c>
      <c r="O101" s="2">
        <f t="shared" si="3"/>
        <v>159.30000000000001</v>
      </c>
      <c r="P101" s="1">
        <v>40</v>
      </c>
      <c r="Q101" s="1">
        <v>6.65</v>
      </c>
      <c r="R101" s="1" t="s">
        <v>92</v>
      </c>
      <c r="S101" s="1" t="s">
        <v>672</v>
      </c>
      <c r="T101" s="11" t="s">
        <v>346</v>
      </c>
      <c r="U101" s="1" t="s">
        <v>344</v>
      </c>
      <c r="V101" s="14">
        <v>0.03</v>
      </c>
      <c r="W101" s="1"/>
      <c r="X101" s="1"/>
      <c r="Y101" s="1"/>
      <c r="Z101" s="1"/>
    </row>
    <row r="102" spans="1:26" ht="25.2" customHeight="1" x14ac:dyDescent="0.3">
      <c r="A102" s="28" t="s">
        <v>389</v>
      </c>
      <c r="B102" s="28" t="s">
        <v>794</v>
      </c>
      <c r="C102" s="5">
        <v>46111</v>
      </c>
      <c r="D102" s="5">
        <v>46111</v>
      </c>
      <c r="E102" s="3" t="s">
        <v>767</v>
      </c>
      <c r="F102" s="3">
        <v>1</v>
      </c>
      <c r="G102" s="3">
        <v>520</v>
      </c>
      <c r="H102" s="3">
        <v>55.5</v>
      </c>
      <c r="I102" s="3">
        <v>545</v>
      </c>
      <c r="J102" s="3">
        <v>1</v>
      </c>
      <c r="K102" s="4">
        <f t="shared" si="2"/>
        <v>52.844036697247709</v>
      </c>
      <c r="L102" s="3"/>
      <c r="M102" s="1">
        <v>1154.2</v>
      </c>
      <c r="N102" s="1">
        <v>154.19999999999999</v>
      </c>
      <c r="O102" s="2">
        <f t="shared" si="3"/>
        <v>154.19999999999999</v>
      </c>
      <c r="P102" s="1">
        <v>40</v>
      </c>
      <c r="Q102" s="1">
        <v>7.4</v>
      </c>
      <c r="R102" s="1" t="s">
        <v>99</v>
      </c>
      <c r="S102" s="1" t="s">
        <v>662</v>
      </c>
      <c r="T102" s="20" t="s">
        <v>787</v>
      </c>
      <c r="U102" s="1" t="s">
        <v>184</v>
      </c>
      <c r="V102" s="14">
        <v>0.02</v>
      </c>
      <c r="W102" s="1" t="s">
        <v>94</v>
      </c>
      <c r="X102" s="1"/>
      <c r="Y102" s="1"/>
      <c r="Z102" s="1"/>
    </row>
    <row r="103" spans="1:26" ht="25.2" customHeight="1" x14ac:dyDescent="0.3">
      <c r="A103" s="28" t="s">
        <v>390</v>
      </c>
      <c r="B103" s="28" t="s">
        <v>766</v>
      </c>
      <c r="C103" s="5">
        <v>46107</v>
      </c>
      <c r="D103" s="5">
        <v>46108</v>
      </c>
      <c r="E103" s="3" t="s">
        <v>767</v>
      </c>
      <c r="F103" s="3">
        <v>1</v>
      </c>
      <c r="G103" s="3">
        <v>510</v>
      </c>
      <c r="H103" s="3">
        <v>52.8</v>
      </c>
      <c r="I103" s="3">
        <v>518</v>
      </c>
      <c r="J103" s="3">
        <v>1</v>
      </c>
      <c r="K103" s="4">
        <f t="shared" si="2"/>
        <v>55.598455598455601</v>
      </c>
      <c r="L103" s="3">
        <v>173</v>
      </c>
      <c r="M103" s="1">
        <v>144.9</v>
      </c>
      <c r="N103" s="1">
        <v>145</v>
      </c>
      <c r="O103" s="2">
        <f t="shared" si="3"/>
        <v>145</v>
      </c>
      <c r="P103" s="1">
        <v>40</v>
      </c>
      <c r="Q103" s="1">
        <v>7.4</v>
      </c>
      <c r="R103" s="1" t="s">
        <v>99</v>
      </c>
      <c r="S103" s="1" t="s">
        <v>650</v>
      </c>
      <c r="T103" s="20" t="s">
        <v>768</v>
      </c>
      <c r="U103" s="1" t="s">
        <v>141</v>
      </c>
      <c r="V103" s="14">
        <v>0.02</v>
      </c>
      <c r="W103" s="1"/>
      <c r="X103" s="1"/>
      <c r="Y103" s="1"/>
      <c r="Z103" s="1"/>
    </row>
    <row r="104" spans="1:26" ht="25.2" customHeight="1" x14ac:dyDescent="0.3">
      <c r="A104" s="28" t="s">
        <v>391</v>
      </c>
      <c r="B104" s="28" t="s">
        <v>769</v>
      </c>
      <c r="C104" s="5">
        <v>46108</v>
      </c>
      <c r="D104" s="5">
        <v>46111</v>
      </c>
      <c r="E104" s="3" t="s">
        <v>767</v>
      </c>
      <c r="F104" s="3">
        <v>1</v>
      </c>
      <c r="G104" s="3">
        <v>1000</v>
      </c>
      <c r="H104" s="3">
        <v>52.8</v>
      </c>
      <c r="I104" s="3">
        <v>518</v>
      </c>
      <c r="J104" s="3">
        <v>1</v>
      </c>
      <c r="K104" s="4">
        <f t="shared" si="2"/>
        <v>55.598455598455601</v>
      </c>
      <c r="L104" s="3"/>
      <c r="M104" s="1">
        <v>138.6</v>
      </c>
      <c r="N104" s="1">
        <v>138.6</v>
      </c>
      <c r="O104" s="2">
        <f t="shared" si="3"/>
        <v>138.6</v>
      </c>
      <c r="P104" s="1">
        <v>40</v>
      </c>
      <c r="Q104" s="1">
        <v>7.4</v>
      </c>
      <c r="R104" s="1" t="s">
        <v>99</v>
      </c>
      <c r="S104" s="1" t="s">
        <v>664</v>
      </c>
      <c r="T104" s="20" t="s">
        <v>770</v>
      </c>
      <c r="U104" s="1" t="s">
        <v>134</v>
      </c>
      <c r="V104" s="14">
        <v>0.02</v>
      </c>
      <c r="W104" s="1"/>
      <c r="X104" s="1" t="s">
        <v>94</v>
      </c>
      <c r="Y104" s="1" t="s">
        <v>120</v>
      </c>
      <c r="Z104" s="1"/>
    </row>
    <row r="105" spans="1:26" ht="25.2" customHeight="1" x14ac:dyDescent="0.3">
      <c r="A105" s="28" t="s">
        <v>392</v>
      </c>
      <c r="B105" s="30" t="s">
        <v>771</v>
      </c>
      <c r="C105" s="5">
        <v>46107</v>
      </c>
      <c r="D105" s="5">
        <v>46108</v>
      </c>
      <c r="E105" s="3" t="s">
        <v>772</v>
      </c>
      <c r="F105" s="3">
        <v>3</v>
      </c>
      <c r="G105" s="3">
        <v>800</v>
      </c>
      <c r="H105" s="3">
        <v>49.8</v>
      </c>
      <c r="I105" s="3">
        <v>578</v>
      </c>
      <c r="J105" s="3">
        <v>1</v>
      </c>
      <c r="K105" s="4">
        <f t="shared" si="2"/>
        <v>49.826989619377166</v>
      </c>
      <c r="L105" s="3">
        <v>22</v>
      </c>
      <c r="M105" s="1">
        <v>156.80000000000001</v>
      </c>
      <c r="N105" s="1">
        <v>160.5</v>
      </c>
      <c r="O105" s="2">
        <f t="shared" si="3"/>
        <v>160.5</v>
      </c>
      <c r="P105" s="1">
        <v>28</v>
      </c>
      <c r="Q105" s="1">
        <v>4.55</v>
      </c>
      <c r="R105" s="1" t="s">
        <v>87</v>
      </c>
      <c r="S105" s="1" t="s">
        <v>650</v>
      </c>
      <c r="T105" s="18" t="s">
        <v>773</v>
      </c>
      <c r="U105" s="1" t="s">
        <v>134</v>
      </c>
      <c r="V105" s="14">
        <v>0.03</v>
      </c>
      <c r="W105" s="1" t="s">
        <v>94</v>
      </c>
      <c r="X105" s="1"/>
      <c r="Y105" s="1"/>
      <c r="Z105" s="1"/>
    </row>
    <row r="106" spans="1:26" ht="25.2" customHeight="1" x14ac:dyDescent="0.3">
      <c r="A106" s="28" t="s">
        <v>393</v>
      </c>
      <c r="B106" s="30" t="s">
        <v>774</v>
      </c>
      <c r="C106" s="5">
        <v>46108</v>
      </c>
      <c r="D106" s="5">
        <v>46111</v>
      </c>
      <c r="E106" s="3" t="s">
        <v>772</v>
      </c>
      <c r="F106" s="3">
        <v>3</v>
      </c>
      <c r="G106" s="3">
        <v>809</v>
      </c>
      <c r="H106" s="3">
        <v>49.7</v>
      </c>
      <c r="I106" s="3">
        <v>578</v>
      </c>
      <c r="J106" s="3">
        <v>1</v>
      </c>
      <c r="K106" s="4">
        <f t="shared" si="2"/>
        <v>49.826989619377166</v>
      </c>
      <c r="L106" s="3">
        <v>16</v>
      </c>
      <c r="M106" s="1">
        <v>156.80000000000001</v>
      </c>
      <c r="N106" s="1">
        <v>160.5</v>
      </c>
      <c r="O106" s="2">
        <f t="shared" si="3"/>
        <v>160.5</v>
      </c>
      <c r="P106" s="1">
        <v>28</v>
      </c>
      <c r="Q106" s="1">
        <v>4.55</v>
      </c>
      <c r="R106" s="1" t="s">
        <v>87</v>
      </c>
      <c r="S106" s="1" t="s">
        <v>664</v>
      </c>
      <c r="T106" s="18" t="s">
        <v>133</v>
      </c>
      <c r="U106" s="1" t="s">
        <v>180</v>
      </c>
      <c r="V106" s="14">
        <v>0.03</v>
      </c>
      <c r="W106" s="1"/>
      <c r="X106" s="1" t="s">
        <v>678</v>
      </c>
      <c r="Y106" s="1"/>
      <c r="Z106" s="1"/>
    </row>
    <row r="107" spans="1:26" ht="25.2" customHeight="1" x14ac:dyDescent="0.3">
      <c r="A107" s="28" t="s">
        <v>394</v>
      </c>
      <c r="B107" s="28" t="s">
        <v>785</v>
      </c>
      <c r="C107" s="5">
        <v>46108</v>
      </c>
      <c r="D107" s="5">
        <v>46108</v>
      </c>
      <c r="E107" s="3" t="s">
        <v>786</v>
      </c>
      <c r="F107" s="3">
        <v>7</v>
      </c>
      <c r="G107" s="3">
        <v>800</v>
      </c>
      <c r="H107" s="3">
        <v>78.5</v>
      </c>
      <c r="I107" s="3">
        <v>366</v>
      </c>
      <c r="J107" s="3">
        <v>2</v>
      </c>
      <c r="K107" s="4">
        <f t="shared" si="2"/>
        <v>157.37704918032787</v>
      </c>
      <c r="L107" s="3">
        <v>178</v>
      </c>
      <c r="M107" s="1">
        <v>81.099999999999994</v>
      </c>
      <c r="N107" s="1">
        <v>164.8</v>
      </c>
      <c r="O107" s="2">
        <f t="shared" si="3"/>
        <v>82.4</v>
      </c>
      <c r="P107" s="1">
        <v>80</v>
      </c>
      <c r="Q107" s="1">
        <v>7.2</v>
      </c>
      <c r="R107" s="1" t="s">
        <v>168</v>
      </c>
      <c r="S107" s="1" t="s">
        <v>650</v>
      </c>
      <c r="T107" s="20" t="s">
        <v>787</v>
      </c>
      <c r="U107" s="1" t="s">
        <v>184</v>
      </c>
      <c r="V107" s="14">
        <v>0.03</v>
      </c>
      <c r="W107" s="1" t="s">
        <v>94</v>
      </c>
      <c r="X107" s="1"/>
      <c r="Y107" s="1"/>
      <c r="Z107" s="1"/>
    </row>
    <row r="108" spans="1:26" ht="25.2" customHeight="1" x14ac:dyDescent="0.3">
      <c r="A108" s="28" t="s">
        <v>395</v>
      </c>
      <c r="B108" s="28" t="s">
        <v>788</v>
      </c>
      <c r="C108" s="5">
        <v>46108</v>
      </c>
      <c r="D108" s="5">
        <v>46111</v>
      </c>
      <c r="E108" s="3" t="s">
        <v>786</v>
      </c>
      <c r="F108" s="3">
        <v>7</v>
      </c>
      <c r="G108" s="3">
        <v>800</v>
      </c>
      <c r="H108" s="3">
        <v>78.099999999999994</v>
      </c>
      <c r="I108" s="3">
        <v>369</v>
      </c>
      <c r="J108" s="3">
        <v>2</v>
      </c>
      <c r="K108" s="4">
        <f t="shared" si="2"/>
        <v>156.09756097560975</v>
      </c>
      <c r="L108" s="3">
        <v>30</v>
      </c>
      <c r="M108" s="1">
        <v>81.8</v>
      </c>
      <c r="N108" s="1">
        <v>166.3</v>
      </c>
      <c r="O108" s="2">
        <f t="shared" si="3"/>
        <v>83.15</v>
      </c>
      <c r="P108" s="1">
        <v>80</v>
      </c>
      <c r="Q108" s="1">
        <v>7.2</v>
      </c>
      <c r="R108" s="1" t="s">
        <v>168</v>
      </c>
      <c r="S108" s="1" t="s">
        <v>664</v>
      </c>
      <c r="T108" s="20" t="s">
        <v>787</v>
      </c>
      <c r="U108" s="1" t="s">
        <v>694</v>
      </c>
      <c r="V108" s="14">
        <v>0.03</v>
      </c>
      <c r="W108" s="1"/>
      <c r="X108" s="1"/>
      <c r="Y108" s="1"/>
      <c r="Z108" s="1"/>
    </row>
    <row r="109" spans="1:26" ht="25.2" customHeight="1" x14ac:dyDescent="0.3">
      <c r="A109" s="28" t="s">
        <v>396</v>
      </c>
      <c r="B109" s="28" t="s">
        <v>793</v>
      </c>
      <c r="C109" s="5">
        <v>46111</v>
      </c>
      <c r="D109" s="5">
        <v>46112</v>
      </c>
      <c r="E109" s="3" t="s">
        <v>786</v>
      </c>
      <c r="F109" s="3">
        <v>7</v>
      </c>
      <c r="G109" s="3">
        <v>1004</v>
      </c>
      <c r="H109" s="3">
        <v>78.099999999999994</v>
      </c>
      <c r="I109" s="3">
        <v>368</v>
      </c>
      <c r="J109" s="3">
        <v>2</v>
      </c>
      <c r="K109" s="4">
        <f t="shared" si="2"/>
        <v>156.52173913043478</v>
      </c>
      <c r="L109" s="3">
        <v>44</v>
      </c>
      <c r="M109" s="1">
        <v>81.7</v>
      </c>
      <c r="N109" s="1">
        <v>166.2</v>
      </c>
      <c r="O109" s="2">
        <f t="shared" si="3"/>
        <v>83.1</v>
      </c>
      <c r="P109" s="1">
        <v>80</v>
      </c>
      <c r="Q109" s="1">
        <v>7.2</v>
      </c>
      <c r="R109" s="1" t="s">
        <v>168</v>
      </c>
      <c r="S109" s="1" t="s">
        <v>662</v>
      </c>
      <c r="T109" s="20" t="s">
        <v>787</v>
      </c>
      <c r="U109" s="1" t="s">
        <v>134</v>
      </c>
      <c r="V109" s="14">
        <v>0.03</v>
      </c>
      <c r="W109" s="1"/>
      <c r="X109" s="1"/>
      <c r="Y109" s="1"/>
      <c r="Z109" s="1"/>
    </row>
    <row r="110" spans="1:26" ht="25.2" customHeight="1" x14ac:dyDescent="0.3">
      <c r="A110" s="28" t="s">
        <v>397</v>
      </c>
      <c r="B110" s="28" t="s">
        <v>805</v>
      </c>
      <c r="C110" s="5">
        <v>46112</v>
      </c>
      <c r="D110" s="5">
        <v>46112</v>
      </c>
      <c r="E110" s="3" t="s">
        <v>786</v>
      </c>
      <c r="F110" s="3">
        <v>7</v>
      </c>
      <c r="G110" s="3">
        <v>800</v>
      </c>
      <c r="H110" s="3">
        <v>78.099999999999994</v>
      </c>
      <c r="I110" s="3">
        <v>368</v>
      </c>
      <c r="J110" s="3">
        <v>2</v>
      </c>
      <c r="K110" s="4">
        <f t="shared" si="2"/>
        <v>156.52173913043478</v>
      </c>
      <c r="L110" s="3">
        <v>32</v>
      </c>
      <c r="M110" s="1">
        <v>81.900000000000006</v>
      </c>
      <c r="N110" s="1">
        <v>166.4</v>
      </c>
      <c r="O110" s="2">
        <f t="shared" si="3"/>
        <v>83.2</v>
      </c>
      <c r="P110" s="1">
        <v>80</v>
      </c>
      <c r="Q110" s="1">
        <v>7.2</v>
      </c>
      <c r="R110" s="1" t="s">
        <v>168</v>
      </c>
      <c r="S110" s="1" t="s">
        <v>672</v>
      </c>
      <c r="T110" s="20" t="s">
        <v>787</v>
      </c>
      <c r="U110" s="1" t="s">
        <v>149</v>
      </c>
      <c r="V110" s="14">
        <v>0.03</v>
      </c>
      <c r="W110" s="1"/>
      <c r="X110" s="1"/>
      <c r="Y110" s="1"/>
      <c r="Z110" s="1"/>
    </row>
    <row r="111" spans="1:26" ht="25.2" customHeight="1" x14ac:dyDescent="0.3">
      <c r="A111" s="28" t="s">
        <v>398</v>
      </c>
      <c r="B111" s="28" t="s">
        <v>827</v>
      </c>
      <c r="C111" s="5">
        <v>46112</v>
      </c>
      <c r="D111" s="5">
        <v>46113</v>
      </c>
      <c r="E111" s="3" t="s">
        <v>786</v>
      </c>
      <c r="F111" s="3">
        <v>7</v>
      </c>
      <c r="G111" s="3">
        <v>1008</v>
      </c>
      <c r="H111" s="3">
        <v>79</v>
      </c>
      <c r="I111" s="3">
        <v>364</v>
      </c>
      <c r="J111" s="3">
        <v>2</v>
      </c>
      <c r="K111" s="4">
        <f t="shared" si="2"/>
        <v>158.24175824175825</v>
      </c>
      <c r="L111" s="3">
        <v>42</v>
      </c>
      <c r="M111" s="1">
        <v>81.900000000000006</v>
      </c>
      <c r="N111" s="1">
        <v>166.4</v>
      </c>
      <c r="O111" s="2">
        <f t="shared" si="3"/>
        <v>83.2</v>
      </c>
      <c r="P111" s="1">
        <v>80</v>
      </c>
      <c r="Q111" s="1">
        <v>7.2</v>
      </c>
      <c r="R111" s="1" t="s">
        <v>168</v>
      </c>
      <c r="S111" s="1" t="s">
        <v>674</v>
      </c>
      <c r="T111" s="20" t="s">
        <v>787</v>
      </c>
      <c r="U111" s="1" t="s">
        <v>141</v>
      </c>
      <c r="V111" s="14">
        <v>0.03</v>
      </c>
      <c r="W111" s="1"/>
      <c r="X111" s="1" t="s">
        <v>94</v>
      </c>
      <c r="Y111" s="1"/>
      <c r="Z111" s="1" t="s">
        <v>828</v>
      </c>
    </row>
    <row r="112" spans="1:26" ht="25.2" customHeight="1" x14ac:dyDescent="0.3">
      <c r="A112" s="28" t="s">
        <v>399</v>
      </c>
      <c r="B112" s="29" t="s">
        <v>790</v>
      </c>
      <c r="C112" s="5">
        <v>46108</v>
      </c>
      <c r="D112" s="5">
        <v>46112</v>
      </c>
      <c r="E112" s="3" t="s">
        <v>789</v>
      </c>
      <c r="F112" s="3">
        <v>8</v>
      </c>
      <c r="G112" s="3">
        <v>2040</v>
      </c>
      <c r="H112" s="3">
        <v>86.5</v>
      </c>
      <c r="I112" s="3">
        <v>332</v>
      </c>
      <c r="J112" s="3">
        <v>2</v>
      </c>
      <c r="K112" s="4">
        <f t="shared" si="2"/>
        <v>173.49397590361446</v>
      </c>
      <c r="L112" s="3">
        <v>244</v>
      </c>
      <c r="M112" s="1">
        <v>172.2</v>
      </c>
      <c r="N112" s="1">
        <v>346.2</v>
      </c>
      <c r="O112" s="2">
        <f t="shared" si="3"/>
        <v>173.1</v>
      </c>
      <c r="P112" s="1">
        <v>60</v>
      </c>
      <c r="Q112" s="1">
        <v>11.15</v>
      </c>
      <c r="R112" s="1" t="s">
        <v>168</v>
      </c>
      <c r="S112" s="1" t="s">
        <v>650</v>
      </c>
      <c r="T112" s="17" t="s">
        <v>133</v>
      </c>
      <c r="U112" s="1" t="s">
        <v>684</v>
      </c>
      <c r="V112" s="14">
        <v>0.03</v>
      </c>
      <c r="W112" s="1"/>
      <c r="X112" s="1"/>
      <c r="Y112" s="1"/>
      <c r="Z112" s="1"/>
    </row>
    <row r="113" spans="1:26" ht="25.2" customHeight="1" x14ac:dyDescent="0.3">
      <c r="A113" s="28" t="s">
        <v>400</v>
      </c>
      <c r="B113" s="29" t="s">
        <v>813</v>
      </c>
      <c r="C113" s="5">
        <v>46112</v>
      </c>
      <c r="D113" s="5">
        <v>46114</v>
      </c>
      <c r="E113" s="3" t="s">
        <v>789</v>
      </c>
      <c r="F113" s="3">
        <v>8</v>
      </c>
      <c r="G113" s="3">
        <v>2005</v>
      </c>
      <c r="H113" s="3">
        <v>84.8</v>
      </c>
      <c r="I113" s="3">
        <v>339</v>
      </c>
      <c r="J113" s="3">
        <v>2</v>
      </c>
      <c r="K113" s="4">
        <f t="shared" si="2"/>
        <v>169.91150442477877</v>
      </c>
      <c r="L113" s="3">
        <v>169</v>
      </c>
      <c r="M113" s="1">
        <v>173.8</v>
      </c>
      <c r="N113" s="1">
        <v>349.6</v>
      </c>
      <c r="O113" s="2">
        <f t="shared" si="3"/>
        <v>174.8</v>
      </c>
      <c r="P113" s="1">
        <v>60</v>
      </c>
      <c r="Q113" s="1">
        <v>11.15</v>
      </c>
      <c r="R113" s="1" t="s">
        <v>168</v>
      </c>
      <c r="S113" s="1" t="s">
        <v>664</v>
      </c>
      <c r="T113" s="17" t="s">
        <v>133</v>
      </c>
      <c r="U113" s="1" t="s">
        <v>344</v>
      </c>
      <c r="V113" s="14">
        <v>0.03</v>
      </c>
      <c r="W113" s="1"/>
      <c r="X113" s="1"/>
      <c r="Y113" s="1"/>
      <c r="Z113" s="1"/>
    </row>
    <row r="114" spans="1:26" ht="25.2" customHeight="1" x14ac:dyDescent="0.3">
      <c r="A114" s="28" t="s">
        <v>401</v>
      </c>
      <c r="B114" s="29" t="s">
        <v>831</v>
      </c>
      <c r="C114" s="5">
        <v>46114</v>
      </c>
      <c r="D114" s="5">
        <v>46115</v>
      </c>
      <c r="E114" s="3" t="s">
        <v>789</v>
      </c>
      <c r="F114" s="3">
        <v>8</v>
      </c>
      <c r="G114" s="3">
        <v>2006</v>
      </c>
      <c r="H114" s="3">
        <v>82</v>
      </c>
      <c r="I114" s="3">
        <v>351</v>
      </c>
      <c r="J114" s="3">
        <v>2</v>
      </c>
      <c r="K114" s="4">
        <f t="shared" si="2"/>
        <v>164.10256410256412</v>
      </c>
      <c r="L114" s="3"/>
      <c r="M114" s="1">
        <v>171.8</v>
      </c>
      <c r="N114" s="1">
        <v>346.4</v>
      </c>
      <c r="O114" s="2">
        <f t="shared" si="3"/>
        <v>173.2</v>
      </c>
      <c r="P114" s="1">
        <v>60</v>
      </c>
      <c r="Q114" s="1">
        <v>11.15</v>
      </c>
      <c r="R114" s="1" t="s">
        <v>168</v>
      </c>
      <c r="S114" s="1" t="s">
        <v>832</v>
      </c>
      <c r="T114" s="17" t="s">
        <v>206</v>
      </c>
      <c r="U114" s="1" t="s">
        <v>342</v>
      </c>
      <c r="V114" s="14">
        <v>0.04</v>
      </c>
      <c r="W114" s="1"/>
      <c r="X114" s="1" t="s">
        <v>94</v>
      </c>
      <c r="Y114" s="1" t="s">
        <v>120</v>
      </c>
      <c r="Z114" s="1"/>
    </row>
    <row r="115" spans="1:26" ht="25.2" customHeight="1" x14ac:dyDescent="0.3">
      <c r="A115" s="28" t="s">
        <v>402</v>
      </c>
      <c r="B115" s="28" t="s">
        <v>792</v>
      </c>
      <c r="C115" s="5">
        <v>46111</v>
      </c>
      <c r="D115" s="5">
        <v>46111</v>
      </c>
      <c r="E115" s="3" t="s">
        <v>791</v>
      </c>
      <c r="F115" s="3">
        <v>3</v>
      </c>
      <c r="G115" s="3">
        <v>812</v>
      </c>
      <c r="H115" s="3">
        <v>50.4</v>
      </c>
      <c r="I115" s="3">
        <v>571</v>
      </c>
      <c r="J115" s="3">
        <v>1</v>
      </c>
      <c r="K115" s="4">
        <f t="shared" si="2"/>
        <v>50.437828371278457</v>
      </c>
      <c r="L115" s="3"/>
      <c r="M115" s="1">
        <v>153</v>
      </c>
      <c r="N115" s="1">
        <v>153.4</v>
      </c>
      <c r="O115" s="2">
        <f t="shared" si="3"/>
        <v>153.4</v>
      </c>
      <c r="P115" s="1">
        <v>28</v>
      </c>
      <c r="Q115" s="1">
        <v>4.55</v>
      </c>
      <c r="R115" s="1" t="s">
        <v>87</v>
      </c>
      <c r="S115" s="1" t="s">
        <v>650</v>
      </c>
      <c r="T115" s="17" t="s">
        <v>133</v>
      </c>
      <c r="U115" s="1" t="s">
        <v>180</v>
      </c>
      <c r="V115" s="14">
        <v>0.03</v>
      </c>
      <c r="W115" s="1" t="s">
        <v>678</v>
      </c>
      <c r="X115" s="1"/>
      <c r="Y115" s="1"/>
      <c r="Z115" s="1"/>
    </row>
    <row r="116" spans="1:26" ht="25.2" customHeight="1" x14ac:dyDescent="0.3">
      <c r="A116" s="28" t="s">
        <v>403</v>
      </c>
      <c r="B116" s="28" t="s">
        <v>800</v>
      </c>
      <c r="C116" s="5">
        <v>46111</v>
      </c>
      <c r="D116" s="5">
        <v>46112</v>
      </c>
      <c r="E116" s="3" t="s">
        <v>791</v>
      </c>
      <c r="F116" s="3">
        <v>3</v>
      </c>
      <c r="G116" s="3">
        <v>812</v>
      </c>
      <c r="H116" s="3">
        <v>50.4</v>
      </c>
      <c r="I116" s="3">
        <v>571</v>
      </c>
      <c r="J116" s="3">
        <v>1</v>
      </c>
      <c r="K116" s="4">
        <f t="shared" si="2"/>
        <v>50.437828371278457</v>
      </c>
      <c r="L116" s="3">
        <v>26</v>
      </c>
      <c r="M116" s="1">
        <v>153.9</v>
      </c>
      <c r="N116" s="1">
        <v>154.19999999999999</v>
      </c>
      <c r="O116" s="2">
        <f t="shared" si="3"/>
        <v>154.19999999999999</v>
      </c>
      <c r="P116" s="1">
        <v>28</v>
      </c>
      <c r="Q116" s="1">
        <v>4.55</v>
      </c>
      <c r="R116" s="1" t="s">
        <v>87</v>
      </c>
      <c r="S116" s="1" t="s">
        <v>664</v>
      </c>
      <c r="T116" s="17" t="s">
        <v>133</v>
      </c>
      <c r="U116" s="1" t="s">
        <v>184</v>
      </c>
      <c r="V116" s="14">
        <v>0.03</v>
      </c>
      <c r="W116" s="1"/>
      <c r="X116" s="1"/>
      <c r="Y116" s="1"/>
      <c r="Z116" s="1"/>
    </row>
    <row r="117" spans="1:26" ht="25.2" customHeight="1" x14ac:dyDescent="0.3">
      <c r="A117" s="28" t="s">
        <v>404</v>
      </c>
      <c r="B117" s="28" t="s">
        <v>812</v>
      </c>
      <c r="C117" s="5">
        <v>46112</v>
      </c>
      <c r="D117" s="3" t="s">
        <v>822</v>
      </c>
      <c r="E117" s="3" t="s">
        <v>791</v>
      </c>
      <c r="F117" s="3">
        <v>3</v>
      </c>
      <c r="G117" s="3">
        <v>812</v>
      </c>
      <c r="H117" s="3">
        <v>50.4</v>
      </c>
      <c r="I117" s="3">
        <v>571</v>
      </c>
      <c r="J117" s="3">
        <v>1</v>
      </c>
      <c r="K117" s="4">
        <f t="shared" si="2"/>
        <v>50.437828371278457</v>
      </c>
      <c r="L117" s="3"/>
      <c r="M117" s="1">
        <v>154.1</v>
      </c>
      <c r="N117" s="1">
        <v>154.6</v>
      </c>
      <c r="O117" s="2">
        <f t="shared" si="3"/>
        <v>154.6</v>
      </c>
      <c r="P117" s="1">
        <v>28</v>
      </c>
      <c r="Q117" s="1">
        <v>4.55</v>
      </c>
      <c r="R117" s="1" t="s">
        <v>87</v>
      </c>
      <c r="S117" s="1" t="s">
        <v>662</v>
      </c>
      <c r="T117" s="17" t="s">
        <v>133</v>
      </c>
      <c r="U117" s="1" t="s">
        <v>134</v>
      </c>
      <c r="V117" s="14">
        <v>0.03</v>
      </c>
      <c r="W117" s="1"/>
      <c r="X117" s="1"/>
      <c r="Y117" s="1"/>
      <c r="Z117" s="1"/>
    </row>
    <row r="118" spans="1:26" ht="25.2" customHeight="1" x14ac:dyDescent="0.3">
      <c r="A118" s="28" t="s">
        <v>405</v>
      </c>
      <c r="B118" s="28" t="s">
        <v>823</v>
      </c>
      <c r="C118" s="5">
        <v>46113</v>
      </c>
      <c r="D118" s="5">
        <v>46114</v>
      </c>
      <c r="E118" s="3" t="s">
        <v>791</v>
      </c>
      <c r="F118" s="3">
        <v>3</v>
      </c>
      <c r="G118" s="3">
        <v>1008</v>
      </c>
      <c r="H118" s="3">
        <v>50.8</v>
      </c>
      <c r="I118" s="3">
        <v>567</v>
      </c>
      <c r="J118" s="3">
        <v>1</v>
      </c>
      <c r="K118" s="4">
        <f t="shared" si="2"/>
        <v>50.793650793650791</v>
      </c>
      <c r="L118" s="3"/>
      <c r="M118" s="1">
        <v>153.9</v>
      </c>
      <c r="N118" s="1">
        <v>154.1</v>
      </c>
      <c r="O118" s="2">
        <f t="shared" si="3"/>
        <v>154.1</v>
      </c>
      <c r="P118" s="1">
        <v>28</v>
      </c>
      <c r="Q118" s="1">
        <v>4.55</v>
      </c>
      <c r="R118" s="1" t="s">
        <v>87</v>
      </c>
      <c r="S118" s="1" t="s">
        <v>672</v>
      </c>
      <c r="T118" s="17" t="s">
        <v>133</v>
      </c>
      <c r="U118" s="1" t="s">
        <v>141</v>
      </c>
      <c r="V118" s="14">
        <v>0.03</v>
      </c>
      <c r="W118" s="1"/>
      <c r="X118" s="1" t="s">
        <v>156</v>
      </c>
      <c r="Y118" s="1" t="s">
        <v>833</v>
      </c>
      <c r="Z118" s="1"/>
    </row>
    <row r="119" spans="1:26" ht="25.2" customHeight="1" x14ac:dyDescent="0.3">
      <c r="A119" s="28" t="s">
        <v>406</v>
      </c>
      <c r="B119" s="28" t="s">
        <v>735</v>
      </c>
      <c r="C119" s="5">
        <v>46099</v>
      </c>
      <c r="D119" s="5">
        <v>46099</v>
      </c>
      <c r="E119" s="3" t="s">
        <v>736</v>
      </c>
      <c r="F119" s="3">
        <v>4</v>
      </c>
      <c r="G119" s="3">
        <v>2081</v>
      </c>
      <c r="H119" s="3">
        <v>28.9</v>
      </c>
      <c r="I119" s="3">
        <v>996</v>
      </c>
      <c r="J119" s="3">
        <v>2</v>
      </c>
      <c r="K119" s="4">
        <f t="shared" ref="K119" si="6">(3600/(I119/8))*J119</f>
        <v>57.831325301204821</v>
      </c>
      <c r="L119" s="3"/>
      <c r="M119" s="1">
        <v>26</v>
      </c>
      <c r="N119" s="1">
        <v>53.8</v>
      </c>
      <c r="O119" s="2">
        <f t="shared" ref="O119" si="7">N119/J119</f>
        <v>26.9</v>
      </c>
      <c r="P119" s="1">
        <v>176</v>
      </c>
      <c r="Q119" s="1">
        <v>4.5999999999999996</v>
      </c>
      <c r="R119" s="1" t="s">
        <v>87</v>
      </c>
      <c r="S119" s="1" t="s">
        <v>650</v>
      </c>
      <c r="T119" s="11" t="s">
        <v>346</v>
      </c>
      <c r="U119" s="1" t="s">
        <v>134</v>
      </c>
      <c r="V119" s="14">
        <v>0.02</v>
      </c>
      <c r="W119" s="1" t="s">
        <v>94</v>
      </c>
      <c r="X119" s="1" t="s">
        <v>103</v>
      </c>
      <c r="Y119" s="1"/>
      <c r="Z119" s="1"/>
    </row>
    <row r="120" spans="1:26" ht="25.2" customHeight="1" x14ac:dyDescent="0.3">
      <c r="A120" s="28" t="s">
        <v>407</v>
      </c>
      <c r="B120" s="28" t="s">
        <v>795</v>
      </c>
      <c r="C120" s="5">
        <v>46111</v>
      </c>
      <c r="D120" s="5">
        <v>46113</v>
      </c>
      <c r="E120" s="3" t="s">
        <v>799</v>
      </c>
      <c r="F120" s="3">
        <v>2</v>
      </c>
      <c r="G120" s="3">
        <v>2213</v>
      </c>
      <c r="H120" s="3">
        <v>47.8</v>
      </c>
      <c r="I120" s="3">
        <v>602</v>
      </c>
      <c r="J120" s="3">
        <v>1</v>
      </c>
      <c r="K120" s="4">
        <f t="shared" si="2"/>
        <v>47.840531561461795</v>
      </c>
      <c r="L120" s="3">
        <v>52</v>
      </c>
      <c r="M120" s="1">
        <v>134.6</v>
      </c>
      <c r="N120" s="1">
        <v>139.19999999999999</v>
      </c>
      <c r="O120" s="2">
        <f t="shared" si="3"/>
        <v>139.19999999999999</v>
      </c>
      <c r="P120" s="1">
        <v>60</v>
      </c>
      <c r="Q120" s="1">
        <v>9.1999999999999993</v>
      </c>
      <c r="R120" s="1" t="s">
        <v>168</v>
      </c>
      <c r="S120" s="1" t="s">
        <v>650</v>
      </c>
      <c r="T120" s="11" t="s">
        <v>346</v>
      </c>
      <c r="U120" s="1" t="s">
        <v>344</v>
      </c>
      <c r="V120" s="14">
        <v>0.03</v>
      </c>
      <c r="W120" s="1" t="s">
        <v>678</v>
      </c>
      <c r="X120" s="1"/>
      <c r="Y120" s="1"/>
      <c r="Z120" s="1"/>
    </row>
    <row r="121" spans="1:26" ht="25.2" customHeight="1" x14ac:dyDescent="0.3">
      <c r="A121" s="28" t="s">
        <v>408</v>
      </c>
      <c r="B121" s="28" t="s">
        <v>814</v>
      </c>
      <c r="C121" s="5">
        <v>46113</v>
      </c>
      <c r="D121" s="5">
        <v>46115</v>
      </c>
      <c r="E121" s="3" t="s">
        <v>799</v>
      </c>
      <c r="F121" s="3">
        <v>2</v>
      </c>
      <c r="G121" s="3">
        <v>2204</v>
      </c>
      <c r="H121" s="3">
        <v>47.7</v>
      </c>
      <c r="I121" s="3">
        <v>602</v>
      </c>
      <c r="J121" s="3">
        <v>1</v>
      </c>
      <c r="K121" s="4">
        <f t="shared" si="2"/>
        <v>47.840531561461795</v>
      </c>
      <c r="L121" s="3">
        <v>24</v>
      </c>
      <c r="M121" s="1">
        <v>134.6</v>
      </c>
      <c r="N121" s="1">
        <v>139.19999999999999</v>
      </c>
      <c r="O121" s="2">
        <f t="shared" si="3"/>
        <v>139.19999999999999</v>
      </c>
      <c r="P121" s="1">
        <v>60</v>
      </c>
      <c r="Q121" s="1">
        <v>9.1999999999999993</v>
      </c>
      <c r="R121" s="1" t="s">
        <v>168</v>
      </c>
      <c r="S121" s="1" t="s">
        <v>817</v>
      </c>
      <c r="T121" s="11" t="s">
        <v>346</v>
      </c>
      <c r="U121" s="1" t="s">
        <v>684</v>
      </c>
      <c r="V121" s="14">
        <v>0.03</v>
      </c>
      <c r="W121" s="1"/>
      <c r="X121" s="1"/>
      <c r="Y121" s="1"/>
      <c r="Z121" s="1"/>
    </row>
    <row r="122" spans="1:26" ht="25.2" customHeight="1" x14ac:dyDescent="0.3">
      <c r="A122" s="28" t="s">
        <v>409</v>
      </c>
      <c r="B122" s="28" t="s">
        <v>836</v>
      </c>
      <c r="C122" s="5">
        <v>46115</v>
      </c>
      <c r="D122" s="5">
        <v>46120</v>
      </c>
      <c r="E122" s="3" t="s">
        <v>799</v>
      </c>
      <c r="F122" s="3">
        <v>2</v>
      </c>
      <c r="G122" s="3">
        <v>2201</v>
      </c>
      <c r="H122" s="3">
        <v>46.3</v>
      </c>
      <c r="I122" s="3">
        <v>622</v>
      </c>
      <c r="J122" s="3">
        <v>1</v>
      </c>
      <c r="K122" s="4">
        <f t="shared" si="2"/>
        <v>46.30225080385852</v>
      </c>
      <c r="L122" s="3">
        <v>228</v>
      </c>
      <c r="M122" s="1">
        <v>134.6</v>
      </c>
      <c r="N122" s="1">
        <v>139.30000000000001</v>
      </c>
      <c r="O122" s="2">
        <f t="shared" si="3"/>
        <v>139.30000000000001</v>
      </c>
      <c r="P122" s="1">
        <v>60</v>
      </c>
      <c r="Q122" s="1">
        <v>9.1999999999999993</v>
      </c>
      <c r="R122" s="1" t="s">
        <v>168</v>
      </c>
      <c r="S122" s="1" t="s">
        <v>832</v>
      </c>
      <c r="T122" s="11" t="s">
        <v>346</v>
      </c>
      <c r="U122" s="1" t="s">
        <v>342</v>
      </c>
      <c r="V122" s="14">
        <v>0.04</v>
      </c>
      <c r="W122" s="1"/>
      <c r="X122" s="1"/>
      <c r="Y122" s="1"/>
      <c r="Z122" s="1"/>
    </row>
    <row r="123" spans="1:26" ht="25.2" customHeight="1" x14ac:dyDescent="0.3">
      <c r="A123" s="28" t="s">
        <v>410</v>
      </c>
      <c r="B123" s="28" t="s">
        <v>801</v>
      </c>
      <c r="C123" s="5">
        <v>46111</v>
      </c>
      <c r="D123" s="5">
        <v>46112</v>
      </c>
      <c r="E123" s="3" t="s">
        <v>802</v>
      </c>
      <c r="F123" s="3">
        <v>6</v>
      </c>
      <c r="G123" s="3">
        <v>775</v>
      </c>
      <c r="H123" s="3">
        <v>35.79</v>
      </c>
      <c r="I123" s="3">
        <v>804</v>
      </c>
      <c r="J123" s="3">
        <v>1</v>
      </c>
      <c r="K123" s="4">
        <f t="shared" si="2"/>
        <v>35.820895522388057</v>
      </c>
      <c r="L123" s="3">
        <v>13</v>
      </c>
      <c r="M123" s="1">
        <v>57.2</v>
      </c>
      <c r="N123" s="1">
        <v>57.7</v>
      </c>
      <c r="O123" s="2">
        <f t="shared" si="3"/>
        <v>57.7</v>
      </c>
      <c r="P123" s="1">
        <v>175</v>
      </c>
      <c r="Q123" s="1">
        <v>10.7</v>
      </c>
      <c r="R123" s="1" t="s">
        <v>168</v>
      </c>
      <c r="S123" s="1" t="s">
        <v>650</v>
      </c>
      <c r="T123" s="20" t="s">
        <v>803</v>
      </c>
      <c r="U123" s="1" t="s">
        <v>141</v>
      </c>
      <c r="V123" s="14">
        <v>0.02</v>
      </c>
      <c r="W123" s="1" t="s">
        <v>94</v>
      </c>
      <c r="X123" s="1"/>
      <c r="Y123" s="1"/>
      <c r="Z123" s="1"/>
    </row>
    <row r="124" spans="1:26" ht="25.2" customHeight="1" x14ac:dyDescent="0.3">
      <c r="A124" s="28" t="s">
        <v>411</v>
      </c>
      <c r="B124" s="28" t="s">
        <v>804</v>
      </c>
      <c r="C124" s="5">
        <v>46112</v>
      </c>
      <c r="D124" s="5">
        <v>46112</v>
      </c>
      <c r="E124" s="3" t="s">
        <v>802</v>
      </c>
      <c r="F124" s="3">
        <v>6</v>
      </c>
      <c r="G124" s="3">
        <v>525</v>
      </c>
      <c r="H124" s="3">
        <v>36.75</v>
      </c>
      <c r="I124" s="3">
        <v>783</v>
      </c>
      <c r="J124" s="3">
        <v>1</v>
      </c>
      <c r="K124" s="4">
        <f t="shared" ref="K124:K187" si="8">(3600/(I124/8))*J124</f>
        <v>36.781609195402297</v>
      </c>
      <c r="L124" s="3">
        <v>60</v>
      </c>
      <c r="M124" s="1">
        <v>57.8</v>
      </c>
      <c r="N124" s="1">
        <v>58.2</v>
      </c>
      <c r="O124" s="2">
        <f t="shared" ref="O124:O187" si="9">N124/J124</f>
        <v>58.2</v>
      </c>
      <c r="P124" s="1">
        <v>175</v>
      </c>
      <c r="Q124" s="1">
        <v>10.7</v>
      </c>
      <c r="R124" s="1" t="s">
        <v>168</v>
      </c>
      <c r="S124" s="1" t="s">
        <v>664</v>
      </c>
      <c r="T124" s="20" t="s">
        <v>808</v>
      </c>
      <c r="U124" s="1" t="s">
        <v>169</v>
      </c>
      <c r="V124" s="14">
        <v>0.02</v>
      </c>
      <c r="W124" s="1"/>
      <c r="X124" s="1"/>
      <c r="Y124" s="1"/>
      <c r="Z124" s="1"/>
    </row>
    <row r="125" spans="1:26" ht="25.2" customHeight="1" x14ac:dyDescent="0.3">
      <c r="A125" s="28" t="s">
        <v>412</v>
      </c>
      <c r="B125" s="28" t="s">
        <v>806</v>
      </c>
      <c r="C125" s="5">
        <v>46112</v>
      </c>
      <c r="D125" s="5">
        <v>46113</v>
      </c>
      <c r="E125" s="3" t="s">
        <v>802</v>
      </c>
      <c r="F125" s="3">
        <v>6</v>
      </c>
      <c r="G125" s="3">
        <v>800</v>
      </c>
      <c r="H125" s="3">
        <v>36.75</v>
      </c>
      <c r="I125" s="3">
        <v>783</v>
      </c>
      <c r="J125" s="3">
        <v>1</v>
      </c>
      <c r="K125" s="4">
        <f t="shared" si="8"/>
        <v>36.781609195402297</v>
      </c>
      <c r="L125" s="3">
        <v>67</v>
      </c>
      <c r="M125" s="1">
        <v>57.8</v>
      </c>
      <c r="N125" s="1">
        <v>58.3</v>
      </c>
      <c r="O125" s="2">
        <f t="shared" si="9"/>
        <v>58.3</v>
      </c>
      <c r="P125" s="1">
        <v>175</v>
      </c>
      <c r="Q125" s="1">
        <v>10.7</v>
      </c>
      <c r="R125" s="1" t="s">
        <v>168</v>
      </c>
      <c r="S125" s="1" t="s">
        <v>662</v>
      </c>
      <c r="T125" s="25" t="s">
        <v>807</v>
      </c>
      <c r="U125" s="1" t="s">
        <v>149</v>
      </c>
      <c r="V125" s="14">
        <v>0.02</v>
      </c>
      <c r="W125" s="1"/>
      <c r="X125" s="1"/>
      <c r="Y125" s="1"/>
      <c r="Z125" s="1"/>
    </row>
    <row r="126" spans="1:26" ht="25.2" customHeight="1" x14ac:dyDescent="0.3">
      <c r="A126" s="28" t="s">
        <v>413</v>
      </c>
      <c r="B126" s="28" t="s">
        <v>809</v>
      </c>
      <c r="C126" s="5">
        <v>46113</v>
      </c>
      <c r="D126" s="5">
        <v>46113</v>
      </c>
      <c r="E126" s="3" t="s">
        <v>802</v>
      </c>
      <c r="F126" s="3">
        <v>6</v>
      </c>
      <c r="G126" s="3">
        <v>600</v>
      </c>
      <c r="H126" s="3">
        <v>34.51</v>
      </c>
      <c r="I126" s="3">
        <v>834</v>
      </c>
      <c r="J126" s="3">
        <v>1</v>
      </c>
      <c r="K126" s="4">
        <f t="shared" si="8"/>
        <v>34.532374100719423</v>
      </c>
      <c r="L126" s="3">
        <v>12</v>
      </c>
      <c r="M126" s="1">
        <v>57.2</v>
      </c>
      <c r="N126" s="1">
        <v>58.7</v>
      </c>
      <c r="O126" s="2">
        <f t="shared" si="9"/>
        <v>58.7</v>
      </c>
      <c r="P126" s="1">
        <v>175</v>
      </c>
      <c r="Q126" s="1">
        <v>10.7</v>
      </c>
      <c r="R126" s="1" t="s">
        <v>168</v>
      </c>
      <c r="S126" s="1" t="s">
        <v>810</v>
      </c>
      <c r="T126" s="20" t="s">
        <v>811</v>
      </c>
      <c r="U126" s="1" t="s">
        <v>134</v>
      </c>
      <c r="V126" s="14">
        <v>0.02</v>
      </c>
      <c r="W126" s="1"/>
      <c r="X126" s="1"/>
      <c r="Y126" s="1"/>
      <c r="Z126" s="1"/>
    </row>
    <row r="127" spans="1:26" ht="25.2" customHeight="1" x14ac:dyDescent="0.3">
      <c r="A127" s="28" t="s">
        <v>414</v>
      </c>
      <c r="B127" s="28" t="s">
        <v>819</v>
      </c>
      <c r="C127" s="5">
        <v>46113</v>
      </c>
      <c r="D127" s="5">
        <v>46114</v>
      </c>
      <c r="E127" s="3" t="s">
        <v>802</v>
      </c>
      <c r="F127" s="3">
        <v>6</v>
      </c>
      <c r="G127" s="3">
        <v>800</v>
      </c>
      <c r="H127" s="3">
        <v>36.46</v>
      </c>
      <c r="I127" s="3">
        <v>790</v>
      </c>
      <c r="J127" s="3">
        <v>1</v>
      </c>
      <c r="K127" s="4">
        <f t="shared" si="8"/>
        <v>36.455696202531648</v>
      </c>
      <c r="L127" s="3"/>
      <c r="M127" s="1">
        <v>57.2</v>
      </c>
      <c r="N127" s="1">
        <v>58.7</v>
      </c>
      <c r="O127" s="2">
        <f t="shared" si="9"/>
        <v>58.7</v>
      </c>
      <c r="P127" s="1">
        <v>175</v>
      </c>
      <c r="Q127" s="1">
        <v>10.7</v>
      </c>
      <c r="R127" s="1" t="s">
        <v>168</v>
      </c>
      <c r="S127" s="1" t="s">
        <v>820</v>
      </c>
      <c r="T127" s="25" t="s">
        <v>821</v>
      </c>
      <c r="U127" s="1" t="s">
        <v>180</v>
      </c>
      <c r="V127" s="14">
        <v>0.02</v>
      </c>
      <c r="W127" s="1"/>
      <c r="X127" s="1" t="s">
        <v>156</v>
      </c>
      <c r="Y127" s="1" t="s">
        <v>151</v>
      </c>
      <c r="Z127" s="1"/>
    </row>
    <row r="128" spans="1:26" ht="25.2" customHeight="1" x14ac:dyDescent="0.3">
      <c r="A128" s="28" t="s">
        <v>415</v>
      </c>
      <c r="B128" s="28" t="s">
        <v>815</v>
      </c>
      <c r="C128" s="5">
        <v>46113</v>
      </c>
      <c r="D128" s="5">
        <v>46114</v>
      </c>
      <c r="E128" s="3" t="s">
        <v>816</v>
      </c>
      <c r="F128" s="3">
        <v>4</v>
      </c>
      <c r="G128" s="3">
        <v>810</v>
      </c>
      <c r="H128" s="3">
        <v>58</v>
      </c>
      <c r="I128" s="3">
        <v>496</v>
      </c>
      <c r="J128" s="3">
        <v>1</v>
      </c>
      <c r="K128" s="4">
        <f t="shared" si="8"/>
        <v>58.064516129032256</v>
      </c>
      <c r="L128" s="3">
        <v>13</v>
      </c>
      <c r="M128" s="1">
        <v>158.19999999999999</v>
      </c>
      <c r="N128" s="1">
        <v>158.6</v>
      </c>
      <c r="O128" s="2">
        <f t="shared" si="9"/>
        <v>158.6</v>
      </c>
      <c r="P128" s="1">
        <v>40</v>
      </c>
      <c r="Q128" s="1">
        <v>9.1</v>
      </c>
      <c r="R128" s="1" t="s">
        <v>168</v>
      </c>
      <c r="S128" s="1" t="s">
        <v>818</v>
      </c>
      <c r="T128" s="11" t="s">
        <v>346</v>
      </c>
      <c r="U128" s="1" t="s">
        <v>647</v>
      </c>
      <c r="V128" s="14">
        <v>0.03</v>
      </c>
      <c r="W128" s="1" t="s">
        <v>156</v>
      </c>
      <c r="X128" s="1"/>
      <c r="Y128" s="1"/>
      <c r="Z128" s="1"/>
    </row>
    <row r="129" spans="1:26" ht="25.2" customHeight="1" x14ac:dyDescent="0.3">
      <c r="A129" s="28" t="s">
        <v>416</v>
      </c>
      <c r="B129" s="28" t="s">
        <v>659</v>
      </c>
      <c r="C129" s="5">
        <v>46114</v>
      </c>
      <c r="D129" s="5">
        <v>46115</v>
      </c>
      <c r="E129" s="3" t="s">
        <v>816</v>
      </c>
      <c r="F129" s="3">
        <v>4</v>
      </c>
      <c r="G129" s="3">
        <v>1000</v>
      </c>
      <c r="H129" s="3">
        <v>55.4</v>
      </c>
      <c r="I129" s="3">
        <v>520</v>
      </c>
      <c r="J129" s="3">
        <v>1</v>
      </c>
      <c r="K129" s="4">
        <f t="shared" si="8"/>
        <v>55.384615384615387</v>
      </c>
      <c r="L129" s="3">
        <v>63</v>
      </c>
      <c r="M129" s="1">
        <v>157.19999999999999</v>
      </c>
      <c r="N129" s="1">
        <v>157.5</v>
      </c>
      <c r="O129" s="2">
        <f t="shared" si="9"/>
        <v>157.5</v>
      </c>
      <c r="P129" s="1">
        <v>54</v>
      </c>
      <c r="Q129" s="1">
        <v>9.1</v>
      </c>
      <c r="R129" s="1" t="s">
        <v>168</v>
      </c>
      <c r="S129" s="1" t="s">
        <v>817</v>
      </c>
      <c r="T129" s="11" t="s">
        <v>346</v>
      </c>
      <c r="U129" s="1" t="s">
        <v>334</v>
      </c>
      <c r="V129" s="14">
        <v>0.05</v>
      </c>
      <c r="W129" s="1"/>
      <c r="X129" s="1" t="s">
        <v>103</v>
      </c>
      <c r="Y129" s="1" t="s">
        <v>120</v>
      </c>
      <c r="Z129" s="1"/>
    </row>
    <row r="130" spans="1:26" ht="25.2" customHeight="1" x14ac:dyDescent="0.3">
      <c r="A130" s="28" t="s">
        <v>417</v>
      </c>
      <c r="B130" s="28" t="s">
        <v>824</v>
      </c>
      <c r="C130" s="5">
        <v>46114</v>
      </c>
      <c r="D130" s="5">
        <v>46114</v>
      </c>
      <c r="E130" s="3" t="s">
        <v>825</v>
      </c>
      <c r="F130" s="3">
        <v>6</v>
      </c>
      <c r="G130" s="3">
        <v>801</v>
      </c>
      <c r="H130" s="3">
        <v>28.45</v>
      </c>
      <c r="I130" s="3">
        <v>1012</v>
      </c>
      <c r="J130" s="3">
        <v>1</v>
      </c>
      <c r="K130" s="4">
        <f t="shared" si="8"/>
        <v>28.458498023715414</v>
      </c>
      <c r="L130" s="3">
        <v>33</v>
      </c>
      <c r="M130" s="1">
        <v>55.9</v>
      </c>
      <c r="N130" s="1">
        <v>59.7</v>
      </c>
      <c r="O130" s="2">
        <f t="shared" si="9"/>
        <v>59.7</v>
      </c>
      <c r="P130" s="1">
        <v>40</v>
      </c>
      <c r="Q130" s="1">
        <v>3.5</v>
      </c>
      <c r="R130" s="1" t="s">
        <v>87</v>
      </c>
      <c r="S130" s="1" t="s">
        <v>818</v>
      </c>
      <c r="T130" s="11" t="s">
        <v>346</v>
      </c>
      <c r="U130" s="1" t="s">
        <v>652</v>
      </c>
      <c r="V130" s="14">
        <v>0.03</v>
      </c>
      <c r="W130" s="1" t="s">
        <v>826</v>
      </c>
      <c r="X130" s="1"/>
      <c r="Y130" s="1"/>
      <c r="Z130" s="1"/>
    </row>
    <row r="131" spans="1:26" ht="25.2" customHeight="1" x14ac:dyDescent="0.3">
      <c r="A131" s="28" t="s">
        <v>418</v>
      </c>
      <c r="B131" s="28" t="s">
        <v>834</v>
      </c>
      <c r="C131" s="5">
        <v>46114</v>
      </c>
      <c r="D131" s="5">
        <v>46115</v>
      </c>
      <c r="E131" s="3" t="s">
        <v>825</v>
      </c>
      <c r="F131" s="3">
        <v>6</v>
      </c>
      <c r="G131" s="3">
        <v>1008</v>
      </c>
      <c r="H131" s="3">
        <v>28.45</v>
      </c>
      <c r="I131" s="3">
        <v>1012</v>
      </c>
      <c r="J131" s="3">
        <v>1</v>
      </c>
      <c r="K131" s="4">
        <f t="shared" si="8"/>
        <v>28.458498023715414</v>
      </c>
      <c r="L131" s="3">
        <v>37</v>
      </c>
      <c r="M131" s="1">
        <v>55.4</v>
      </c>
      <c r="N131" s="1">
        <v>59.2</v>
      </c>
      <c r="O131" s="2">
        <f t="shared" si="9"/>
        <v>59.2</v>
      </c>
      <c r="P131" s="1">
        <v>40</v>
      </c>
      <c r="Q131" s="1">
        <v>3.5</v>
      </c>
      <c r="R131" s="1" t="s">
        <v>87</v>
      </c>
      <c r="S131" s="1" t="s">
        <v>817</v>
      </c>
      <c r="T131" s="11" t="s">
        <v>346</v>
      </c>
      <c r="U131" s="1" t="s">
        <v>342</v>
      </c>
      <c r="V131" s="14">
        <v>0.04</v>
      </c>
      <c r="W131" s="1"/>
      <c r="X131" s="1"/>
      <c r="Y131" s="1"/>
      <c r="Z131" s="1"/>
    </row>
    <row r="132" spans="1:26" ht="25.2" customHeight="1" x14ac:dyDescent="0.3">
      <c r="A132" s="28" t="s">
        <v>419</v>
      </c>
      <c r="B132" s="28" t="s">
        <v>835</v>
      </c>
      <c r="C132" s="5">
        <v>46115</v>
      </c>
      <c r="D132" s="5">
        <v>46115</v>
      </c>
      <c r="E132" s="3" t="s">
        <v>825</v>
      </c>
      <c r="F132" s="3">
        <v>6</v>
      </c>
      <c r="G132" s="3">
        <v>500</v>
      </c>
      <c r="H132" s="3">
        <v>28.45</v>
      </c>
      <c r="I132" s="3">
        <v>1012</v>
      </c>
      <c r="J132" s="3">
        <v>1</v>
      </c>
      <c r="K132" s="4">
        <f t="shared" si="8"/>
        <v>28.458498023715414</v>
      </c>
      <c r="L132" s="3">
        <v>19</v>
      </c>
      <c r="M132" s="1">
        <v>55.4</v>
      </c>
      <c r="N132" s="1">
        <v>59.9</v>
      </c>
      <c r="O132" s="2">
        <f t="shared" si="9"/>
        <v>59.9</v>
      </c>
      <c r="P132" s="1">
        <v>40</v>
      </c>
      <c r="Q132" s="1">
        <v>3.5</v>
      </c>
      <c r="R132" s="1" t="s">
        <v>87</v>
      </c>
      <c r="S132" s="1" t="s">
        <v>832</v>
      </c>
      <c r="T132" s="11" t="s">
        <v>346</v>
      </c>
      <c r="U132" s="1" t="s">
        <v>344</v>
      </c>
      <c r="V132" s="14">
        <v>0.03</v>
      </c>
      <c r="W132" s="1"/>
      <c r="X132" s="1" t="s">
        <v>94</v>
      </c>
      <c r="Y132" s="1" t="s">
        <v>120</v>
      </c>
      <c r="Z132" s="1"/>
    </row>
    <row r="133" spans="1:26" ht="25.2" customHeight="1" x14ac:dyDescent="0.3">
      <c r="A133" s="28" t="s">
        <v>420</v>
      </c>
      <c r="B133" s="28" t="s">
        <v>845</v>
      </c>
      <c r="C133" s="5">
        <v>46115</v>
      </c>
      <c r="D133" s="5">
        <v>46115</v>
      </c>
      <c r="E133" s="3" t="s">
        <v>825</v>
      </c>
      <c r="F133" s="3">
        <v>6</v>
      </c>
      <c r="G133" s="3">
        <v>800</v>
      </c>
      <c r="H133" s="3">
        <v>28.45</v>
      </c>
      <c r="I133" s="3">
        <v>1012</v>
      </c>
      <c r="J133" s="3">
        <v>1</v>
      </c>
      <c r="K133" s="4">
        <f t="shared" si="8"/>
        <v>28.458498023715414</v>
      </c>
      <c r="L133" s="3">
        <v>29</v>
      </c>
      <c r="M133" s="1">
        <v>54.7</v>
      </c>
      <c r="N133" s="1">
        <v>59.2</v>
      </c>
      <c r="O133" s="2">
        <f t="shared" si="9"/>
        <v>59.2</v>
      </c>
      <c r="P133" s="1">
        <v>40</v>
      </c>
      <c r="Q133" s="1">
        <v>3.5</v>
      </c>
      <c r="R133" s="1" t="s">
        <v>87</v>
      </c>
      <c r="S133" s="1" t="s">
        <v>810</v>
      </c>
      <c r="T133" s="11" t="s">
        <v>346</v>
      </c>
      <c r="U133" s="1" t="s">
        <v>334</v>
      </c>
      <c r="V133" s="14">
        <v>0.04</v>
      </c>
      <c r="W133" s="1" t="s">
        <v>94</v>
      </c>
      <c r="X133" s="1"/>
      <c r="Y133" s="1"/>
      <c r="Z133" s="1"/>
    </row>
    <row r="134" spans="1:26" ht="25.2" customHeight="1" x14ac:dyDescent="0.3">
      <c r="A134" s="28" t="s">
        <v>421</v>
      </c>
      <c r="B134" s="28" t="s">
        <v>829</v>
      </c>
      <c r="C134" s="5">
        <v>46113</v>
      </c>
      <c r="D134" s="5">
        <v>46115</v>
      </c>
      <c r="E134" s="3" t="s">
        <v>830</v>
      </c>
      <c r="F134" s="3">
        <v>7</v>
      </c>
      <c r="G134" s="3">
        <v>2700</v>
      </c>
      <c r="H134" s="3">
        <v>78.900000000000006</v>
      </c>
      <c r="I134" s="3">
        <v>730</v>
      </c>
      <c r="J134" s="3">
        <v>2</v>
      </c>
      <c r="K134" s="4">
        <f t="shared" si="8"/>
        <v>78.904109589041099</v>
      </c>
      <c r="L134" s="3"/>
      <c r="M134" s="1">
        <v>81.7</v>
      </c>
      <c r="N134" s="1">
        <v>166.1</v>
      </c>
      <c r="O134" s="2">
        <f t="shared" si="9"/>
        <v>83.05</v>
      </c>
      <c r="P134" s="1">
        <v>80</v>
      </c>
      <c r="Q134" s="1">
        <v>7.2</v>
      </c>
      <c r="R134" s="1" t="s">
        <v>168</v>
      </c>
      <c r="S134" s="1" t="s">
        <v>818</v>
      </c>
      <c r="T134" s="20" t="s">
        <v>787</v>
      </c>
      <c r="U134" s="1" t="s">
        <v>344</v>
      </c>
      <c r="V134" s="14">
        <v>0.03</v>
      </c>
      <c r="W134" s="1"/>
      <c r="X134" s="1"/>
      <c r="Y134" s="1"/>
      <c r="Z134" s="1"/>
    </row>
    <row r="135" spans="1:26" ht="25.2" customHeight="1" x14ac:dyDescent="0.3">
      <c r="A135" s="28" t="s">
        <v>422</v>
      </c>
      <c r="B135" s="28" t="s">
        <v>846</v>
      </c>
      <c r="C135" s="5">
        <v>46115</v>
      </c>
      <c r="D135" s="5">
        <v>46120</v>
      </c>
      <c r="E135" s="3" t="s">
        <v>830</v>
      </c>
      <c r="F135" s="3">
        <v>7</v>
      </c>
      <c r="G135" s="3">
        <v>2700</v>
      </c>
      <c r="H135" s="3">
        <v>78.900000000000006</v>
      </c>
      <c r="I135" s="3">
        <v>730</v>
      </c>
      <c r="J135" s="3">
        <v>2</v>
      </c>
      <c r="K135" s="4">
        <f t="shared" si="8"/>
        <v>78.904109589041099</v>
      </c>
      <c r="L135" s="3">
        <v>120</v>
      </c>
      <c r="M135" s="1">
        <v>81.5</v>
      </c>
      <c r="N135" s="1">
        <v>165.7</v>
      </c>
      <c r="O135" s="2">
        <f t="shared" si="9"/>
        <v>82.85</v>
      </c>
      <c r="P135" s="1">
        <v>80</v>
      </c>
      <c r="Q135" s="1">
        <v>7.2</v>
      </c>
      <c r="R135" s="1" t="s">
        <v>168</v>
      </c>
      <c r="S135" s="1" t="s">
        <v>817</v>
      </c>
      <c r="T135" s="20" t="s">
        <v>787</v>
      </c>
      <c r="U135" s="1" t="s">
        <v>684</v>
      </c>
      <c r="V135" s="14">
        <v>0.03</v>
      </c>
      <c r="W135" s="1"/>
      <c r="X135" s="1"/>
      <c r="Y135" s="1"/>
      <c r="Z135" s="1"/>
    </row>
    <row r="136" spans="1:26" ht="25.2" customHeight="1" x14ac:dyDescent="0.3">
      <c r="A136" s="28" t="s">
        <v>423</v>
      </c>
      <c r="B136" s="30" t="s">
        <v>871</v>
      </c>
      <c r="C136" s="5">
        <v>46114</v>
      </c>
      <c r="D136" s="5">
        <v>46115</v>
      </c>
      <c r="E136" s="3" t="s">
        <v>837</v>
      </c>
      <c r="F136" s="3">
        <v>3</v>
      </c>
      <c r="G136" s="3">
        <v>1000</v>
      </c>
      <c r="H136" s="3">
        <v>64.900000000000006</v>
      </c>
      <c r="I136" s="3">
        <v>443</v>
      </c>
      <c r="J136" s="3">
        <v>1</v>
      </c>
      <c r="K136" s="4">
        <f t="shared" si="8"/>
        <v>65.011286681715575</v>
      </c>
      <c r="L136" s="3">
        <v>26</v>
      </c>
      <c r="M136" s="1">
        <v>209</v>
      </c>
      <c r="N136" s="1">
        <v>209.2</v>
      </c>
      <c r="O136" s="2">
        <f t="shared" si="9"/>
        <v>209.2</v>
      </c>
      <c r="P136" s="1">
        <v>52</v>
      </c>
      <c r="Q136" s="1">
        <v>12</v>
      </c>
      <c r="R136" s="1" t="s">
        <v>99</v>
      </c>
      <c r="S136" s="1" t="s">
        <v>818</v>
      </c>
      <c r="T136" s="20" t="s">
        <v>165</v>
      </c>
      <c r="U136" s="1" t="s">
        <v>180</v>
      </c>
      <c r="V136" s="14">
        <v>0.02</v>
      </c>
      <c r="W136" s="1" t="s">
        <v>94</v>
      </c>
      <c r="X136" s="1" t="s">
        <v>94</v>
      </c>
      <c r="Y136" s="1" t="s">
        <v>120</v>
      </c>
      <c r="Z136" s="1"/>
    </row>
    <row r="137" spans="1:26" ht="25.2" customHeight="1" x14ac:dyDescent="0.3">
      <c r="A137" s="28" t="s">
        <v>424</v>
      </c>
      <c r="B137" s="30" t="s">
        <v>839</v>
      </c>
      <c r="C137" s="5">
        <v>46115</v>
      </c>
      <c r="D137" s="5">
        <v>46119</v>
      </c>
      <c r="E137" s="3" t="s">
        <v>838</v>
      </c>
      <c r="F137" s="3">
        <v>3</v>
      </c>
      <c r="G137" s="3">
        <v>1504</v>
      </c>
      <c r="H137" s="3">
        <v>38.5</v>
      </c>
      <c r="I137" s="3">
        <v>748</v>
      </c>
      <c r="J137" s="3">
        <v>1</v>
      </c>
      <c r="K137" s="4">
        <f t="shared" si="8"/>
        <v>38.502673796791441</v>
      </c>
      <c r="L137" s="3">
        <v>30</v>
      </c>
      <c r="M137" s="1">
        <v>127.8</v>
      </c>
      <c r="N137" s="1">
        <v>128.1</v>
      </c>
      <c r="O137" s="2">
        <f t="shared" si="9"/>
        <v>128.1</v>
      </c>
      <c r="P137" s="1">
        <v>32</v>
      </c>
      <c r="Q137" s="1">
        <v>4.3</v>
      </c>
      <c r="R137" s="1" t="s">
        <v>87</v>
      </c>
      <c r="S137" s="1" t="s">
        <v>818</v>
      </c>
      <c r="T137" s="17" t="s">
        <v>133</v>
      </c>
      <c r="U137" s="1" t="s">
        <v>180</v>
      </c>
      <c r="V137" s="14">
        <v>0.02</v>
      </c>
      <c r="W137" s="1"/>
      <c r="X137" s="1"/>
      <c r="Y137" s="1"/>
      <c r="Z137" s="1"/>
    </row>
    <row r="138" spans="1:26" ht="25.2" customHeight="1" x14ac:dyDescent="0.3">
      <c r="A138" s="28" t="s">
        <v>425</v>
      </c>
      <c r="B138" s="30" t="s">
        <v>840</v>
      </c>
      <c r="C138" s="5">
        <v>46119</v>
      </c>
      <c r="D138" s="5">
        <v>46120</v>
      </c>
      <c r="E138" s="3" t="s">
        <v>838</v>
      </c>
      <c r="F138" s="3">
        <v>3</v>
      </c>
      <c r="G138" s="3">
        <v>1504</v>
      </c>
      <c r="H138" s="3">
        <v>38.5</v>
      </c>
      <c r="I138" s="3">
        <v>748</v>
      </c>
      <c r="J138" s="3">
        <v>1</v>
      </c>
      <c r="K138" s="4">
        <f t="shared" si="8"/>
        <v>38.502673796791441</v>
      </c>
      <c r="L138" s="3"/>
      <c r="M138" s="1">
        <v>128.6</v>
      </c>
      <c r="N138" s="1">
        <v>129</v>
      </c>
      <c r="O138" s="2">
        <f t="shared" si="9"/>
        <v>129</v>
      </c>
      <c r="P138" s="1">
        <v>32</v>
      </c>
      <c r="Q138" s="1">
        <v>4.3</v>
      </c>
      <c r="R138" s="1" t="s">
        <v>87</v>
      </c>
      <c r="S138" s="1" t="s">
        <v>817</v>
      </c>
      <c r="T138" s="17" t="s">
        <v>133</v>
      </c>
      <c r="U138" s="1" t="s">
        <v>134</v>
      </c>
      <c r="V138" s="14">
        <v>0.02</v>
      </c>
      <c r="W138" s="1"/>
      <c r="X138" s="1"/>
      <c r="Y138" s="1"/>
      <c r="Z138" s="1"/>
    </row>
    <row r="139" spans="1:26" ht="25.2" customHeight="1" x14ac:dyDescent="0.3">
      <c r="A139" s="28" t="s">
        <v>426</v>
      </c>
      <c r="B139" s="28" t="s">
        <v>841</v>
      </c>
      <c r="C139" s="5">
        <v>46115</v>
      </c>
      <c r="D139" s="5">
        <v>46119</v>
      </c>
      <c r="E139" s="3" t="s">
        <v>842</v>
      </c>
      <c r="F139" s="3">
        <v>4</v>
      </c>
      <c r="G139" s="3">
        <v>552</v>
      </c>
      <c r="H139" s="3">
        <v>44.2</v>
      </c>
      <c r="I139" s="3">
        <v>650</v>
      </c>
      <c r="J139" s="3">
        <v>1</v>
      </c>
      <c r="K139" s="4">
        <f t="shared" si="8"/>
        <v>44.307692307692307</v>
      </c>
      <c r="L139" s="3"/>
      <c r="M139" s="1">
        <v>124.5</v>
      </c>
      <c r="N139" s="1">
        <v>124.9</v>
      </c>
      <c r="O139" s="2">
        <f t="shared" si="9"/>
        <v>124.9</v>
      </c>
      <c r="P139" s="1">
        <v>46</v>
      </c>
      <c r="Q139" s="1">
        <v>6.5</v>
      </c>
      <c r="R139" s="1" t="s">
        <v>92</v>
      </c>
      <c r="S139" s="1" t="s">
        <v>818</v>
      </c>
      <c r="T139" s="20" t="s">
        <v>843</v>
      </c>
      <c r="U139" s="1" t="s">
        <v>844</v>
      </c>
      <c r="V139" s="14">
        <v>0.02</v>
      </c>
      <c r="W139" s="1" t="s">
        <v>103</v>
      </c>
      <c r="X139" s="1"/>
      <c r="Y139" s="1"/>
      <c r="Z139" s="1"/>
    </row>
    <row r="140" spans="1:26" ht="25.2" customHeight="1" x14ac:dyDescent="0.3">
      <c r="A140" s="28" t="s">
        <v>427</v>
      </c>
      <c r="B140" s="28" t="s">
        <v>865</v>
      </c>
      <c r="C140" s="5">
        <v>46115</v>
      </c>
      <c r="D140" s="5">
        <v>46119</v>
      </c>
      <c r="E140" s="3" t="s">
        <v>847</v>
      </c>
      <c r="F140" s="3">
        <v>8</v>
      </c>
      <c r="G140" s="3">
        <v>809</v>
      </c>
      <c r="H140" s="3">
        <v>68.8</v>
      </c>
      <c r="I140" s="3">
        <v>837</v>
      </c>
      <c r="J140" s="3">
        <v>2</v>
      </c>
      <c r="K140" s="4">
        <f t="shared" si="8"/>
        <v>68.817204301075265</v>
      </c>
      <c r="L140" s="3"/>
      <c r="M140" s="1">
        <v>187.3</v>
      </c>
      <c r="N140" s="1">
        <v>376.5</v>
      </c>
      <c r="O140" s="2">
        <f t="shared" si="9"/>
        <v>188.25</v>
      </c>
      <c r="P140" s="1">
        <v>60</v>
      </c>
      <c r="Q140" s="1">
        <v>12.6</v>
      </c>
      <c r="R140" s="1" t="s">
        <v>168</v>
      </c>
      <c r="S140" s="1" t="s">
        <v>818</v>
      </c>
      <c r="T140" s="11" t="s">
        <v>346</v>
      </c>
      <c r="U140" s="1" t="s">
        <v>342</v>
      </c>
      <c r="V140" s="14">
        <v>0.04</v>
      </c>
      <c r="W140" s="1" t="s">
        <v>94</v>
      </c>
      <c r="X140" s="1"/>
      <c r="Y140" s="1"/>
      <c r="Z140" s="1"/>
    </row>
    <row r="141" spans="1:26" ht="25.2" customHeight="1" x14ac:dyDescent="0.3">
      <c r="A141" s="28" t="s">
        <v>428</v>
      </c>
      <c r="B141" s="29" t="s">
        <v>866</v>
      </c>
      <c r="C141" s="5">
        <v>46119</v>
      </c>
      <c r="D141" s="5">
        <v>46119</v>
      </c>
      <c r="E141" s="3" t="s">
        <v>847</v>
      </c>
      <c r="F141" s="3">
        <v>8</v>
      </c>
      <c r="G141" s="3">
        <v>500</v>
      </c>
      <c r="H141" s="3">
        <v>66.8</v>
      </c>
      <c r="I141" s="3">
        <v>837</v>
      </c>
      <c r="J141" s="3">
        <v>2</v>
      </c>
      <c r="K141" s="4">
        <f t="shared" si="8"/>
        <v>68.817204301075265</v>
      </c>
      <c r="L141" s="3"/>
      <c r="M141" s="1">
        <v>187.3</v>
      </c>
      <c r="N141" s="1">
        <v>376.5</v>
      </c>
      <c r="O141" s="2">
        <f t="shared" si="9"/>
        <v>188.25</v>
      </c>
      <c r="P141" s="1">
        <v>60</v>
      </c>
      <c r="Q141" s="1">
        <v>12.6</v>
      </c>
      <c r="R141" s="1" t="s">
        <v>168</v>
      </c>
      <c r="S141" s="1" t="s">
        <v>818</v>
      </c>
      <c r="T141" s="11" t="s">
        <v>346</v>
      </c>
      <c r="U141" s="1" t="s">
        <v>334</v>
      </c>
      <c r="V141" s="14">
        <v>0.04</v>
      </c>
      <c r="W141" s="1"/>
      <c r="X141" s="1" t="s">
        <v>94</v>
      </c>
      <c r="Y141" s="1" t="s">
        <v>120</v>
      </c>
      <c r="Z141" s="1"/>
    </row>
    <row r="142" spans="1:26" ht="25.2" customHeight="1" x14ac:dyDescent="0.3">
      <c r="A142" s="28" t="s">
        <v>429</v>
      </c>
      <c r="B142" s="28" t="s">
        <v>850</v>
      </c>
      <c r="C142" s="5">
        <v>46119</v>
      </c>
      <c r="D142" s="5">
        <v>46119</v>
      </c>
      <c r="E142" s="3" t="s">
        <v>851</v>
      </c>
      <c r="F142" s="3">
        <v>4</v>
      </c>
      <c r="G142" s="3">
        <v>400</v>
      </c>
      <c r="H142" s="3">
        <v>45.6</v>
      </c>
      <c r="I142" s="3">
        <v>631</v>
      </c>
      <c r="J142" s="3">
        <v>1</v>
      </c>
      <c r="K142" s="4">
        <f t="shared" si="8"/>
        <v>45.641838351822507</v>
      </c>
      <c r="L142" s="3"/>
      <c r="M142" s="1">
        <v>125.8</v>
      </c>
      <c r="N142" s="1">
        <v>126.3</v>
      </c>
      <c r="O142" s="2">
        <f t="shared" si="9"/>
        <v>126.3</v>
      </c>
      <c r="P142" s="1">
        <v>40</v>
      </c>
      <c r="Q142" s="1">
        <v>5</v>
      </c>
      <c r="R142" s="1" t="s">
        <v>87</v>
      </c>
      <c r="S142" s="1" t="s">
        <v>818</v>
      </c>
      <c r="T142" s="20" t="s">
        <v>843</v>
      </c>
      <c r="U142" s="1" t="s">
        <v>149</v>
      </c>
      <c r="V142" s="14">
        <v>0.02</v>
      </c>
      <c r="W142" s="1"/>
      <c r="X142" s="1"/>
      <c r="Y142" s="1"/>
      <c r="Z142" s="1"/>
    </row>
    <row r="143" spans="1:26" ht="25.2" customHeight="1" x14ac:dyDescent="0.3">
      <c r="A143" s="28" t="s">
        <v>430</v>
      </c>
      <c r="B143" s="28" t="s">
        <v>196</v>
      </c>
      <c r="C143" s="5">
        <v>46119</v>
      </c>
      <c r="D143" s="5">
        <v>46120</v>
      </c>
      <c r="E143" s="3" t="s">
        <v>851</v>
      </c>
      <c r="F143" s="3">
        <v>4</v>
      </c>
      <c r="G143" s="3">
        <v>1000</v>
      </c>
      <c r="H143" s="3">
        <v>45.6</v>
      </c>
      <c r="I143" s="3">
        <v>631</v>
      </c>
      <c r="J143" s="3">
        <v>1</v>
      </c>
      <c r="K143" s="4">
        <f t="shared" si="8"/>
        <v>45.641838351822507</v>
      </c>
      <c r="L143" s="3"/>
      <c r="M143" s="1">
        <v>126.1</v>
      </c>
      <c r="N143" s="1">
        <v>126.5</v>
      </c>
      <c r="O143" s="2">
        <f t="shared" si="9"/>
        <v>126.5</v>
      </c>
      <c r="P143" s="1">
        <v>40</v>
      </c>
      <c r="Q143" s="1">
        <v>5</v>
      </c>
      <c r="R143" s="1" t="s">
        <v>87</v>
      </c>
      <c r="S143" s="1" t="s">
        <v>817</v>
      </c>
      <c r="T143" s="20" t="s">
        <v>843</v>
      </c>
      <c r="U143" s="1" t="s">
        <v>199</v>
      </c>
      <c r="V143" s="14">
        <v>0.02</v>
      </c>
      <c r="W143" s="1"/>
      <c r="X143" s="1"/>
      <c r="Y143" s="1"/>
      <c r="Z143" s="1"/>
    </row>
    <row r="144" spans="1:26" ht="25.2" customHeight="1" x14ac:dyDescent="0.3">
      <c r="A144" s="28" t="s">
        <v>431</v>
      </c>
      <c r="B144" s="28" t="s">
        <v>869</v>
      </c>
      <c r="C144" s="5">
        <v>46120</v>
      </c>
      <c r="D144" s="5">
        <v>46120</v>
      </c>
      <c r="E144" s="3" t="s">
        <v>851</v>
      </c>
      <c r="F144" s="3">
        <v>4</v>
      </c>
      <c r="G144" s="3">
        <v>800</v>
      </c>
      <c r="H144" s="3">
        <v>45.6</v>
      </c>
      <c r="I144" s="3">
        <v>631</v>
      </c>
      <c r="J144" s="3">
        <v>1</v>
      </c>
      <c r="K144" s="4">
        <f t="shared" si="8"/>
        <v>45.641838351822507</v>
      </c>
      <c r="L144" s="3"/>
      <c r="M144" s="1">
        <v>126.1</v>
      </c>
      <c r="N144" s="1">
        <v>126.5</v>
      </c>
      <c r="O144" s="2">
        <f t="shared" si="9"/>
        <v>126.5</v>
      </c>
      <c r="P144" s="1">
        <v>40</v>
      </c>
      <c r="Q144" s="1">
        <v>5</v>
      </c>
      <c r="R144" s="1" t="s">
        <v>87</v>
      </c>
      <c r="S144" s="1" t="s">
        <v>832</v>
      </c>
      <c r="T144" s="20" t="s">
        <v>843</v>
      </c>
      <c r="U144" s="1" t="s">
        <v>870</v>
      </c>
      <c r="V144" s="14">
        <v>0.02</v>
      </c>
      <c r="W144" s="1"/>
      <c r="X144" s="1" t="s">
        <v>94</v>
      </c>
      <c r="Y144" s="1"/>
      <c r="Z144" s="1"/>
    </row>
    <row r="145" spans="1:26" ht="25.2" customHeight="1" x14ac:dyDescent="0.3">
      <c r="A145" s="28" t="s">
        <v>432</v>
      </c>
      <c r="B145" s="30" t="s">
        <v>852</v>
      </c>
      <c r="C145" s="3" t="s">
        <v>853</v>
      </c>
      <c r="D145" s="5">
        <v>46119</v>
      </c>
      <c r="E145" s="3" t="s">
        <v>854</v>
      </c>
      <c r="F145" s="3">
        <v>8</v>
      </c>
      <c r="G145" s="3">
        <v>2805</v>
      </c>
      <c r="H145" s="3">
        <v>68.8</v>
      </c>
      <c r="I145" s="3">
        <v>837</v>
      </c>
      <c r="J145" s="3">
        <v>2</v>
      </c>
      <c r="K145" s="4">
        <f t="shared" si="8"/>
        <v>68.817204301075265</v>
      </c>
      <c r="L145" s="3"/>
      <c r="M145" s="1">
        <v>247.2</v>
      </c>
      <c r="N145" s="1">
        <v>496.4</v>
      </c>
      <c r="O145" s="2">
        <f t="shared" si="9"/>
        <v>248.2</v>
      </c>
      <c r="P145" s="1">
        <v>50</v>
      </c>
      <c r="Q145" s="1">
        <v>12.5</v>
      </c>
      <c r="R145" s="1" t="s">
        <v>168</v>
      </c>
      <c r="S145" s="1" t="s">
        <v>650</v>
      </c>
      <c r="T145" s="11" t="s">
        <v>346</v>
      </c>
      <c r="U145" s="1" t="s">
        <v>684</v>
      </c>
      <c r="V145" s="14">
        <v>0.03</v>
      </c>
      <c r="W145" s="1" t="s">
        <v>94</v>
      </c>
      <c r="X145" s="1"/>
      <c r="Y145" s="1"/>
      <c r="Z145" s="1" t="s">
        <v>855</v>
      </c>
    </row>
    <row r="146" spans="1:26" ht="25.2" customHeight="1" x14ac:dyDescent="0.3">
      <c r="A146" s="28" t="s">
        <v>433</v>
      </c>
      <c r="B146" s="30" t="s">
        <v>856</v>
      </c>
      <c r="C146" s="5">
        <v>46120</v>
      </c>
      <c r="D146" s="5">
        <v>46120</v>
      </c>
      <c r="E146" s="3" t="s">
        <v>854</v>
      </c>
      <c r="F146" s="3">
        <v>8</v>
      </c>
      <c r="G146" s="3">
        <v>2800</v>
      </c>
      <c r="H146" s="3">
        <v>61.6</v>
      </c>
      <c r="I146" s="3">
        <v>935</v>
      </c>
      <c r="J146" s="3">
        <v>2</v>
      </c>
      <c r="K146" s="4">
        <f t="shared" si="8"/>
        <v>61.604278074866308</v>
      </c>
      <c r="L146" s="3"/>
      <c r="M146" s="1">
        <v>246.6</v>
      </c>
      <c r="N146" s="1">
        <v>483.1</v>
      </c>
      <c r="O146" s="2">
        <f t="shared" si="9"/>
        <v>241.55</v>
      </c>
      <c r="P146" s="1">
        <v>50</v>
      </c>
      <c r="Q146" s="1">
        <v>12.5</v>
      </c>
      <c r="R146" s="1" t="s">
        <v>168</v>
      </c>
      <c r="S146" s="1" t="s">
        <v>664</v>
      </c>
      <c r="T146" s="11" t="s">
        <v>346</v>
      </c>
      <c r="U146" s="1" t="s">
        <v>344</v>
      </c>
      <c r="V146" s="14">
        <v>0.03</v>
      </c>
      <c r="W146" s="1"/>
      <c r="X146" s="1"/>
      <c r="Y146" s="1"/>
      <c r="Z146" s="1"/>
    </row>
    <row r="147" spans="1:26" ht="25.2" customHeight="1" x14ac:dyDescent="0.3">
      <c r="A147" s="28" t="s">
        <v>434</v>
      </c>
      <c r="B147" s="30" t="s">
        <v>886</v>
      </c>
      <c r="C147" s="5">
        <v>46120</v>
      </c>
      <c r="D147" s="26">
        <v>46122</v>
      </c>
      <c r="E147" s="3" t="s">
        <v>854</v>
      </c>
      <c r="F147" s="3">
        <v>8</v>
      </c>
      <c r="G147" s="3">
        <v>2814</v>
      </c>
      <c r="H147" s="3">
        <v>58.3</v>
      </c>
      <c r="I147" s="3">
        <v>987</v>
      </c>
      <c r="J147" s="3">
        <v>2</v>
      </c>
      <c r="K147" s="4">
        <f t="shared" si="8"/>
        <v>58.358662613981764</v>
      </c>
      <c r="L147" s="3">
        <v>504</v>
      </c>
      <c r="M147" s="1">
        <v>246.7</v>
      </c>
      <c r="N147" s="1">
        <v>483.2</v>
      </c>
      <c r="O147" s="2">
        <f t="shared" si="9"/>
        <v>241.6</v>
      </c>
      <c r="P147" s="1">
        <v>50</v>
      </c>
      <c r="Q147" s="1">
        <v>12.5</v>
      </c>
      <c r="R147" s="1" t="s">
        <v>168</v>
      </c>
      <c r="S147" s="1" t="s">
        <v>662</v>
      </c>
      <c r="T147" s="11" t="s">
        <v>346</v>
      </c>
      <c r="U147" s="1" t="s">
        <v>342</v>
      </c>
      <c r="V147" s="14">
        <v>0.05</v>
      </c>
      <c r="W147" s="1"/>
      <c r="X147" s="1"/>
      <c r="Y147" s="1"/>
      <c r="Z147" s="1"/>
    </row>
    <row r="148" spans="1:26" ht="25.2" customHeight="1" x14ac:dyDescent="0.3">
      <c r="A148" s="28" t="s">
        <v>435</v>
      </c>
      <c r="B148" s="28" t="s">
        <v>857</v>
      </c>
      <c r="C148" s="5">
        <v>46120</v>
      </c>
      <c r="D148" s="5">
        <v>46125</v>
      </c>
      <c r="E148" s="3" t="s">
        <v>858</v>
      </c>
      <c r="F148" s="3">
        <v>7</v>
      </c>
      <c r="G148" s="3">
        <v>3972</v>
      </c>
      <c r="H148" s="3">
        <v>78.7</v>
      </c>
      <c r="I148" s="3">
        <v>731</v>
      </c>
      <c r="J148" s="3">
        <v>2</v>
      </c>
      <c r="K148" s="4">
        <f t="shared" si="8"/>
        <v>78.79616963064295</v>
      </c>
      <c r="L148" s="3"/>
      <c r="M148" s="1">
        <v>82.9</v>
      </c>
      <c r="N148" s="1">
        <v>168.4</v>
      </c>
      <c r="O148" s="2">
        <f t="shared" si="9"/>
        <v>84.2</v>
      </c>
      <c r="P148" s="1">
        <v>80</v>
      </c>
      <c r="Q148" s="1">
        <v>7.2</v>
      </c>
      <c r="R148" s="1" t="s">
        <v>92</v>
      </c>
      <c r="S148" s="1" t="s">
        <v>832</v>
      </c>
      <c r="T148" s="20" t="s">
        <v>787</v>
      </c>
      <c r="U148" s="1" t="s">
        <v>211</v>
      </c>
      <c r="V148" s="14">
        <v>0.03</v>
      </c>
      <c r="W148" s="1"/>
      <c r="X148" s="1" t="s">
        <v>678</v>
      </c>
      <c r="Y148" s="1" t="s">
        <v>151</v>
      </c>
      <c r="Z148" s="1"/>
    </row>
    <row r="149" spans="1:26" ht="25.2" customHeight="1" x14ac:dyDescent="0.3">
      <c r="A149" s="28" t="s">
        <v>436</v>
      </c>
      <c r="B149" s="28" t="s">
        <v>872</v>
      </c>
      <c r="C149" s="5">
        <v>46120</v>
      </c>
      <c r="D149" s="5">
        <v>46120</v>
      </c>
      <c r="E149" s="3" t="s">
        <v>873</v>
      </c>
      <c r="F149" s="3">
        <v>4</v>
      </c>
      <c r="G149" s="3">
        <v>1009</v>
      </c>
      <c r="H149" s="3">
        <v>34.200000000000003</v>
      </c>
      <c r="I149" s="3">
        <v>842</v>
      </c>
      <c r="J149" s="3">
        <v>1</v>
      </c>
      <c r="K149" s="4">
        <f t="shared" ref="K149" si="10">(3600/(I149/8))*J149</f>
        <v>34.204275534441805</v>
      </c>
      <c r="L149" s="3"/>
      <c r="M149" s="1">
        <v>62.6</v>
      </c>
      <c r="N149" s="1">
        <v>92.9</v>
      </c>
      <c r="O149" s="2">
        <f t="shared" ref="O149" si="11">N149/J149</f>
        <v>92.9</v>
      </c>
      <c r="P149" s="1">
        <v>75</v>
      </c>
      <c r="Q149" s="1">
        <v>4.75</v>
      </c>
      <c r="R149" s="1" t="s">
        <v>87</v>
      </c>
      <c r="S149" s="1" t="s">
        <v>818</v>
      </c>
      <c r="T149" s="20" t="s">
        <v>768</v>
      </c>
      <c r="U149" s="1" t="s">
        <v>874</v>
      </c>
      <c r="V149" s="14">
        <v>0.02</v>
      </c>
      <c r="W149" s="1" t="s">
        <v>103</v>
      </c>
      <c r="X149" s="1"/>
      <c r="Y149" s="1"/>
      <c r="Z149" s="1"/>
    </row>
    <row r="150" spans="1:26" ht="25.2" customHeight="1" x14ac:dyDescent="0.3">
      <c r="A150" s="28" t="s">
        <v>437</v>
      </c>
      <c r="B150" s="28" t="s">
        <v>875</v>
      </c>
      <c r="C150" s="5">
        <v>46121</v>
      </c>
      <c r="D150" s="5">
        <v>46122</v>
      </c>
      <c r="E150" s="3" t="s">
        <v>873</v>
      </c>
      <c r="F150" s="3">
        <v>4</v>
      </c>
      <c r="G150" s="3">
        <v>1010</v>
      </c>
      <c r="H150" s="3">
        <v>34.200000000000003</v>
      </c>
      <c r="I150" s="3">
        <v>842</v>
      </c>
      <c r="J150" s="3">
        <v>1</v>
      </c>
      <c r="K150" s="4">
        <f t="shared" si="8"/>
        <v>34.204275534441805</v>
      </c>
      <c r="L150" s="3"/>
      <c r="M150" s="1">
        <v>62.6</v>
      </c>
      <c r="N150" s="1">
        <v>62.9</v>
      </c>
      <c r="O150" s="2">
        <f t="shared" si="9"/>
        <v>62.9</v>
      </c>
      <c r="P150" s="1">
        <v>75</v>
      </c>
      <c r="Q150" s="1">
        <v>4.75</v>
      </c>
      <c r="R150" s="1" t="s">
        <v>87</v>
      </c>
      <c r="S150" s="1" t="s">
        <v>817</v>
      </c>
      <c r="T150" s="20" t="s">
        <v>768</v>
      </c>
      <c r="U150" s="1" t="s">
        <v>876</v>
      </c>
      <c r="V150" s="14">
        <v>0.02</v>
      </c>
      <c r="W150" s="1"/>
      <c r="X150" s="1"/>
      <c r="Y150" s="1"/>
      <c r="Z150" s="1"/>
    </row>
    <row r="151" spans="1:26" ht="25.2" customHeight="1" x14ac:dyDescent="0.3">
      <c r="A151" s="28" t="s">
        <v>438</v>
      </c>
      <c r="B151" s="28" t="s">
        <v>877</v>
      </c>
      <c r="C151" s="5">
        <v>46122</v>
      </c>
      <c r="D151" s="5">
        <v>46122</v>
      </c>
      <c r="E151" s="3" t="s">
        <v>873</v>
      </c>
      <c r="F151" s="3">
        <v>4</v>
      </c>
      <c r="G151" s="3">
        <v>2207</v>
      </c>
      <c r="H151" s="3">
        <v>34.299999999999997</v>
      </c>
      <c r="I151" s="3">
        <v>842</v>
      </c>
      <c r="J151" s="3">
        <v>1</v>
      </c>
      <c r="K151" s="4">
        <f t="shared" si="8"/>
        <v>34.204275534441805</v>
      </c>
      <c r="L151" s="3"/>
      <c r="M151" s="1">
        <v>61.8</v>
      </c>
      <c r="N151" s="1">
        <v>62.2</v>
      </c>
      <c r="O151" s="2">
        <f t="shared" si="9"/>
        <v>62.2</v>
      </c>
      <c r="P151" s="1">
        <v>75</v>
      </c>
      <c r="Q151" s="1">
        <v>4.75</v>
      </c>
      <c r="R151" s="1" t="s">
        <v>87</v>
      </c>
      <c r="S151" s="1" t="s">
        <v>832</v>
      </c>
      <c r="T151" s="20" t="s">
        <v>768</v>
      </c>
      <c r="U151" s="1" t="s">
        <v>878</v>
      </c>
      <c r="V151" s="14">
        <v>0.02</v>
      </c>
      <c r="W151" s="1"/>
      <c r="X151" s="1"/>
      <c r="Y151" s="1"/>
      <c r="Z151" s="1"/>
    </row>
    <row r="152" spans="1:26" ht="25.2" customHeight="1" x14ac:dyDescent="0.3">
      <c r="A152" s="28" t="s">
        <v>439</v>
      </c>
      <c r="B152" s="28" t="s">
        <v>889</v>
      </c>
      <c r="C152" s="5">
        <v>46124</v>
      </c>
      <c r="D152" s="5">
        <v>46125</v>
      </c>
      <c r="E152" s="3" t="s">
        <v>873</v>
      </c>
      <c r="F152" s="3">
        <v>4</v>
      </c>
      <c r="G152" s="3">
        <v>874</v>
      </c>
      <c r="H152" s="3">
        <v>37.299999999999997</v>
      </c>
      <c r="I152" s="3">
        <v>842</v>
      </c>
      <c r="J152" s="3">
        <v>1</v>
      </c>
      <c r="K152" s="4">
        <f t="shared" si="8"/>
        <v>34.204275534441805</v>
      </c>
      <c r="L152" s="3"/>
      <c r="M152" s="1">
        <v>61.3</v>
      </c>
      <c r="N152" s="1">
        <v>61.8</v>
      </c>
      <c r="O152" s="2">
        <f t="shared" si="9"/>
        <v>61.8</v>
      </c>
      <c r="P152" s="1">
        <v>75</v>
      </c>
      <c r="Q152" s="1">
        <v>4.75</v>
      </c>
      <c r="R152" s="1" t="s">
        <v>87</v>
      </c>
      <c r="S152" s="1" t="s">
        <v>810</v>
      </c>
      <c r="T152" s="20" t="s">
        <v>768</v>
      </c>
      <c r="U152" s="1" t="s">
        <v>890</v>
      </c>
      <c r="V152" s="14">
        <v>0.02</v>
      </c>
      <c r="W152" s="1"/>
      <c r="X152" s="1"/>
      <c r="Y152" s="1"/>
      <c r="Z152" s="1"/>
    </row>
    <row r="153" spans="1:26" ht="25.2" customHeight="1" x14ac:dyDescent="0.3">
      <c r="A153" s="28" t="s">
        <v>440</v>
      </c>
      <c r="B153" s="28" t="s">
        <v>891</v>
      </c>
      <c r="C153" s="5">
        <v>46125</v>
      </c>
      <c r="D153" s="5">
        <v>46125</v>
      </c>
      <c r="E153" s="3" t="s">
        <v>873</v>
      </c>
      <c r="F153" s="3">
        <v>4</v>
      </c>
      <c r="G153" s="3">
        <v>600</v>
      </c>
      <c r="H153" s="3">
        <v>37.299999999999997</v>
      </c>
      <c r="I153" s="3">
        <v>842</v>
      </c>
      <c r="J153" s="3">
        <v>1</v>
      </c>
      <c r="K153" s="4">
        <f t="shared" si="8"/>
        <v>34.204275534441805</v>
      </c>
      <c r="L153" s="3"/>
      <c r="M153" s="1">
        <v>62.1</v>
      </c>
      <c r="N153" s="1">
        <v>62.6</v>
      </c>
      <c r="O153" s="2">
        <f t="shared" si="9"/>
        <v>62.6</v>
      </c>
      <c r="P153" s="1">
        <v>75</v>
      </c>
      <c r="Q153" s="1">
        <v>4.75</v>
      </c>
      <c r="R153" s="1" t="s">
        <v>87</v>
      </c>
      <c r="S153" s="1" t="s">
        <v>820</v>
      </c>
      <c r="T153" s="20" t="s">
        <v>768</v>
      </c>
      <c r="U153" s="1" t="s">
        <v>207</v>
      </c>
      <c r="V153" s="14">
        <v>0.02</v>
      </c>
      <c r="W153" s="1"/>
      <c r="X153" s="1" t="s">
        <v>126</v>
      </c>
      <c r="Y153" s="1" t="s">
        <v>898</v>
      </c>
      <c r="Z153" s="1"/>
    </row>
    <row r="154" spans="1:26" ht="25.2" customHeight="1" x14ac:dyDescent="0.3">
      <c r="A154" s="28" t="s">
        <v>441</v>
      </c>
      <c r="B154" s="28" t="s">
        <v>899</v>
      </c>
      <c r="C154" s="5">
        <v>46125</v>
      </c>
      <c r="D154" s="5">
        <v>46126</v>
      </c>
      <c r="E154" s="3" t="s">
        <v>900</v>
      </c>
      <c r="F154" s="3">
        <v>4</v>
      </c>
      <c r="G154" s="3">
        <v>958</v>
      </c>
      <c r="H154" s="3">
        <v>50.3</v>
      </c>
      <c r="I154" s="3">
        <v>572</v>
      </c>
      <c r="J154" s="3">
        <v>1</v>
      </c>
      <c r="K154" s="4">
        <f t="shared" si="8"/>
        <v>50.349650349650346</v>
      </c>
      <c r="L154" s="3"/>
      <c r="M154" s="1">
        <v>108.5</v>
      </c>
      <c r="N154" s="1">
        <v>108.9</v>
      </c>
      <c r="O154" s="2">
        <f t="shared" si="9"/>
        <v>108.9</v>
      </c>
      <c r="P154" s="1">
        <v>44</v>
      </c>
      <c r="Q154" s="1">
        <v>5.3</v>
      </c>
      <c r="R154" s="1" t="s">
        <v>168</v>
      </c>
      <c r="S154" s="1" t="s">
        <v>818</v>
      </c>
      <c r="T154" s="20" t="s">
        <v>901</v>
      </c>
      <c r="U154" s="1" t="s">
        <v>134</v>
      </c>
      <c r="V154" s="14">
        <v>0.02</v>
      </c>
      <c r="W154" s="1" t="s">
        <v>103</v>
      </c>
      <c r="X154" s="1"/>
      <c r="Y154" s="1"/>
      <c r="Z154" s="1"/>
    </row>
    <row r="155" spans="1:26" ht="25.2" customHeight="1" x14ac:dyDescent="0.3">
      <c r="A155" s="28" t="s">
        <v>442</v>
      </c>
      <c r="B155" s="28" t="s">
        <v>902</v>
      </c>
      <c r="C155" s="5">
        <v>46126</v>
      </c>
      <c r="D155" s="5">
        <v>46126</v>
      </c>
      <c r="E155" s="3" t="s">
        <v>900</v>
      </c>
      <c r="F155" s="3">
        <v>4</v>
      </c>
      <c r="G155" s="3">
        <v>904</v>
      </c>
      <c r="H155" s="3">
        <v>50.3</v>
      </c>
      <c r="I155" s="3">
        <v>572</v>
      </c>
      <c r="J155" s="3">
        <v>1</v>
      </c>
      <c r="K155" s="4">
        <f t="shared" si="8"/>
        <v>50.349650349650346</v>
      </c>
      <c r="L155" s="3">
        <v>10</v>
      </c>
      <c r="M155" s="1">
        <v>107.8</v>
      </c>
      <c r="N155" s="1">
        <v>108.3</v>
      </c>
      <c r="O155" s="2">
        <f t="shared" si="9"/>
        <v>108.3</v>
      </c>
      <c r="P155" s="1">
        <v>44</v>
      </c>
      <c r="Q155" s="1">
        <v>5.3</v>
      </c>
      <c r="R155" s="1" t="s">
        <v>168</v>
      </c>
      <c r="S155" s="1" t="s">
        <v>817</v>
      </c>
      <c r="T155" s="20" t="s">
        <v>903</v>
      </c>
      <c r="U155" s="1" t="s">
        <v>211</v>
      </c>
      <c r="V155" s="14">
        <v>0.02</v>
      </c>
      <c r="W155" s="1"/>
      <c r="X155" s="1"/>
      <c r="Y155" s="1"/>
      <c r="Z155" s="1"/>
    </row>
    <row r="156" spans="1:26" ht="25.2" customHeight="1" x14ac:dyDescent="0.3">
      <c r="A156" s="28" t="s">
        <v>443</v>
      </c>
      <c r="B156" s="28" t="s">
        <v>907</v>
      </c>
      <c r="C156" s="5">
        <v>46126</v>
      </c>
      <c r="D156" s="5">
        <v>46127</v>
      </c>
      <c r="E156" s="3" t="s">
        <v>900</v>
      </c>
      <c r="F156" s="3">
        <v>4</v>
      </c>
      <c r="G156" s="3">
        <v>836</v>
      </c>
      <c r="H156" s="3">
        <v>50.3</v>
      </c>
      <c r="I156" s="3">
        <v>572</v>
      </c>
      <c r="J156" s="3">
        <v>1</v>
      </c>
      <c r="K156" s="4">
        <f t="shared" si="8"/>
        <v>50.349650349650346</v>
      </c>
      <c r="L156" s="3"/>
      <c r="M156" s="1">
        <v>107.5</v>
      </c>
      <c r="N156" s="1">
        <v>107.9</v>
      </c>
      <c r="O156" s="2">
        <f t="shared" si="9"/>
        <v>107.9</v>
      </c>
      <c r="P156" s="1">
        <v>44</v>
      </c>
      <c r="Q156" s="1">
        <v>5.3</v>
      </c>
      <c r="R156" s="1" t="s">
        <v>168</v>
      </c>
      <c r="S156" s="1" t="s">
        <v>832</v>
      </c>
      <c r="T156" s="20" t="s">
        <v>908</v>
      </c>
      <c r="U156" s="1" t="s">
        <v>184</v>
      </c>
      <c r="V156" s="14">
        <v>0.02</v>
      </c>
      <c r="W156" s="1"/>
      <c r="X156" s="1"/>
      <c r="Y156" s="1"/>
      <c r="Z156" s="1"/>
    </row>
    <row r="157" spans="1:26" ht="25.2" customHeight="1" x14ac:dyDescent="0.3">
      <c r="A157" s="28" t="s">
        <v>444</v>
      </c>
      <c r="B157" s="28" t="s">
        <v>909</v>
      </c>
      <c r="C157" s="5">
        <v>46127</v>
      </c>
      <c r="D157" s="5">
        <v>46127</v>
      </c>
      <c r="E157" s="3" t="s">
        <v>900</v>
      </c>
      <c r="F157" s="3">
        <v>4</v>
      </c>
      <c r="G157" s="3">
        <v>810</v>
      </c>
      <c r="H157" s="3">
        <v>50.3</v>
      </c>
      <c r="I157" s="3">
        <v>572</v>
      </c>
      <c r="J157" s="3">
        <v>1</v>
      </c>
      <c r="K157" s="4">
        <f t="shared" si="8"/>
        <v>50.349650349650346</v>
      </c>
      <c r="L157" s="3">
        <v>20</v>
      </c>
      <c r="M157" s="1">
        <v>108.1</v>
      </c>
      <c r="N157" s="1">
        <v>108.6</v>
      </c>
      <c r="O157" s="2">
        <f t="shared" si="9"/>
        <v>108.6</v>
      </c>
      <c r="P157" s="1">
        <v>44</v>
      </c>
      <c r="Q157" s="1">
        <v>5.3</v>
      </c>
      <c r="R157" s="1" t="s">
        <v>168</v>
      </c>
      <c r="S157" s="1" t="s">
        <v>810</v>
      </c>
      <c r="T157" s="20" t="s">
        <v>903</v>
      </c>
      <c r="U157" s="1" t="s">
        <v>149</v>
      </c>
      <c r="V157" s="14">
        <v>0.02</v>
      </c>
      <c r="W157" s="1"/>
      <c r="X157" s="1"/>
      <c r="Y157" s="1"/>
      <c r="Z157" s="1"/>
    </row>
    <row r="158" spans="1:26" ht="25.2" customHeight="1" x14ac:dyDescent="0.3">
      <c r="A158" s="28" t="s">
        <v>445</v>
      </c>
      <c r="B158" s="28" t="s">
        <v>916</v>
      </c>
      <c r="C158" s="5">
        <v>46127</v>
      </c>
      <c r="D158" s="5">
        <v>46128</v>
      </c>
      <c r="E158" s="3" t="s">
        <v>900</v>
      </c>
      <c r="F158" s="3">
        <v>4</v>
      </c>
      <c r="G158" s="3">
        <v>748</v>
      </c>
      <c r="H158" s="3">
        <v>50.3</v>
      </c>
      <c r="I158" s="3">
        <v>572</v>
      </c>
      <c r="J158" s="3">
        <v>1</v>
      </c>
      <c r="K158" s="4">
        <f t="shared" si="8"/>
        <v>50.349650349650346</v>
      </c>
      <c r="L158" s="3">
        <v>50</v>
      </c>
      <c r="M158" s="1">
        <v>107.4</v>
      </c>
      <c r="N158" s="1">
        <v>107.9</v>
      </c>
      <c r="O158" s="2">
        <f t="shared" si="9"/>
        <v>107.9</v>
      </c>
      <c r="P158" s="1">
        <v>44</v>
      </c>
      <c r="Q158" s="1">
        <v>5.3</v>
      </c>
      <c r="R158" s="1" t="s">
        <v>168</v>
      </c>
      <c r="S158" s="1" t="s">
        <v>820</v>
      </c>
      <c r="T158" s="20" t="s">
        <v>903</v>
      </c>
      <c r="U158" s="1" t="s">
        <v>141</v>
      </c>
      <c r="V158" s="14">
        <v>0.02</v>
      </c>
      <c r="W158" s="1"/>
      <c r="X158" s="1"/>
      <c r="Y158" s="1"/>
      <c r="Z158" s="1"/>
    </row>
    <row r="159" spans="1:26" ht="25.2" customHeight="1" x14ac:dyDescent="0.3">
      <c r="A159" s="28" t="s">
        <v>446</v>
      </c>
      <c r="B159" s="28" t="s">
        <v>917</v>
      </c>
      <c r="C159" s="5">
        <v>46128</v>
      </c>
      <c r="D159" s="5">
        <v>46128</v>
      </c>
      <c r="E159" s="3" t="s">
        <v>900</v>
      </c>
      <c r="F159" s="3">
        <v>4</v>
      </c>
      <c r="G159" s="3">
        <v>805</v>
      </c>
      <c r="H159" s="3">
        <v>50.2</v>
      </c>
      <c r="I159" s="3">
        <v>572</v>
      </c>
      <c r="J159" s="3">
        <v>1</v>
      </c>
      <c r="K159" s="4">
        <f t="shared" si="8"/>
        <v>50.349650349650346</v>
      </c>
      <c r="L159" s="3"/>
      <c r="M159" s="1">
        <v>107.4</v>
      </c>
      <c r="N159" s="1">
        <v>107.9</v>
      </c>
      <c r="O159" s="2">
        <f t="shared" si="9"/>
        <v>107.9</v>
      </c>
      <c r="P159" s="1">
        <v>44</v>
      </c>
      <c r="Q159" s="1">
        <v>5.3</v>
      </c>
      <c r="R159" s="1" t="s">
        <v>168</v>
      </c>
      <c r="S159" s="1" t="s">
        <v>918</v>
      </c>
      <c r="T159" s="20" t="s">
        <v>903</v>
      </c>
      <c r="U159" s="1" t="s">
        <v>208</v>
      </c>
      <c r="V159" s="14">
        <v>0.02</v>
      </c>
      <c r="W159" s="1"/>
      <c r="X159" s="1"/>
      <c r="Y159" s="1"/>
      <c r="Z159" s="1"/>
    </row>
    <row r="160" spans="1:26" ht="25.2" customHeight="1" x14ac:dyDescent="0.3">
      <c r="A160" s="28" t="s">
        <v>447</v>
      </c>
      <c r="B160" s="28" t="s">
        <v>923</v>
      </c>
      <c r="C160" s="5">
        <v>46128</v>
      </c>
      <c r="D160" s="5">
        <v>46129</v>
      </c>
      <c r="E160" s="3" t="s">
        <v>900</v>
      </c>
      <c r="F160" s="3">
        <v>4</v>
      </c>
      <c r="G160" s="3">
        <v>809</v>
      </c>
      <c r="H160" s="3">
        <v>50.2</v>
      </c>
      <c r="I160" s="3">
        <v>572</v>
      </c>
      <c r="J160" s="3">
        <v>1</v>
      </c>
      <c r="K160" s="4">
        <f t="shared" si="8"/>
        <v>50.349650349650346</v>
      </c>
      <c r="L160" s="3"/>
      <c r="M160" s="1">
        <v>107.7</v>
      </c>
      <c r="N160" s="1">
        <v>108.1</v>
      </c>
      <c r="O160" s="2">
        <f t="shared" si="9"/>
        <v>108.1</v>
      </c>
      <c r="P160" s="1">
        <v>44</v>
      </c>
      <c r="Q160" s="1">
        <v>5.3</v>
      </c>
      <c r="R160" s="1" t="s">
        <v>168</v>
      </c>
      <c r="S160" s="1" t="s">
        <v>924</v>
      </c>
      <c r="T160" s="20" t="s">
        <v>903</v>
      </c>
      <c r="U160" s="1" t="s">
        <v>925</v>
      </c>
      <c r="V160" s="14">
        <v>0.02</v>
      </c>
      <c r="W160" s="1"/>
      <c r="X160" s="1"/>
      <c r="Y160" s="1"/>
      <c r="Z160" s="1"/>
    </row>
    <row r="161" spans="1:26" ht="25.2" customHeight="1" x14ac:dyDescent="0.3">
      <c r="A161" s="28" t="s">
        <v>448</v>
      </c>
      <c r="B161" s="28" t="s">
        <v>926</v>
      </c>
      <c r="C161" s="5">
        <v>46129</v>
      </c>
      <c r="D161" s="5">
        <v>46129</v>
      </c>
      <c r="E161" s="3" t="s">
        <v>900</v>
      </c>
      <c r="F161" s="3">
        <v>4</v>
      </c>
      <c r="G161" s="3">
        <v>612</v>
      </c>
      <c r="H161" s="3">
        <v>49.7</v>
      </c>
      <c r="I161" s="3">
        <v>579</v>
      </c>
      <c r="J161" s="3">
        <v>1</v>
      </c>
      <c r="K161" s="4">
        <f t="shared" si="8"/>
        <v>49.740932642487046</v>
      </c>
      <c r="L161" s="3"/>
      <c r="M161" s="1">
        <v>107.8</v>
      </c>
      <c r="N161" s="1">
        <v>108.4</v>
      </c>
      <c r="O161" s="2">
        <f t="shared" si="9"/>
        <v>108.4</v>
      </c>
      <c r="P161" s="1">
        <v>44</v>
      </c>
      <c r="Q161" s="1">
        <v>5.3</v>
      </c>
      <c r="R161" s="1" t="s">
        <v>168</v>
      </c>
      <c r="S161" s="1" t="s">
        <v>927</v>
      </c>
      <c r="T161" s="20" t="s">
        <v>903</v>
      </c>
      <c r="U161" s="1" t="s">
        <v>878</v>
      </c>
      <c r="V161" s="14">
        <v>0.02</v>
      </c>
      <c r="W161" s="1"/>
      <c r="X161" s="1" t="s">
        <v>103</v>
      </c>
      <c r="Y161" s="1" t="s">
        <v>120</v>
      </c>
      <c r="Z161" s="1"/>
    </row>
    <row r="162" spans="1:26" ht="25.2" customHeight="1" x14ac:dyDescent="0.3">
      <c r="A162" s="28" t="s">
        <v>449</v>
      </c>
      <c r="B162" s="28" t="s">
        <v>904</v>
      </c>
      <c r="C162" s="5">
        <v>46125</v>
      </c>
      <c r="D162" s="5">
        <v>46126</v>
      </c>
      <c r="E162" s="3" t="s">
        <v>905</v>
      </c>
      <c r="F162" s="3">
        <v>7</v>
      </c>
      <c r="G162" s="3">
        <v>1900</v>
      </c>
      <c r="H162" s="3">
        <v>41.2</v>
      </c>
      <c r="I162" s="3">
        <v>700</v>
      </c>
      <c r="J162" s="3">
        <v>1</v>
      </c>
      <c r="K162" s="4">
        <f t="shared" si="8"/>
        <v>41.142857142857146</v>
      </c>
      <c r="L162" s="3">
        <v>121</v>
      </c>
      <c r="M162" s="1">
        <v>232.1</v>
      </c>
      <c r="N162" s="1">
        <v>232.1</v>
      </c>
      <c r="O162" s="2">
        <f t="shared" si="9"/>
        <v>232.1</v>
      </c>
      <c r="P162" s="1">
        <v>20</v>
      </c>
      <c r="Q162" s="1">
        <v>5</v>
      </c>
      <c r="R162" s="1" t="s">
        <v>168</v>
      </c>
      <c r="S162" s="1" t="s">
        <v>818</v>
      </c>
      <c r="T162" s="20" t="s">
        <v>906</v>
      </c>
      <c r="U162" s="1" t="s">
        <v>684</v>
      </c>
      <c r="V162" s="14">
        <v>0.03</v>
      </c>
      <c r="W162" s="1" t="s">
        <v>678</v>
      </c>
      <c r="X162" s="1"/>
      <c r="Y162" s="1"/>
      <c r="Z162" s="1"/>
    </row>
    <row r="163" spans="1:26" ht="25.2" customHeight="1" x14ac:dyDescent="0.3">
      <c r="A163" s="28" t="s">
        <v>450</v>
      </c>
      <c r="B163" s="28" t="s">
        <v>912</v>
      </c>
      <c r="C163" s="5">
        <v>46126</v>
      </c>
      <c r="D163" s="5">
        <v>46127</v>
      </c>
      <c r="E163" s="3" t="s">
        <v>905</v>
      </c>
      <c r="F163" s="3">
        <v>7</v>
      </c>
      <c r="G163" s="3">
        <v>1920</v>
      </c>
      <c r="H163" s="3">
        <v>41.2</v>
      </c>
      <c r="I163" s="3">
        <v>700</v>
      </c>
      <c r="J163" s="3">
        <v>1</v>
      </c>
      <c r="K163" s="4">
        <f t="shared" si="8"/>
        <v>41.142857142857146</v>
      </c>
      <c r="L163" s="3">
        <v>211</v>
      </c>
      <c r="M163" s="1">
        <v>228</v>
      </c>
      <c r="N163" s="1">
        <v>230.5</v>
      </c>
      <c r="O163" s="2">
        <f t="shared" si="9"/>
        <v>230.5</v>
      </c>
      <c r="P163" s="1">
        <v>20</v>
      </c>
      <c r="Q163" s="1">
        <v>5</v>
      </c>
      <c r="R163" s="1" t="s">
        <v>168</v>
      </c>
      <c r="S163" s="1" t="s">
        <v>817</v>
      </c>
      <c r="T163" s="25" t="s">
        <v>906</v>
      </c>
      <c r="U163" s="1" t="s">
        <v>342</v>
      </c>
      <c r="V163" s="14">
        <v>0.04</v>
      </c>
      <c r="W163" s="1"/>
      <c r="X163" s="1"/>
      <c r="Y163" s="1"/>
      <c r="Z163" s="1"/>
    </row>
    <row r="164" spans="1:26" ht="25.2" customHeight="1" x14ac:dyDescent="0.3">
      <c r="A164" s="28" t="s">
        <v>451</v>
      </c>
      <c r="B164" s="28" t="s">
        <v>921</v>
      </c>
      <c r="C164" s="5">
        <v>46127</v>
      </c>
      <c r="D164" s="5">
        <v>46128</v>
      </c>
      <c r="E164" s="3" t="s">
        <v>905</v>
      </c>
      <c r="F164" s="3">
        <v>7</v>
      </c>
      <c r="G164" s="3">
        <v>1900</v>
      </c>
      <c r="H164" s="3">
        <v>41.2</v>
      </c>
      <c r="I164" s="3">
        <v>700</v>
      </c>
      <c r="J164" s="3">
        <v>1</v>
      </c>
      <c r="K164" s="4">
        <f t="shared" si="8"/>
        <v>41.142857142857146</v>
      </c>
      <c r="L164" s="3">
        <v>234</v>
      </c>
      <c r="M164" s="1">
        <v>230.9</v>
      </c>
      <c r="N164" s="1">
        <v>233.9</v>
      </c>
      <c r="O164" s="2">
        <f t="shared" si="9"/>
        <v>233.9</v>
      </c>
      <c r="P164" s="1">
        <v>20</v>
      </c>
      <c r="Q164" s="1">
        <v>5</v>
      </c>
      <c r="R164" s="1" t="s">
        <v>168</v>
      </c>
      <c r="S164" s="1" t="s">
        <v>832</v>
      </c>
      <c r="T164" s="11" t="s">
        <v>906</v>
      </c>
      <c r="U164" s="1" t="s">
        <v>344</v>
      </c>
      <c r="V164" s="14">
        <v>0.03</v>
      </c>
      <c r="W164" s="1"/>
      <c r="X164" s="1"/>
      <c r="Y164" s="1"/>
      <c r="Z164" s="1"/>
    </row>
    <row r="165" spans="1:26" ht="25.2" customHeight="1" x14ac:dyDescent="0.3">
      <c r="A165" s="28" t="s">
        <v>452</v>
      </c>
      <c r="B165" s="28" t="s">
        <v>913</v>
      </c>
      <c r="C165" s="5">
        <v>46126</v>
      </c>
      <c r="D165" s="5">
        <v>46129</v>
      </c>
      <c r="E165" s="3" t="s">
        <v>914</v>
      </c>
      <c r="F165" s="3">
        <v>6</v>
      </c>
      <c r="G165" s="3">
        <v>11000</v>
      </c>
      <c r="H165" s="3">
        <v>34.25</v>
      </c>
      <c r="I165" s="3">
        <v>1680</v>
      </c>
      <c r="J165" s="3">
        <v>2</v>
      </c>
      <c r="K165" s="4">
        <f t="shared" si="8"/>
        <v>34.285714285714285</v>
      </c>
      <c r="L165" s="3">
        <v>2400</v>
      </c>
      <c r="M165" s="1">
        <v>53.4</v>
      </c>
      <c r="N165" s="1">
        <v>108.5</v>
      </c>
      <c r="O165" s="2">
        <f t="shared" si="9"/>
        <v>54.25</v>
      </c>
      <c r="P165" s="1">
        <v>250</v>
      </c>
      <c r="Q165" s="1">
        <v>14</v>
      </c>
      <c r="R165" s="1" t="s">
        <v>92</v>
      </c>
      <c r="S165" s="1" t="s">
        <v>818</v>
      </c>
      <c r="T165" s="17" t="s">
        <v>133</v>
      </c>
      <c r="U165" s="1" t="s">
        <v>342</v>
      </c>
      <c r="V165" s="14">
        <v>0.04</v>
      </c>
      <c r="W165" s="1"/>
      <c r="X165" s="1"/>
      <c r="Y165" s="1"/>
      <c r="Z165" s="1"/>
    </row>
    <row r="166" spans="1:26" ht="25.2" customHeight="1" x14ac:dyDescent="0.3">
      <c r="A166" s="28" t="s">
        <v>453</v>
      </c>
      <c r="B166" s="29" t="s">
        <v>886</v>
      </c>
      <c r="C166" s="5">
        <v>46129</v>
      </c>
      <c r="D166" s="5">
        <v>46129</v>
      </c>
      <c r="E166" s="3" t="s">
        <v>930</v>
      </c>
      <c r="F166" s="3">
        <v>8</v>
      </c>
      <c r="G166" s="3">
        <v>1000</v>
      </c>
      <c r="H166" s="3">
        <v>64.2</v>
      </c>
      <c r="I166" s="3">
        <v>897</v>
      </c>
      <c r="J166" s="3">
        <v>2</v>
      </c>
      <c r="K166" s="4">
        <f t="shared" si="8"/>
        <v>64.214046822742475</v>
      </c>
      <c r="L166" s="3"/>
      <c r="M166" s="1">
        <v>242.8</v>
      </c>
      <c r="N166" s="1">
        <v>487.5</v>
      </c>
      <c r="O166" s="2">
        <f t="shared" si="9"/>
        <v>243.75</v>
      </c>
      <c r="P166" s="1">
        <v>50</v>
      </c>
      <c r="Q166" s="1">
        <v>12.5</v>
      </c>
      <c r="R166" s="1" t="s">
        <v>92</v>
      </c>
      <c r="S166" s="1" t="s">
        <v>818</v>
      </c>
      <c r="T166" s="11" t="s">
        <v>346</v>
      </c>
      <c r="U166" s="1" t="s">
        <v>342</v>
      </c>
      <c r="V166" s="14">
        <v>0.05</v>
      </c>
      <c r="W166" s="1" t="s">
        <v>103</v>
      </c>
      <c r="X166" s="1"/>
      <c r="Y166" s="1"/>
      <c r="Z166" s="1"/>
    </row>
    <row r="167" spans="1:26" ht="25.2" customHeight="1" x14ac:dyDescent="0.3">
      <c r="A167" s="28" t="s">
        <v>454</v>
      </c>
      <c r="B167" s="29" t="s">
        <v>931</v>
      </c>
      <c r="C167" s="5">
        <v>46129</v>
      </c>
      <c r="D167" s="5">
        <v>46131</v>
      </c>
      <c r="E167" s="3" t="s">
        <v>930</v>
      </c>
      <c r="F167" s="3">
        <v>8</v>
      </c>
      <c r="G167" s="3">
        <v>1000</v>
      </c>
      <c r="H167" s="3">
        <v>64.2</v>
      </c>
      <c r="I167" s="3">
        <v>897</v>
      </c>
      <c r="J167" s="3">
        <v>2</v>
      </c>
      <c r="K167" s="4">
        <f t="shared" si="8"/>
        <v>64.214046822742475</v>
      </c>
      <c r="L167" s="3"/>
      <c r="M167" s="1">
        <v>241</v>
      </c>
      <c r="N167" s="1">
        <v>487.3</v>
      </c>
      <c r="O167" s="2">
        <f t="shared" si="9"/>
        <v>243.65</v>
      </c>
      <c r="P167" s="1">
        <v>50</v>
      </c>
      <c r="Q167" s="1">
        <v>12.5</v>
      </c>
      <c r="R167" s="1" t="s">
        <v>92</v>
      </c>
      <c r="S167" s="1" t="s">
        <v>817</v>
      </c>
      <c r="T167" s="11" t="s">
        <v>346</v>
      </c>
      <c r="U167" s="1" t="s">
        <v>334</v>
      </c>
      <c r="V167" s="14">
        <v>0.04</v>
      </c>
      <c r="W167" s="1"/>
      <c r="X167" s="1"/>
      <c r="Y167" s="1"/>
      <c r="Z167" s="1"/>
    </row>
    <row r="168" spans="1:26" ht="25.2" customHeight="1" x14ac:dyDescent="0.3">
      <c r="A168" s="28" t="s">
        <v>455</v>
      </c>
      <c r="B168" s="29" t="s">
        <v>932</v>
      </c>
      <c r="C168" s="5">
        <v>46132</v>
      </c>
      <c r="D168" s="5">
        <v>46132</v>
      </c>
      <c r="E168" s="3" t="s">
        <v>930</v>
      </c>
      <c r="F168" s="3">
        <v>8</v>
      </c>
      <c r="G168" s="3">
        <v>700</v>
      </c>
      <c r="H168" s="3">
        <v>65.599999999999994</v>
      </c>
      <c r="I168" s="3">
        <v>878</v>
      </c>
      <c r="J168" s="3">
        <v>2</v>
      </c>
      <c r="K168" s="4">
        <f t="shared" si="8"/>
        <v>65.603644646924835</v>
      </c>
      <c r="L168" s="3">
        <v>112</v>
      </c>
      <c r="M168" s="1">
        <v>224.5</v>
      </c>
      <c r="N168" s="1">
        <v>490.7</v>
      </c>
      <c r="O168" s="2">
        <f t="shared" si="9"/>
        <v>245.35</v>
      </c>
      <c r="P168" s="1">
        <v>50</v>
      </c>
      <c r="Q168" s="1">
        <v>12.5</v>
      </c>
      <c r="R168" s="1" t="s">
        <v>92</v>
      </c>
      <c r="S168" s="1" t="s">
        <v>832</v>
      </c>
      <c r="T168" s="11" t="s">
        <v>346</v>
      </c>
      <c r="U168" s="1" t="s">
        <v>344</v>
      </c>
      <c r="V168" s="14">
        <v>0.03</v>
      </c>
      <c r="W168" s="1"/>
      <c r="X168" s="1"/>
      <c r="Y168" s="1"/>
      <c r="Z168" s="1"/>
    </row>
    <row r="169" spans="1:26" ht="25.2" customHeight="1" x14ac:dyDescent="0.3">
      <c r="A169" s="28" t="s">
        <v>456</v>
      </c>
      <c r="B169" s="29" t="s">
        <v>940</v>
      </c>
      <c r="C169" s="5">
        <v>46132</v>
      </c>
      <c r="D169" s="5">
        <v>46132</v>
      </c>
      <c r="E169" s="3" t="s">
        <v>930</v>
      </c>
      <c r="F169" s="3">
        <v>8</v>
      </c>
      <c r="G169" s="3">
        <v>835</v>
      </c>
      <c r="H169" s="3">
        <v>66.3</v>
      </c>
      <c r="I169" s="3">
        <v>868</v>
      </c>
      <c r="J169" s="3">
        <v>2</v>
      </c>
      <c r="K169" s="4">
        <f t="shared" si="8"/>
        <v>66.359447004608299</v>
      </c>
      <c r="L169" s="3">
        <v>51</v>
      </c>
      <c r="M169" s="1">
        <v>245.7</v>
      </c>
      <c r="N169" s="1">
        <v>493.4</v>
      </c>
      <c r="O169" s="2">
        <f t="shared" si="9"/>
        <v>246.7</v>
      </c>
      <c r="P169" s="1">
        <v>50</v>
      </c>
      <c r="Q169" s="1">
        <v>12.5</v>
      </c>
      <c r="R169" s="1" t="s">
        <v>92</v>
      </c>
      <c r="S169" s="1" t="s">
        <v>810</v>
      </c>
      <c r="T169" s="11" t="s">
        <v>346</v>
      </c>
      <c r="U169" s="1"/>
      <c r="V169" s="1"/>
      <c r="W169" s="1"/>
      <c r="X169" s="1"/>
      <c r="Y169" s="1"/>
      <c r="Z169" s="1"/>
    </row>
    <row r="170" spans="1:26" ht="25.2" customHeight="1" x14ac:dyDescent="0.3">
      <c r="A170" s="28" t="s">
        <v>457</v>
      </c>
      <c r="B170" s="28" t="s">
        <v>933</v>
      </c>
      <c r="C170" s="5">
        <v>46129</v>
      </c>
      <c r="D170" s="5">
        <v>46132</v>
      </c>
      <c r="E170" s="3" t="s">
        <v>934</v>
      </c>
      <c r="F170" s="3">
        <v>4</v>
      </c>
      <c r="G170" s="3">
        <v>658</v>
      </c>
      <c r="H170" s="3">
        <v>35.4</v>
      </c>
      <c r="I170" s="3">
        <v>508</v>
      </c>
      <c r="J170" s="3">
        <v>1</v>
      </c>
      <c r="K170" s="4">
        <f t="shared" si="8"/>
        <v>56.69291338582677</v>
      </c>
      <c r="L170" s="3"/>
      <c r="M170" s="1">
        <v>72</v>
      </c>
      <c r="N170" s="1">
        <v>72.400000000000006</v>
      </c>
      <c r="O170" s="2">
        <f t="shared" si="9"/>
        <v>72.400000000000006</v>
      </c>
      <c r="P170" s="1">
        <v>32</v>
      </c>
      <c r="Q170" s="1">
        <v>3.25</v>
      </c>
      <c r="R170" s="1" t="s">
        <v>168</v>
      </c>
      <c r="S170" s="1" t="s">
        <v>818</v>
      </c>
      <c r="T170" s="20" t="s">
        <v>768</v>
      </c>
      <c r="U170" s="1" t="s">
        <v>149</v>
      </c>
      <c r="V170" s="14">
        <v>0.02</v>
      </c>
      <c r="W170" s="1" t="s">
        <v>103</v>
      </c>
      <c r="X170" s="1"/>
      <c r="Y170" s="1"/>
      <c r="Z170" s="1"/>
    </row>
    <row r="171" spans="1:26" ht="25.2" customHeight="1" x14ac:dyDescent="0.3">
      <c r="A171" s="28" t="s">
        <v>458</v>
      </c>
      <c r="B171" s="28" t="s">
        <v>942</v>
      </c>
      <c r="C171" s="5">
        <v>46132</v>
      </c>
      <c r="D171" s="5">
        <v>46132</v>
      </c>
      <c r="E171" s="3" t="s">
        <v>935</v>
      </c>
      <c r="F171" s="3">
        <v>4</v>
      </c>
      <c r="G171" s="3">
        <v>1000</v>
      </c>
      <c r="H171" s="3">
        <v>35.4</v>
      </c>
      <c r="I171" s="3">
        <v>508</v>
      </c>
      <c r="J171" s="3">
        <v>1</v>
      </c>
      <c r="K171" s="4">
        <f t="shared" si="8"/>
        <v>56.69291338582677</v>
      </c>
      <c r="L171" s="3">
        <v>54</v>
      </c>
      <c r="M171" s="1">
        <v>72</v>
      </c>
      <c r="N171" s="1">
        <v>72.400000000000006</v>
      </c>
      <c r="O171" s="2">
        <f t="shared" si="9"/>
        <v>72.400000000000006</v>
      </c>
      <c r="P171" s="1">
        <v>32</v>
      </c>
      <c r="Q171" s="1">
        <v>3.25</v>
      </c>
      <c r="R171" s="1" t="s">
        <v>168</v>
      </c>
      <c r="S171" s="1" t="s">
        <v>817</v>
      </c>
      <c r="T171" s="20" t="s">
        <v>768</v>
      </c>
      <c r="U171" s="1" t="s">
        <v>134</v>
      </c>
      <c r="V171" s="14">
        <v>0.02</v>
      </c>
      <c r="W171" s="1"/>
      <c r="X171" s="1"/>
      <c r="Y171" s="1"/>
      <c r="Z171" s="1"/>
    </row>
    <row r="172" spans="1:26" ht="25.2" customHeight="1" x14ac:dyDescent="0.3">
      <c r="A172" s="28" t="s">
        <v>459</v>
      </c>
      <c r="B172" s="28" t="s">
        <v>941</v>
      </c>
      <c r="C172" s="5">
        <v>46132</v>
      </c>
      <c r="D172" s="5">
        <v>46132</v>
      </c>
      <c r="E172" s="3" t="s">
        <v>935</v>
      </c>
      <c r="F172" s="3">
        <v>4</v>
      </c>
      <c r="G172" s="3">
        <v>704</v>
      </c>
      <c r="H172" s="3">
        <v>35.4</v>
      </c>
      <c r="I172" s="3">
        <v>508</v>
      </c>
      <c r="J172" s="3">
        <v>1</v>
      </c>
      <c r="K172" s="4">
        <f t="shared" si="8"/>
        <v>56.69291338582677</v>
      </c>
      <c r="L172" s="3">
        <v>11</v>
      </c>
      <c r="M172" s="1">
        <v>72</v>
      </c>
      <c r="N172" s="1">
        <v>72.400000000000006</v>
      </c>
      <c r="O172" s="2">
        <f t="shared" si="9"/>
        <v>72.400000000000006</v>
      </c>
      <c r="P172" s="1">
        <v>32</v>
      </c>
      <c r="Q172" s="1">
        <v>3.25</v>
      </c>
      <c r="R172" s="1" t="s">
        <v>168</v>
      </c>
      <c r="S172" s="1" t="s">
        <v>832</v>
      </c>
      <c r="T172" s="20" t="s">
        <v>768</v>
      </c>
      <c r="U172" s="1" t="s">
        <v>141</v>
      </c>
      <c r="V172" s="14">
        <v>0.02</v>
      </c>
      <c r="W172" s="1"/>
      <c r="X172" s="1"/>
      <c r="Y172" s="1"/>
      <c r="Z172" s="1"/>
    </row>
    <row r="173" spans="1:26" ht="25.2" customHeight="1" x14ac:dyDescent="0.3">
      <c r="A173" s="28" t="s">
        <v>460</v>
      </c>
      <c r="B173" s="28" t="s">
        <v>943</v>
      </c>
      <c r="C173" s="5">
        <v>46132</v>
      </c>
      <c r="D173" s="5">
        <v>46132</v>
      </c>
      <c r="E173" s="3" t="s">
        <v>935</v>
      </c>
      <c r="F173" s="3">
        <v>4</v>
      </c>
      <c r="G173" s="3">
        <v>525</v>
      </c>
      <c r="H173" s="3">
        <v>35.4</v>
      </c>
      <c r="I173" s="3">
        <v>508</v>
      </c>
      <c r="J173" s="3">
        <v>1</v>
      </c>
      <c r="K173" s="4">
        <f t="shared" si="8"/>
        <v>56.69291338582677</v>
      </c>
      <c r="L173" s="3">
        <v>20</v>
      </c>
      <c r="M173" s="1">
        <v>72</v>
      </c>
      <c r="N173" s="1">
        <v>72.400000000000006</v>
      </c>
      <c r="O173" s="2">
        <f t="shared" si="9"/>
        <v>72.400000000000006</v>
      </c>
      <c r="P173" s="1">
        <v>32</v>
      </c>
      <c r="Q173" s="1">
        <v>3.25</v>
      </c>
      <c r="R173" s="1" t="s">
        <v>168</v>
      </c>
      <c r="S173" s="1" t="s">
        <v>810</v>
      </c>
      <c r="T173" s="20" t="s">
        <v>768</v>
      </c>
      <c r="U173" s="1" t="s">
        <v>208</v>
      </c>
      <c r="V173" s="14">
        <v>0.02</v>
      </c>
      <c r="W173" s="1"/>
      <c r="X173" s="1"/>
      <c r="Y173" s="1"/>
      <c r="Z173" s="1"/>
    </row>
    <row r="174" spans="1:26" ht="25.2" customHeight="1" x14ac:dyDescent="0.3">
      <c r="A174" s="28" t="s">
        <v>461</v>
      </c>
      <c r="B174" s="28" t="s">
        <v>944</v>
      </c>
      <c r="C174" s="5">
        <v>46133</v>
      </c>
      <c r="D174" s="5">
        <v>46133</v>
      </c>
      <c r="E174" s="3" t="s">
        <v>935</v>
      </c>
      <c r="F174" s="3">
        <v>4</v>
      </c>
      <c r="G174" s="3">
        <v>1100</v>
      </c>
      <c r="H174" s="3">
        <v>35.200000000000003</v>
      </c>
      <c r="I174" s="3">
        <v>818</v>
      </c>
      <c r="J174" s="3">
        <v>1</v>
      </c>
      <c r="K174" s="4">
        <f t="shared" si="8"/>
        <v>35.207823960880198</v>
      </c>
      <c r="L174" s="3">
        <v>42</v>
      </c>
      <c r="M174" s="1">
        <v>72</v>
      </c>
      <c r="N174" s="1">
        <v>72.3</v>
      </c>
      <c r="O174" s="2">
        <f t="shared" si="9"/>
        <v>72.3</v>
      </c>
      <c r="P174" s="1">
        <v>32</v>
      </c>
      <c r="Q174" s="1">
        <v>3.25</v>
      </c>
      <c r="R174" s="1" t="s">
        <v>168</v>
      </c>
      <c r="S174" s="1" t="s">
        <v>820</v>
      </c>
      <c r="T174" s="20" t="s">
        <v>768</v>
      </c>
      <c r="U174" s="1" t="s">
        <v>211</v>
      </c>
      <c r="V174" s="14">
        <v>0.02</v>
      </c>
      <c r="W174" s="1"/>
      <c r="X174" s="1"/>
      <c r="Y174" s="1"/>
      <c r="Z174" s="1"/>
    </row>
    <row r="175" spans="1:26" ht="25.2" customHeight="1" x14ac:dyDescent="0.3">
      <c r="A175" s="28" t="s">
        <v>462</v>
      </c>
      <c r="B175" s="28" t="s">
        <v>794</v>
      </c>
      <c r="C175" s="5">
        <v>46133</v>
      </c>
      <c r="D175" s="5">
        <v>46133</v>
      </c>
      <c r="E175" s="3" t="s">
        <v>935</v>
      </c>
      <c r="F175" s="3">
        <v>4</v>
      </c>
      <c r="G175" s="3">
        <v>800</v>
      </c>
      <c r="H175" s="3">
        <v>35.200000000000003</v>
      </c>
      <c r="I175" s="3">
        <v>818</v>
      </c>
      <c r="J175" s="3">
        <v>1</v>
      </c>
      <c r="K175" s="4">
        <f t="shared" ref="K175" si="12">(3600/(I175/8))*J175</f>
        <v>35.207823960880198</v>
      </c>
      <c r="L175" s="3">
        <v>47</v>
      </c>
      <c r="M175" s="1">
        <v>72</v>
      </c>
      <c r="N175" s="1">
        <v>72.3</v>
      </c>
      <c r="O175" s="2">
        <f t="shared" si="9"/>
        <v>72.3</v>
      </c>
      <c r="P175" s="1">
        <v>32</v>
      </c>
      <c r="Q175" s="1">
        <v>3.25</v>
      </c>
      <c r="R175" s="1" t="s">
        <v>168</v>
      </c>
      <c r="S175" s="1" t="s">
        <v>918</v>
      </c>
      <c r="T175" s="20" t="s">
        <v>768</v>
      </c>
      <c r="U175" s="1" t="s">
        <v>184</v>
      </c>
      <c r="V175" s="14">
        <v>0.02</v>
      </c>
      <c r="W175" s="1"/>
      <c r="X175" s="1"/>
      <c r="Y175" s="1"/>
      <c r="Z175" s="1"/>
    </row>
    <row r="176" spans="1:26" ht="25.2" customHeight="1" x14ac:dyDescent="0.3">
      <c r="A176" s="28" t="s">
        <v>463</v>
      </c>
      <c r="B176" s="28" t="s">
        <v>341</v>
      </c>
      <c r="C176" s="5">
        <v>46129</v>
      </c>
      <c r="D176" s="5">
        <v>46129</v>
      </c>
      <c r="E176" s="3" t="s">
        <v>936</v>
      </c>
      <c r="F176" s="3">
        <v>6</v>
      </c>
      <c r="G176" s="3">
        <v>500</v>
      </c>
      <c r="H176" s="3">
        <v>33.25</v>
      </c>
      <c r="I176" s="3">
        <v>1732</v>
      </c>
      <c r="J176" s="3">
        <v>2</v>
      </c>
      <c r="K176" s="4">
        <f t="shared" ref="K176:K177" si="13">(3600/(I176/8))*J176</f>
        <v>33.25635103926097</v>
      </c>
      <c r="L176" s="3"/>
      <c r="M176" s="1">
        <v>53.4</v>
      </c>
      <c r="N176" s="1">
        <v>108.5</v>
      </c>
      <c r="O176" s="2">
        <f t="shared" ref="O176:O177" si="14">N176/J176</f>
        <v>54.25</v>
      </c>
      <c r="P176" s="1">
        <v>250</v>
      </c>
      <c r="Q176" s="1">
        <v>14</v>
      </c>
      <c r="R176" s="1" t="s">
        <v>92</v>
      </c>
      <c r="S176" s="1" t="s">
        <v>818</v>
      </c>
      <c r="T176" s="17" t="s">
        <v>133</v>
      </c>
      <c r="U176" s="1" t="s">
        <v>342</v>
      </c>
      <c r="V176" s="14">
        <v>0.05</v>
      </c>
      <c r="W176" s="1"/>
      <c r="X176" s="1" t="s">
        <v>103</v>
      </c>
      <c r="Y176" s="1" t="s">
        <v>120</v>
      </c>
      <c r="Z176" s="1"/>
    </row>
    <row r="177" spans="1:26" ht="25.2" customHeight="1" x14ac:dyDescent="0.3">
      <c r="A177" s="28" t="s">
        <v>464</v>
      </c>
      <c r="B177" s="28" t="s">
        <v>937</v>
      </c>
      <c r="C177" s="5">
        <v>46131</v>
      </c>
      <c r="D177" s="5">
        <v>46131</v>
      </c>
      <c r="E177" s="3" t="s">
        <v>938</v>
      </c>
      <c r="F177" s="3">
        <v>6</v>
      </c>
      <c r="G177" s="3">
        <v>1558</v>
      </c>
      <c r="H177" s="3">
        <v>37.64</v>
      </c>
      <c r="I177" s="3">
        <v>1530</v>
      </c>
      <c r="J177" s="3">
        <v>2</v>
      </c>
      <c r="K177" s="4">
        <f t="shared" si="13"/>
        <v>37.647058823529413</v>
      </c>
      <c r="L177" s="3"/>
      <c r="M177" s="1">
        <v>14</v>
      </c>
      <c r="N177" s="1">
        <v>28.8</v>
      </c>
      <c r="O177" s="2">
        <f t="shared" si="14"/>
        <v>14.4</v>
      </c>
      <c r="P177" s="1">
        <v>500</v>
      </c>
      <c r="Q177" s="1">
        <v>7.15</v>
      </c>
      <c r="R177" s="1" t="s">
        <v>87</v>
      </c>
      <c r="S177" s="1" t="s">
        <v>818</v>
      </c>
      <c r="T177" s="17" t="s">
        <v>133</v>
      </c>
      <c r="U177" s="1" t="s">
        <v>342</v>
      </c>
      <c r="V177" s="14">
        <v>0.05</v>
      </c>
      <c r="W177" s="1" t="s">
        <v>103</v>
      </c>
      <c r="X177" s="1" t="s">
        <v>678</v>
      </c>
      <c r="Y177" s="1" t="s">
        <v>120</v>
      </c>
      <c r="Z177" s="1"/>
    </row>
    <row r="178" spans="1:26" ht="25.2" customHeight="1" x14ac:dyDescent="0.3">
      <c r="A178" s="28" t="s">
        <v>465</v>
      </c>
      <c r="B178" s="28" t="s">
        <v>939</v>
      </c>
      <c r="C178" s="5">
        <v>46132</v>
      </c>
      <c r="D178" s="5">
        <v>46139</v>
      </c>
      <c r="E178" s="3" t="s">
        <v>945</v>
      </c>
      <c r="F178" s="3">
        <v>6</v>
      </c>
      <c r="G178" s="3">
        <v>10300</v>
      </c>
      <c r="H178" s="3">
        <v>37.92</v>
      </c>
      <c r="I178" s="3">
        <v>759</v>
      </c>
      <c r="J178" s="3">
        <v>1</v>
      </c>
      <c r="K178" s="4">
        <f t="shared" si="8"/>
        <v>37.944664031620555</v>
      </c>
      <c r="L178" s="3"/>
      <c r="M178" s="1">
        <v>122.5</v>
      </c>
      <c r="N178" s="1">
        <v>124.7</v>
      </c>
      <c r="O178" s="2">
        <f t="shared" si="9"/>
        <v>124.7</v>
      </c>
      <c r="P178" s="1">
        <v>32</v>
      </c>
      <c r="Q178" s="1">
        <v>4.6500000000000004</v>
      </c>
      <c r="R178" s="1" t="s">
        <v>92</v>
      </c>
      <c r="S178" s="1" t="s">
        <v>818</v>
      </c>
      <c r="T178" s="11" t="s">
        <v>346</v>
      </c>
      <c r="U178" s="1" t="s">
        <v>342</v>
      </c>
      <c r="V178" s="14">
        <v>0.04</v>
      </c>
      <c r="W178" s="1" t="s">
        <v>678</v>
      </c>
      <c r="X178" s="1"/>
      <c r="Y178" s="1"/>
      <c r="Z178" s="1"/>
    </row>
    <row r="179" spans="1:26" ht="25.2" customHeight="1" x14ac:dyDescent="0.3">
      <c r="A179" s="28" t="s">
        <v>466</v>
      </c>
      <c r="B179" s="29" t="s">
        <v>947</v>
      </c>
      <c r="C179" s="5">
        <v>46133</v>
      </c>
      <c r="D179" s="5">
        <v>46134</v>
      </c>
      <c r="E179" s="3" t="s">
        <v>948</v>
      </c>
      <c r="F179" s="3">
        <v>8</v>
      </c>
      <c r="G179" s="3">
        <v>4790</v>
      </c>
      <c r="H179" s="3">
        <v>60.7</v>
      </c>
      <c r="I179" s="3">
        <v>948</v>
      </c>
      <c r="J179" s="3">
        <v>2</v>
      </c>
      <c r="K179" s="4">
        <f t="shared" si="8"/>
        <v>60.759493670886073</v>
      </c>
      <c r="L179" s="3">
        <v>154</v>
      </c>
      <c r="M179" s="1">
        <v>244.7</v>
      </c>
      <c r="N179" s="1">
        <v>491.3</v>
      </c>
      <c r="O179" s="2">
        <f t="shared" si="9"/>
        <v>245.65</v>
      </c>
      <c r="P179" s="1">
        <v>50</v>
      </c>
      <c r="Q179" s="1">
        <v>12.5</v>
      </c>
      <c r="R179" s="1" t="s">
        <v>92</v>
      </c>
      <c r="S179" s="1" t="s">
        <v>818</v>
      </c>
      <c r="T179" s="11" t="s">
        <v>346</v>
      </c>
      <c r="U179" s="1" t="s">
        <v>342</v>
      </c>
      <c r="V179" s="14">
        <v>0.04</v>
      </c>
      <c r="W179" s="1"/>
      <c r="X179" s="1" t="s">
        <v>103</v>
      </c>
      <c r="Y179" s="1" t="s">
        <v>120</v>
      </c>
      <c r="Z179" s="1"/>
    </row>
    <row r="180" spans="1:26" ht="25.2" customHeight="1" x14ac:dyDescent="0.3">
      <c r="A180" s="28" t="s">
        <v>467</v>
      </c>
      <c r="B180" s="28" t="s">
        <v>961</v>
      </c>
      <c r="C180" s="5">
        <v>46135</v>
      </c>
      <c r="D180" s="5">
        <v>46139</v>
      </c>
      <c r="E180" s="3" t="s">
        <v>962</v>
      </c>
      <c r="F180" s="3">
        <v>7</v>
      </c>
      <c r="G180" s="3">
        <v>9000</v>
      </c>
      <c r="H180" s="3">
        <v>41.2</v>
      </c>
      <c r="I180" s="3">
        <v>1398</v>
      </c>
      <c r="J180" s="3">
        <v>2</v>
      </c>
      <c r="K180" s="4">
        <f t="shared" si="8"/>
        <v>41.201716738197426</v>
      </c>
      <c r="L180" s="3"/>
      <c r="M180" s="1">
        <v>108.2</v>
      </c>
      <c r="N180" s="1">
        <v>218</v>
      </c>
      <c r="O180" s="2">
        <f t="shared" si="9"/>
        <v>109</v>
      </c>
      <c r="P180" s="1">
        <v>100</v>
      </c>
      <c r="Q180" s="1">
        <v>11.45</v>
      </c>
      <c r="R180" s="1" t="s">
        <v>92</v>
      </c>
      <c r="S180" s="1" t="s">
        <v>818</v>
      </c>
      <c r="T180" s="11" t="s">
        <v>346</v>
      </c>
      <c r="U180" s="1" t="s">
        <v>342</v>
      </c>
      <c r="V180" s="14">
        <v>0.04</v>
      </c>
      <c r="W180" s="1" t="s">
        <v>678</v>
      </c>
      <c r="X180" s="1"/>
      <c r="Y180" s="1"/>
      <c r="Z180" s="1"/>
    </row>
    <row r="181" spans="1:26" ht="25.2" customHeight="1" x14ac:dyDescent="0.3">
      <c r="A181" s="31" t="s">
        <v>468</v>
      </c>
      <c r="B181" s="31" t="s">
        <v>841</v>
      </c>
      <c r="C181" s="5">
        <v>46140</v>
      </c>
      <c r="D181" s="5">
        <v>46140</v>
      </c>
      <c r="E181" s="3" t="s">
        <v>993</v>
      </c>
      <c r="F181" s="3">
        <v>4</v>
      </c>
      <c r="G181" s="3">
        <v>500</v>
      </c>
      <c r="H181" s="3">
        <v>43.4</v>
      </c>
      <c r="I181" s="3">
        <v>663</v>
      </c>
      <c r="J181" s="3">
        <v>1</v>
      </c>
      <c r="K181" s="4">
        <f t="shared" si="8"/>
        <v>43.438914027149323</v>
      </c>
      <c r="L181" s="3">
        <v>29</v>
      </c>
      <c r="M181" s="1">
        <v>123.8</v>
      </c>
      <c r="N181" s="1">
        <v>124.4</v>
      </c>
      <c r="O181" s="2">
        <f t="shared" si="9"/>
        <v>124.4</v>
      </c>
      <c r="P181" s="1">
        <v>40</v>
      </c>
      <c r="Q181" s="1">
        <v>5.5</v>
      </c>
      <c r="R181" s="1" t="s">
        <v>87</v>
      </c>
      <c r="S181" s="1" t="s">
        <v>818</v>
      </c>
      <c r="T181" s="20" t="s">
        <v>843</v>
      </c>
      <c r="U181" s="1" t="s">
        <v>149</v>
      </c>
      <c r="V181" s="14">
        <v>0.02</v>
      </c>
      <c r="W181" s="1" t="s">
        <v>103</v>
      </c>
      <c r="X181" s="1"/>
      <c r="Y181" s="1"/>
      <c r="Z181" s="1"/>
    </row>
    <row r="182" spans="1:26" ht="25.2" customHeight="1" x14ac:dyDescent="0.3">
      <c r="A182" s="28" t="s">
        <v>469</v>
      </c>
      <c r="B182" s="28" t="s">
        <v>994</v>
      </c>
      <c r="C182" s="5">
        <v>46139</v>
      </c>
      <c r="D182" s="5">
        <v>46141</v>
      </c>
      <c r="E182" s="3" t="s">
        <v>995</v>
      </c>
      <c r="F182" s="3">
        <v>7</v>
      </c>
      <c r="G182" s="3">
        <v>6300</v>
      </c>
      <c r="H182" s="3">
        <v>41.2</v>
      </c>
      <c r="I182" s="3">
        <v>1398</v>
      </c>
      <c r="J182" s="3">
        <v>2</v>
      </c>
      <c r="K182" s="4">
        <f t="shared" si="8"/>
        <v>41.201716738197426</v>
      </c>
      <c r="L182" s="3"/>
      <c r="M182" s="1">
        <v>108.2</v>
      </c>
      <c r="N182" s="1">
        <v>218</v>
      </c>
      <c r="O182" s="2">
        <f t="shared" si="9"/>
        <v>109</v>
      </c>
      <c r="P182" s="1">
        <v>100</v>
      </c>
      <c r="Q182" s="1">
        <v>11.45</v>
      </c>
      <c r="R182" s="1" t="s">
        <v>92</v>
      </c>
      <c r="S182" s="1" t="s">
        <v>818</v>
      </c>
      <c r="T182" s="11" t="s">
        <v>346</v>
      </c>
      <c r="U182" s="1" t="s">
        <v>342</v>
      </c>
      <c r="V182" s="14">
        <v>0.04</v>
      </c>
      <c r="W182" s="1"/>
      <c r="X182" s="1"/>
      <c r="Y182" s="1"/>
      <c r="Z182" s="1"/>
    </row>
    <row r="183" spans="1:26" ht="25.2" customHeight="1" x14ac:dyDescent="0.3">
      <c r="A183" s="28" t="s">
        <v>470</v>
      </c>
      <c r="B183" s="28" t="s">
        <v>1010</v>
      </c>
      <c r="C183" s="5">
        <v>46142</v>
      </c>
      <c r="D183" s="5">
        <v>46146</v>
      </c>
      <c r="E183" s="3" t="s">
        <v>1011</v>
      </c>
      <c r="F183" s="3">
        <v>7</v>
      </c>
      <c r="G183" s="3">
        <v>1717</v>
      </c>
      <c r="H183" s="3">
        <v>42</v>
      </c>
      <c r="I183" s="3">
        <v>685</v>
      </c>
      <c r="J183" s="3">
        <v>1</v>
      </c>
      <c r="K183" s="4">
        <f t="shared" si="8"/>
        <v>42.043795620437955</v>
      </c>
      <c r="L183" s="3">
        <v>62</v>
      </c>
      <c r="M183" s="1">
        <v>131</v>
      </c>
      <c r="N183" s="1">
        <v>131.6</v>
      </c>
      <c r="O183" s="2">
        <f t="shared" si="9"/>
        <v>131.6</v>
      </c>
      <c r="P183" s="1">
        <v>10</v>
      </c>
      <c r="Q183" s="1">
        <v>1.4</v>
      </c>
      <c r="R183" s="1" t="s">
        <v>1012</v>
      </c>
      <c r="S183" s="1" t="s">
        <v>818</v>
      </c>
      <c r="T183" s="17" t="s">
        <v>133</v>
      </c>
      <c r="U183" s="1" t="s">
        <v>1013</v>
      </c>
      <c r="V183" s="14">
        <v>0.02</v>
      </c>
      <c r="W183" s="1"/>
      <c r="X183" s="1" t="s">
        <v>678</v>
      </c>
      <c r="Y183" s="1" t="s">
        <v>120</v>
      </c>
      <c r="Z183" s="1"/>
    </row>
    <row r="184" spans="1:26" ht="25.2" customHeight="1" x14ac:dyDescent="0.3">
      <c r="A184" s="28" t="s">
        <v>471</v>
      </c>
      <c r="B184" s="28" t="s">
        <v>1019</v>
      </c>
      <c r="C184" s="5">
        <v>46146</v>
      </c>
      <c r="D184" s="5">
        <v>46147</v>
      </c>
      <c r="E184" s="3" t="s">
        <v>1020</v>
      </c>
      <c r="F184" s="3">
        <v>7</v>
      </c>
      <c r="G184" s="3">
        <v>1200</v>
      </c>
      <c r="H184" s="3">
        <v>39</v>
      </c>
      <c r="I184" s="3">
        <v>460</v>
      </c>
      <c r="J184" s="3">
        <v>1</v>
      </c>
      <c r="K184" s="4">
        <f t="shared" si="8"/>
        <v>62.608695652173914</v>
      </c>
      <c r="L184" s="3"/>
      <c r="M184" s="1">
        <v>122</v>
      </c>
      <c r="N184" s="1">
        <v>122.5</v>
      </c>
      <c r="O184" s="2">
        <f t="shared" si="9"/>
        <v>122.5</v>
      </c>
      <c r="P184" s="1">
        <v>10</v>
      </c>
      <c r="Q184" s="1">
        <v>1.4</v>
      </c>
      <c r="R184" s="1" t="s">
        <v>1012</v>
      </c>
      <c r="S184" s="1" t="s">
        <v>1017</v>
      </c>
      <c r="T184" s="17" t="s">
        <v>133</v>
      </c>
      <c r="U184" s="1" t="s">
        <v>878</v>
      </c>
      <c r="V184" s="14">
        <v>0.02</v>
      </c>
      <c r="W184" s="1" t="s">
        <v>678</v>
      </c>
      <c r="X184" s="1"/>
      <c r="Y184" s="1"/>
      <c r="Z184" s="1" t="s">
        <v>1021</v>
      </c>
    </row>
    <row r="185" spans="1:26" ht="25.2" customHeight="1" x14ac:dyDescent="0.3">
      <c r="A185" s="28" t="s">
        <v>472</v>
      </c>
      <c r="B185" s="28" t="s">
        <v>1030</v>
      </c>
      <c r="C185" s="5">
        <v>46147</v>
      </c>
      <c r="D185" s="5">
        <v>46155</v>
      </c>
      <c r="E185" s="3" t="s">
        <v>1050</v>
      </c>
      <c r="F185" s="3">
        <v>7</v>
      </c>
      <c r="G185" s="3">
        <v>5040</v>
      </c>
      <c r="H185" s="3">
        <v>59.7</v>
      </c>
      <c r="I185" s="3">
        <v>482</v>
      </c>
      <c r="J185" s="3">
        <v>1</v>
      </c>
      <c r="K185" s="4">
        <f t="shared" si="8"/>
        <v>59.751037344398341</v>
      </c>
      <c r="L185" s="3"/>
      <c r="M185" s="1">
        <v>211.7</v>
      </c>
      <c r="N185" s="1">
        <v>212</v>
      </c>
      <c r="O185" s="2">
        <f t="shared" si="9"/>
        <v>212</v>
      </c>
      <c r="P185" s="1">
        <v>52</v>
      </c>
      <c r="Q185" s="1">
        <v>2.5</v>
      </c>
      <c r="R185" s="1" t="s">
        <v>99</v>
      </c>
      <c r="S185" s="1" t="s">
        <v>1017</v>
      </c>
      <c r="T185" s="20" t="s">
        <v>723</v>
      </c>
      <c r="U185" s="1" t="s">
        <v>878</v>
      </c>
      <c r="V185" s="14">
        <v>0.02</v>
      </c>
      <c r="W185" s="1" t="s">
        <v>103</v>
      </c>
      <c r="X185" s="1"/>
      <c r="Y185" s="1"/>
      <c r="Z185" s="1"/>
    </row>
    <row r="186" spans="1:26" ht="25.2" customHeight="1" x14ac:dyDescent="0.3">
      <c r="A186" s="28" t="s">
        <v>473</v>
      </c>
      <c r="B186" s="28" t="s">
        <v>1056</v>
      </c>
      <c r="C186" s="5">
        <v>46153</v>
      </c>
      <c r="D186" s="5">
        <v>46154</v>
      </c>
      <c r="E186" s="3" t="s">
        <v>1057</v>
      </c>
      <c r="F186" s="3">
        <v>8</v>
      </c>
      <c r="G186" s="3">
        <v>1740</v>
      </c>
      <c r="H186" s="3">
        <v>54.8</v>
      </c>
      <c r="I186" s="3">
        <v>1050</v>
      </c>
      <c r="J186" s="3">
        <v>2</v>
      </c>
      <c r="K186" s="4">
        <f t="shared" si="8"/>
        <v>54.857142857142854</v>
      </c>
      <c r="L186" s="3"/>
      <c r="M186" s="1">
        <v>110</v>
      </c>
      <c r="N186" s="1">
        <v>220.3</v>
      </c>
      <c r="O186" s="2">
        <f t="shared" si="9"/>
        <v>110.15</v>
      </c>
      <c r="P186" s="1">
        <v>60</v>
      </c>
      <c r="Q186" s="1">
        <v>7.1</v>
      </c>
      <c r="R186" s="1" t="s">
        <v>92</v>
      </c>
      <c r="S186" s="1" t="s">
        <v>1017</v>
      </c>
      <c r="T186" s="11" t="s">
        <v>1058</v>
      </c>
      <c r="U186" s="1" t="s">
        <v>177</v>
      </c>
      <c r="V186" s="14">
        <v>0.04</v>
      </c>
      <c r="W186" s="1" t="s">
        <v>103</v>
      </c>
      <c r="X186" s="1"/>
      <c r="Y186" s="1"/>
      <c r="Z186" s="1"/>
    </row>
    <row r="187" spans="1:26" ht="25.2" customHeight="1" x14ac:dyDescent="0.3">
      <c r="A187" s="28" t="s">
        <v>474</v>
      </c>
      <c r="B187" s="28" t="s">
        <v>1059</v>
      </c>
      <c r="C187" s="5">
        <v>46153</v>
      </c>
      <c r="D187" s="5">
        <v>46154</v>
      </c>
      <c r="E187" s="3" t="s">
        <v>1060</v>
      </c>
      <c r="F187" s="3">
        <v>3</v>
      </c>
      <c r="G187" s="3">
        <v>1726</v>
      </c>
      <c r="H187" s="3">
        <v>56.5</v>
      </c>
      <c r="I187" s="3">
        <v>1020</v>
      </c>
      <c r="J187" s="3">
        <v>2</v>
      </c>
      <c r="K187" s="4">
        <f t="shared" si="8"/>
        <v>56.470588235294116</v>
      </c>
      <c r="L187" s="3">
        <v>210</v>
      </c>
      <c r="M187" s="1">
        <v>55.2</v>
      </c>
      <c r="N187" s="1">
        <v>111.2</v>
      </c>
      <c r="O187" s="2">
        <f t="shared" si="9"/>
        <v>55.6</v>
      </c>
      <c r="P187" s="1">
        <v>120</v>
      </c>
      <c r="Q187" s="1">
        <v>6.85</v>
      </c>
      <c r="R187" s="1" t="s">
        <v>87</v>
      </c>
      <c r="S187" s="1" t="s">
        <v>1017</v>
      </c>
      <c r="T187" s="20" t="s">
        <v>768</v>
      </c>
      <c r="U187" s="1" t="s">
        <v>207</v>
      </c>
      <c r="V187" s="14">
        <v>0.02</v>
      </c>
      <c r="W187" s="1" t="s">
        <v>103</v>
      </c>
      <c r="X187" s="1" t="s">
        <v>94</v>
      </c>
      <c r="Y187" s="1"/>
      <c r="Z187" s="1"/>
    </row>
    <row r="188" spans="1:26" ht="25.2" customHeight="1" x14ac:dyDescent="0.3">
      <c r="A188" s="28" t="s">
        <v>475</v>
      </c>
      <c r="B188" s="28" t="s">
        <v>1064</v>
      </c>
      <c r="C188" s="5">
        <v>46154</v>
      </c>
      <c r="D188" s="5">
        <v>46160</v>
      </c>
      <c r="E188" s="3" t="s">
        <v>1061</v>
      </c>
      <c r="F188" s="3">
        <v>3</v>
      </c>
      <c r="G188" s="3">
        <v>7080</v>
      </c>
      <c r="H188" s="3">
        <v>56.5</v>
      </c>
      <c r="I188" s="3">
        <v>1020</v>
      </c>
      <c r="J188" s="3">
        <v>2</v>
      </c>
      <c r="K188" s="4">
        <f t="shared" ref="K188:K251" si="15">(3600/(I188/8))*J188</f>
        <v>56.470588235294116</v>
      </c>
      <c r="L188" s="3"/>
      <c r="M188" s="1">
        <v>55.4</v>
      </c>
      <c r="N188" s="1">
        <v>111.4</v>
      </c>
      <c r="O188" s="2">
        <f t="shared" ref="O188:O251" si="16">N188/J188</f>
        <v>55.7</v>
      </c>
      <c r="P188" s="1">
        <v>120</v>
      </c>
      <c r="Q188" s="1">
        <v>6.85</v>
      </c>
      <c r="R188" s="1" t="s">
        <v>87</v>
      </c>
      <c r="S188" s="1" t="s">
        <v>1045</v>
      </c>
      <c r="T188" s="20" t="s">
        <v>1062</v>
      </c>
      <c r="U188" s="1" t="s">
        <v>1063</v>
      </c>
      <c r="V188" s="14">
        <v>0.02</v>
      </c>
      <c r="W188" s="1" t="s">
        <v>94</v>
      </c>
      <c r="X188" s="1"/>
      <c r="Y188" s="1"/>
      <c r="Z188" s="1"/>
    </row>
    <row r="189" spans="1:26" ht="25.2" customHeight="1" x14ac:dyDescent="0.3">
      <c r="A189" s="28" t="s">
        <v>476</v>
      </c>
      <c r="B189" s="28" t="s">
        <v>1065</v>
      </c>
      <c r="C189" s="5">
        <v>46154</v>
      </c>
      <c r="D189" s="5">
        <v>46160</v>
      </c>
      <c r="E189" s="3" t="s">
        <v>1066</v>
      </c>
      <c r="F189" s="3">
        <v>8</v>
      </c>
      <c r="G189" s="3">
        <v>6912</v>
      </c>
      <c r="H189" s="3">
        <v>58.6</v>
      </c>
      <c r="I189" s="3">
        <v>984</v>
      </c>
      <c r="J189" s="3">
        <v>2</v>
      </c>
      <c r="K189" s="4">
        <f t="shared" si="15"/>
        <v>58.536585365853661</v>
      </c>
      <c r="L189" s="3"/>
      <c r="M189" s="1">
        <v>66.7</v>
      </c>
      <c r="N189" s="1">
        <v>138</v>
      </c>
      <c r="O189" s="2">
        <f t="shared" si="16"/>
        <v>69</v>
      </c>
      <c r="P189" s="1">
        <v>140</v>
      </c>
      <c r="Q189" s="1">
        <v>10</v>
      </c>
      <c r="R189" s="1" t="s">
        <v>92</v>
      </c>
      <c r="S189" s="1" t="s">
        <v>1017</v>
      </c>
      <c r="T189" s="17" t="s">
        <v>133</v>
      </c>
      <c r="U189" s="1" t="s">
        <v>1067</v>
      </c>
      <c r="V189" s="14">
        <v>0.03</v>
      </c>
      <c r="W189" s="1" t="s">
        <v>1068</v>
      </c>
      <c r="X189" s="1"/>
      <c r="Y189" s="1"/>
      <c r="Z189" s="1"/>
    </row>
    <row r="190" spans="1:26" ht="25.2" customHeight="1" x14ac:dyDescent="0.3">
      <c r="A190" s="28" t="s">
        <v>477</v>
      </c>
      <c r="B190" s="28" t="s">
        <v>1074</v>
      </c>
      <c r="C190" s="5">
        <v>46155</v>
      </c>
      <c r="D190" s="5">
        <v>46156</v>
      </c>
      <c r="E190" s="3" t="s">
        <v>1070</v>
      </c>
      <c r="F190" s="3">
        <v>7</v>
      </c>
      <c r="G190" s="3">
        <v>1010</v>
      </c>
      <c r="H190" s="3">
        <v>59.6</v>
      </c>
      <c r="I190" s="3">
        <v>362</v>
      </c>
      <c r="J190" s="3">
        <v>1</v>
      </c>
      <c r="K190" s="4">
        <f t="shared" si="15"/>
        <v>79.55801104972376</v>
      </c>
      <c r="L190" s="3">
        <v>28</v>
      </c>
      <c r="M190" s="1">
        <v>211.7</v>
      </c>
      <c r="N190" s="1">
        <v>112</v>
      </c>
      <c r="O190" s="2">
        <f t="shared" si="16"/>
        <v>112</v>
      </c>
      <c r="P190" s="1">
        <v>52</v>
      </c>
      <c r="Q190" s="1">
        <v>12</v>
      </c>
      <c r="R190" s="1" t="s">
        <v>99</v>
      </c>
      <c r="S190" s="1" t="s">
        <v>1017</v>
      </c>
      <c r="T190" s="20" t="s">
        <v>1069</v>
      </c>
      <c r="U190" s="1" t="s">
        <v>925</v>
      </c>
      <c r="V190" s="14">
        <v>0.02</v>
      </c>
      <c r="W190" s="1" t="s">
        <v>103</v>
      </c>
      <c r="X190" s="1"/>
      <c r="Y190" s="1"/>
      <c r="Z190" s="1"/>
    </row>
    <row r="191" spans="1:26" ht="25.2" customHeight="1" x14ac:dyDescent="0.3">
      <c r="A191" s="28" t="s">
        <v>478</v>
      </c>
      <c r="B191" s="28" t="s">
        <v>212</v>
      </c>
      <c r="C191" s="5">
        <v>46156</v>
      </c>
      <c r="D191" s="5">
        <v>46157</v>
      </c>
      <c r="E191" s="3" t="s">
        <v>1070</v>
      </c>
      <c r="F191" s="3">
        <v>7</v>
      </c>
      <c r="G191" s="3">
        <v>1008</v>
      </c>
      <c r="H191" s="3">
        <v>60.7</v>
      </c>
      <c r="I191" s="3">
        <v>948</v>
      </c>
      <c r="J191" s="3">
        <v>1</v>
      </c>
      <c r="K191" s="4">
        <f t="shared" si="15"/>
        <v>30.379746835443036</v>
      </c>
      <c r="L191" s="3">
        <v>44</v>
      </c>
      <c r="M191" s="1">
        <v>213.2</v>
      </c>
      <c r="N191" s="1">
        <v>213.6</v>
      </c>
      <c r="O191" s="2">
        <f t="shared" si="16"/>
        <v>213.6</v>
      </c>
      <c r="P191" s="1">
        <v>52</v>
      </c>
      <c r="Q191" s="1">
        <v>12</v>
      </c>
      <c r="R191" s="1" t="s">
        <v>99</v>
      </c>
      <c r="S191" s="1" t="s">
        <v>1045</v>
      </c>
      <c r="T191" s="20" t="s">
        <v>723</v>
      </c>
      <c r="U191" s="1" t="s">
        <v>134</v>
      </c>
      <c r="V191" s="14">
        <v>0.02</v>
      </c>
      <c r="W191" s="1"/>
      <c r="X191" s="1"/>
      <c r="Y191" s="1"/>
      <c r="Z191" s="1"/>
    </row>
    <row r="192" spans="1:26" ht="25.2" customHeight="1" x14ac:dyDescent="0.3">
      <c r="A192" s="28" t="s">
        <v>479</v>
      </c>
      <c r="B192" s="28" t="s">
        <v>1090</v>
      </c>
      <c r="C192" s="5">
        <v>46157</v>
      </c>
      <c r="D192" s="5">
        <v>46160</v>
      </c>
      <c r="E192" s="3" t="s">
        <v>1070</v>
      </c>
      <c r="F192" s="3">
        <v>7</v>
      </c>
      <c r="G192" s="3">
        <v>500</v>
      </c>
      <c r="H192" s="3">
        <v>60.7</v>
      </c>
      <c r="I192" s="3">
        <v>948</v>
      </c>
      <c r="J192" s="3">
        <v>1</v>
      </c>
      <c r="K192" s="4">
        <f t="shared" si="15"/>
        <v>30.379746835443036</v>
      </c>
      <c r="L192" s="3"/>
      <c r="M192" s="1">
        <v>212</v>
      </c>
      <c r="N192" s="1">
        <v>212.3</v>
      </c>
      <c r="O192" s="2">
        <f t="shared" si="16"/>
        <v>212.3</v>
      </c>
      <c r="P192" s="1">
        <v>52</v>
      </c>
      <c r="Q192" s="1">
        <v>12</v>
      </c>
      <c r="R192" s="1" t="s">
        <v>99</v>
      </c>
      <c r="S192" s="1" t="s">
        <v>1017</v>
      </c>
      <c r="T192" s="20" t="s">
        <v>723</v>
      </c>
      <c r="U192" s="1" t="s">
        <v>878</v>
      </c>
      <c r="V192" s="14">
        <v>0.02</v>
      </c>
      <c r="W192" s="1"/>
      <c r="X192" s="1"/>
      <c r="Y192" s="1"/>
      <c r="Z192" s="1"/>
    </row>
    <row r="193" spans="1:26" ht="25.2" customHeight="1" x14ac:dyDescent="0.3">
      <c r="A193" s="28" t="s">
        <v>480</v>
      </c>
      <c r="B193" s="28" t="s">
        <v>200</v>
      </c>
      <c r="C193" s="5">
        <v>46160</v>
      </c>
      <c r="D193" s="5">
        <v>46161</v>
      </c>
      <c r="E193" s="3" t="s">
        <v>1070</v>
      </c>
      <c r="F193" s="3">
        <v>7</v>
      </c>
      <c r="G193" s="3">
        <v>500</v>
      </c>
      <c r="H193" s="3">
        <v>60.7</v>
      </c>
      <c r="I193" s="3">
        <v>948</v>
      </c>
      <c r="J193" s="3">
        <v>1</v>
      </c>
      <c r="K193" s="4">
        <f t="shared" si="15"/>
        <v>30.379746835443036</v>
      </c>
      <c r="L193" s="3"/>
      <c r="M193" s="1">
        <v>212.2</v>
      </c>
      <c r="N193" s="1">
        <v>212.8</v>
      </c>
      <c r="O193" s="2">
        <f t="shared" si="16"/>
        <v>212.8</v>
      </c>
      <c r="P193" s="1">
        <v>52</v>
      </c>
      <c r="Q193" s="1">
        <v>12</v>
      </c>
      <c r="R193" s="1" t="s">
        <v>99</v>
      </c>
      <c r="S193" s="1" t="s">
        <v>1091</v>
      </c>
      <c r="T193" s="20" t="s">
        <v>723</v>
      </c>
      <c r="U193" s="1" t="s">
        <v>184</v>
      </c>
      <c r="V193" s="14">
        <v>0.02</v>
      </c>
      <c r="W193" s="1"/>
      <c r="X193" s="1"/>
      <c r="Y193" s="1"/>
      <c r="Z193" s="1"/>
    </row>
    <row r="194" spans="1:26" ht="25.2" customHeight="1" x14ac:dyDescent="0.3">
      <c r="A194" s="28" t="s">
        <v>481</v>
      </c>
      <c r="B194" s="28" t="s">
        <v>1093</v>
      </c>
      <c r="C194" s="5">
        <v>46161</v>
      </c>
      <c r="D194" s="5">
        <v>46161</v>
      </c>
      <c r="E194" s="3" t="s">
        <v>1070</v>
      </c>
      <c r="F194" s="3">
        <v>7</v>
      </c>
      <c r="G194" s="3">
        <v>516</v>
      </c>
      <c r="H194" s="3">
        <v>60.7</v>
      </c>
      <c r="I194" s="3">
        <v>948</v>
      </c>
      <c r="J194" s="3">
        <v>1</v>
      </c>
      <c r="K194" s="4">
        <f t="shared" si="15"/>
        <v>30.379746835443036</v>
      </c>
      <c r="L194" s="3"/>
      <c r="M194" s="1">
        <v>219.2</v>
      </c>
      <c r="N194" s="1">
        <v>212.9</v>
      </c>
      <c r="O194" s="2">
        <f t="shared" si="16"/>
        <v>212.9</v>
      </c>
      <c r="P194" s="1">
        <v>52</v>
      </c>
      <c r="Q194" s="1">
        <v>12</v>
      </c>
      <c r="R194" s="1" t="s">
        <v>99</v>
      </c>
      <c r="S194" s="1" t="s">
        <v>1094</v>
      </c>
      <c r="T194" s="20" t="s">
        <v>723</v>
      </c>
      <c r="U194" s="1" t="s">
        <v>208</v>
      </c>
      <c r="V194" s="14">
        <v>0.02</v>
      </c>
      <c r="W194" s="1"/>
      <c r="X194" s="1"/>
      <c r="Y194" s="1"/>
      <c r="Z194" s="1"/>
    </row>
    <row r="195" spans="1:26" ht="25.2" customHeight="1" x14ac:dyDescent="0.3">
      <c r="A195" s="28" t="s">
        <v>482</v>
      </c>
      <c r="B195" s="28" t="s">
        <v>210</v>
      </c>
      <c r="C195" s="5">
        <v>46162</v>
      </c>
      <c r="D195" s="5">
        <v>46162</v>
      </c>
      <c r="E195" s="3" t="s">
        <v>1070</v>
      </c>
      <c r="F195" s="3">
        <v>7</v>
      </c>
      <c r="G195" s="3">
        <v>520</v>
      </c>
      <c r="H195" s="3">
        <v>60.7</v>
      </c>
      <c r="I195" s="3">
        <v>948</v>
      </c>
      <c r="J195" s="3">
        <v>1</v>
      </c>
      <c r="K195" s="4">
        <f t="shared" si="15"/>
        <v>30.379746835443036</v>
      </c>
      <c r="L195" s="3"/>
      <c r="M195" s="1">
        <v>214.3</v>
      </c>
      <c r="N195" s="1">
        <v>214.9</v>
      </c>
      <c r="O195" s="2">
        <f t="shared" si="16"/>
        <v>214.9</v>
      </c>
      <c r="P195" s="1">
        <v>52</v>
      </c>
      <c r="Q195" s="1">
        <v>12</v>
      </c>
      <c r="R195" s="1" t="s">
        <v>99</v>
      </c>
      <c r="S195" s="1" t="s">
        <v>1095</v>
      </c>
      <c r="T195" s="20" t="s">
        <v>723</v>
      </c>
      <c r="U195" s="1" t="s">
        <v>211</v>
      </c>
      <c r="V195" s="14">
        <v>0.02</v>
      </c>
      <c r="W195" s="1"/>
      <c r="X195" s="1"/>
      <c r="Y195" s="1"/>
      <c r="Z195" s="1"/>
    </row>
    <row r="196" spans="1:26" ht="25.2" customHeight="1" x14ac:dyDescent="0.3">
      <c r="A196" s="28" t="s">
        <v>483</v>
      </c>
      <c r="B196" s="28" t="s">
        <v>1081</v>
      </c>
      <c r="C196" s="5">
        <v>46160</v>
      </c>
      <c r="D196" s="5">
        <v>46169</v>
      </c>
      <c r="E196" s="3" t="s">
        <v>1082</v>
      </c>
      <c r="F196" s="3">
        <v>3</v>
      </c>
      <c r="G196" s="3">
        <v>9918</v>
      </c>
      <c r="H196" s="3">
        <v>48.7</v>
      </c>
      <c r="I196" s="3">
        <v>590</v>
      </c>
      <c r="J196" s="3">
        <v>1</v>
      </c>
      <c r="K196" s="4">
        <f t="shared" ref="K196:K198" si="17">(3600/(I196/8))*J196</f>
        <v>48.813559322033896</v>
      </c>
      <c r="L196" s="3"/>
      <c r="M196" s="1">
        <v>129.19999999999999</v>
      </c>
      <c r="N196" s="1">
        <v>129.80000000000001</v>
      </c>
      <c r="O196" s="2">
        <f t="shared" ref="O196:O198" si="18">N196/J196</f>
        <v>129.80000000000001</v>
      </c>
      <c r="P196" s="1">
        <v>38</v>
      </c>
      <c r="Q196" s="1"/>
      <c r="R196" s="1" t="s">
        <v>87</v>
      </c>
      <c r="S196" s="1" t="s">
        <v>1017</v>
      </c>
      <c r="T196" s="17" t="s">
        <v>133</v>
      </c>
      <c r="U196" s="1" t="s">
        <v>878</v>
      </c>
      <c r="V196" s="14">
        <v>0.02</v>
      </c>
      <c r="W196" s="1" t="s">
        <v>103</v>
      </c>
      <c r="X196" s="1"/>
      <c r="Y196" s="1"/>
      <c r="Z196" s="1"/>
    </row>
    <row r="197" spans="1:26" ht="25.2" customHeight="1" x14ac:dyDescent="0.3">
      <c r="A197" s="28" t="s">
        <v>484</v>
      </c>
      <c r="B197" s="28" t="s">
        <v>1084</v>
      </c>
      <c r="C197" s="5">
        <v>46160</v>
      </c>
      <c r="D197" s="5">
        <v>46160</v>
      </c>
      <c r="E197" s="3" t="s">
        <v>1083</v>
      </c>
      <c r="F197" s="3">
        <v>8</v>
      </c>
      <c r="G197" s="3">
        <v>800</v>
      </c>
      <c r="H197" s="3">
        <v>58.6</v>
      </c>
      <c r="I197" s="3">
        <v>982</v>
      </c>
      <c r="J197" s="3">
        <v>2</v>
      </c>
      <c r="K197" s="4">
        <f t="shared" si="17"/>
        <v>58.655804480651732</v>
      </c>
      <c r="L197" s="3"/>
      <c r="M197" s="1">
        <v>66.7</v>
      </c>
      <c r="N197" s="1">
        <v>138</v>
      </c>
      <c r="O197" s="2">
        <f t="shared" si="18"/>
        <v>69</v>
      </c>
      <c r="P197" s="1">
        <v>140</v>
      </c>
      <c r="Q197" s="1">
        <v>10</v>
      </c>
      <c r="R197" s="1" t="s">
        <v>92</v>
      </c>
      <c r="S197" s="1" t="s">
        <v>1017</v>
      </c>
      <c r="T197" s="17" t="s">
        <v>133</v>
      </c>
      <c r="U197" s="1" t="s">
        <v>1067</v>
      </c>
      <c r="V197" s="14">
        <v>0.03</v>
      </c>
      <c r="W197" s="1" t="s">
        <v>103</v>
      </c>
      <c r="X197" s="1"/>
      <c r="Y197" s="1"/>
      <c r="Z197" s="1"/>
    </row>
    <row r="198" spans="1:26" ht="25.2" customHeight="1" x14ac:dyDescent="0.3">
      <c r="A198" s="28" t="s">
        <v>485</v>
      </c>
      <c r="B198" s="28" t="s">
        <v>1085</v>
      </c>
      <c r="C198" s="5">
        <v>46160</v>
      </c>
      <c r="D198" s="5">
        <v>46161</v>
      </c>
      <c r="E198" s="3" t="s">
        <v>1083</v>
      </c>
      <c r="F198" s="3">
        <v>8</v>
      </c>
      <c r="G198" s="3">
        <v>822</v>
      </c>
      <c r="H198" s="3">
        <v>58.6</v>
      </c>
      <c r="I198" s="3">
        <v>982</v>
      </c>
      <c r="J198" s="3">
        <v>2</v>
      </c>
      <c r="K198" s="4">
        <f t="shared" si="17"/>
        <v>58.655804480651732</v>
      </c>
      <c r="L198" s="3"/>
      <c r="M198" s="1">
        <v>66.7</v>
      </c>
      <c r="N198" s="1">
        <v>137.80000000000001</v>
      </c>
      <c r="O198" s="2">
        <f t="shared" si="18"/>
        <v>68.900000000000006</v>
      </c>
      <c r="P198" s="1">
        <v>140</v>
      </c>
      <c r="Q198" s="1">
        <v>10</v>
      </c>
      <c r="R198" s="1" t="s">
        <v>92</v>
      </c>
      <c r="S198" s="1" t="s">
        <v>1045</v>
      </c>
      <c r="T198" s="17" t="s">
        <v>133</v>
      </c>
      <c r="U198" s="1" t="s">
        <v>1086</v>
      </c>
      <c r="V198" s="14">
        <v>0.03</v>
      </c>
      <c r="W198" s="1"/>
      <c r="X198" s="1"/>
      <c r="Y198" s="1"/>
      <c r="Z198" s="1"/>
    </row>
    <row r="199" spans="1:26" ht="25.2" customHeight="1" x14ac:dyDescent="0.3">
      <c r="A199" s="28" t="s">
        <v>486</v>
      </c>
      <c r="B199" s="28" t="s">
        <v>1092</v>
      </c>
      <c r="C199" s="5">
        <v>46161</v>
      </c>
      <c r="D199" s="5">
        <v>46161</v>
      </c>
      <c r="E199" s="3" t="s">
        <v>1083</v>
      </c>
      <c r="F199" s="3">
        <v>8</v>
      </c>
      <c r="G199" s="3">
        <v>755</v>
      </c>
      <c r="H199" s="3">
        <v>64.3</v>
      </c>
      <c r="I199" s="3">
        <v>895</v>
      </c>
      <c r="J199" s="3">
        <v>2</v>
      </c>
      <c r="K199" s="4">
        <f t="shared" si="15"/>
        <v>64.357541899441344</v>
      </c>
      <c r="L199" s="3"/>
      <c r="M199" s="1">
        <v>67.599999999999994</v>
      </c>
      <c r="N199" s="1">
        <v>138.5</v>
      </c>
      <c r="O199" s="2">
        <f t="shared" si="16"/>
        <v>69.25</v>
      </c>
      <c r="P199" s="1">
        <v>140</v>
      </c>
      <c r="Q199" s="1">
        <v>10</v>
      </c>
      <c r="R199" s="1" t="s">
        <v>92</v>
      </c>
      <c r="S199" s="1" t="s">
        <v>1091</v>
      </c>
      <c r="T199" s="17" t="s">
        <v>133</v>
      </c>
      <c r="U199" s="1" t="s">
        <v>1096</v>
      </c>
      <c r="V199" s="14">
        <v>0.03</v>
      </c>
      <c r="W199" s="1"/>
      <c r="X199" s="1" t="s">
        <v>94</v>
      </c>
      <c r="Y199" s="1"/>
      <c r="Z199" s="1"/>
    </row>
    <row r="200" spans="1:26" ht="25.2" customHeight="1" x14ac:dyDescent="0.3">
      <c r="A200" s="28" t="s">
        <v>487</v>
      </c>
      <c r="B200" s="28" t="s">
        <v>1101</v>
      </c>
      <c r="C200" s="5">
        <v>46162</v>
      </c>
      <c r="D200" s="5">
        <v>46162</v>
      </c>
      <c r="E200" s="3" t="s">
        <v>1097</v>
      </c>
      <c r="F200" s="3">
        <v>8</v>
      </c>
      <c r="G200" s="3">
        <v>802</v>
      </c>
      <c r="H200" s="3">
        <v>37.5</v>
      </c>
      <c r="I200" s="3">
        <v>1540</v>
      </c>
      <c r="J200" s="3">
        <v>2</v>
      </c>
      <c r="K200" s="4">
        <f t="shared" si="15"/>
        <v>37.402597402597401</v>
      </c>
      <c r="L200" s="3">
        <v>64</v>
      </c>
      <c r="M200" s="1">
        <v>74.2</v>
      </c>
      <c r="N200" s="1">
        <v>152.5</v>
      </c>
      <c r="O200" s="2">
        <f t="shared" si="16"/>
        <v>76.25</v>
      </c>
      <c r="P200" s="1">
        <v>140</v>
      </c>
      <c r="Q200" s="1">
        <v>11</v>
      </c>
      <c r="R200" s="1" t="s">
        <v>92</v>
      </c>
      <c r="S200" s="1" t="s">
        <v>1017</v>
      </c>
      <c r="T200" s="17" t="s">
        <v>1098</v>
      </c>
      <c r="U200" s="1" t="s">
        <v>334</v>
      </c>
      <c r="V200" s="27" t="s">
        <v>1099</v>
      </c>
      <c r="W200" s="1" t="s">
        <v>94</v>
      </c>
      <c r="X200" s="1"/>
      <c r="Y200" s="1"/>
      <c r="Z200" s="1"/>
    </row>
    <row r="201" spans="1:26" ht="25.2" customHeight="1" x14ac:dyDescent="0.3">
      <c r="A201" s="28" t="s">
        <v>488</v>
      </c>
      <c r="B201" s="28" t="s">
        <v>1100</v>
      </c>
      <c r="C201" s="5">
        <v>46162</v>
      </c>
      <c r="D201" s="5">
        <v>46162</v>
      </c>
      <c r="E201" s="3" t="s">
        <v>1097</v>
      </c>
      <c r="F201" s="3">
        <v>8</v>
      </c>
      <c r="G201" s="3">
        <v>1010</v>
      </c>
      <c r="H201" s="3">
        <v>37.5</v>
      </c>
      <c r="I201" s="3">
        <v>1540</v>
      </c>
      <c r="J201" s="3">
        <v>2</v>
      </c>
      <c r="K201" s="4">
        <f t="shared" si="15"/>
        <v>37.402597402597401</v>
      </c>
      <c r="L201" s="3">
        <v>40</v>
      </c>
      <c r="M201" s="1">
        <v>73.2</v>
      </c>
      <c r="N201" s="1">
        <v>151.19999999999999</v>
      </c>
      <c r="O201" s="2">
        <f t="shared" si="16"/>
        <v>75.599999999999994</v>
      </c>
      <c r="P201" s="1">
        <v>140</v>
      </c>
      <c r="Q201" s="1">
        <v>11</v>
      </c>
      <c r="R201" s="1" t="s">
        <v>92</v>
      </c>
      <c r="S201" s="1" t="s">
        <v>1045</v>
      </c>
      <c r="T201" s="17" t="s">
        <v>1098</v>
      </c>
      <c r="U201" s="1" t="s">
        <v>652</v>
      </c>
      <c r="V201" s="14">
        <v>0.03</v>
      </c>
      <c r="W201" s="1"/>
      <c r="X201" s="1"/>
      <c r="Y201" s="1"/>
      <c r="Z201" s="1"/>
    </row>
    <row r="202" spans="1:26" ht="25.2" customHeight="1" x14ac:dyDescent="0.3">
      <c r="A202" s="28" t="s">
        <v>489</v>
      </c>
      <c r="B202" s="28" t="s">
        <v>1111</v>
      </c>
      <c r="C202" s="5">
        <v>46162</v>
      </c>
      <c r="D202" s="5">
        <v>46162</v>
      </c>
      <c r="E202" s="3" t="s">
        <v>1097</v>
      </c>
      <c r="F202" s="3">
        <v>8</v>
      </c>
      <c r="G202" s="3">
        <v>600</v>
      </c>
      <c r="H202" s="3">
        <v>37.5</v>
      </c>
      <c r="I202" s="3">
        <v>1540</v>
      </c>
      <c r="J202" s="3">
        <v>2</v>
      </c>
      <c r="K202" s="4">
        <f t="shared" si="15"/>
        <v>37.402597402597401</v>
      </c>
      <c r="L202" s="3"/>
      <c r="M202" s="1">
        <v>73.2</v>
      </c>
      <c r="N202" s="1">
        <v>151.19999999999999</v>
      </c>
      <c r="O202" s="2">
        <f t="shared" si="16"/>
        <v>75.599999999999994</v>
      </c>
      <c r="P202" s="1">
        <v>140</v>
      </c>
      <c r="Q202" s="1">
        <v>11</v>
      </c>
      <c r="R202" s="1" t="s">
        <v>92</v>
      </c>
      <c r="S202" s="1" t="s">
        <v>1091</v>
      </c>
      <c r="T202" s="17" t="s">
        <v>1098</v>
      </c>
      <c r="U202" s="1" t="s">
        <v>647</v>
      </c>
      <c r="V202" s="14">
        <v>0.03</v>
      </c>
      <c r="W202" s="1"/>
      <c r="X202" s="1"/>
      <c r="Y202" s="1"/>
      <c r="Z202" s="1"/>
    </row>
    <row r="203" spans="1:26" ht="25.2" customHeight="1" x14ac:dyDescent="0.3">
      <c r="A203" s="28" t="s">
        <v>490</v>
      </c>
      <c r="B203" s="28" t="s">
        <v>1112</v>
      </c>
      <c r="C203" s="5">
        <v>46163</v>
      </c>
      <c r="D203" s="5">
        <v>46163</v>
      </c>
      <c r="E203" s="3" t="s">
        <v>1097</v>
      </c>
      <c r="F203" s="3">
        <v>8</v>
      </c>
      <c r="G203" s="3">
        <v>1005</v>
      </c>
      <c r="H203" s="3">
        <v>37.5</v>
      </c>
      <c r="I203" s="3">
        <v>1540</v>
      </c>
      <c r="J203" s="3">
        <v>2</v>
      </c>
      <c r="K203" s="4">
        <f t="shared" si="15"/>
        <v>37.402597402597401</v>
      </c>
      <c r="L203" s="3"/>
      <c r="M203" s="1">
        <v>73.5</v>
      </c>
      <c r="N203" s="1">
        <v>150.9</v>
      </c>
      <c r="O203" s="2">
        <f t="shared" si="16"/>
        <v>75.45</v>
      </c>
      <c r="P203" s="1">
        <v>140</v>
      </c>
      <c r="Q203" s="1">
        <v>11</v>
      </c>
      <c r="R203" s="1" t="s">
        <v>92</v>
      </c>
      <c r="S203" s="1" t="s">
        <v>1094</v>
      </c>
      <c r="T203" s="17" t="s">
        <v>1098</v>
      </c>
      <c r="U203" s="1" t="s">
        <v>344</v>
      </c>
      <c r="V203" s="14">
        <v>0.03</v>
      </c>
      <c r="W203" s="1"/>
      <c r="X203" s="1"/>
      <c r="Y203" s="1"/>
      <c r="Z203" s="1"/>
    </row>
    <row r="204" spans="1:26" ht="25.2" customHeight="1" x14ac:dyDescent="0.3">
      <c r="A204" s="28" t="s">
        <v>491</v>
      </c>
      <c r="B204" s="28" t="s">
        <v>1118</v>
      </c>
      <c r="C204" s="5">
        <v>46164</v>
      </c>
      <c r="D204" s="5">
        <v>46164</v>
      </c>
      <c r="E204" s="3" t="s">
        <v>1097</v>
      </c>
      <c r="F204" s="3">
        <v>8</v>
      </c>
      <c r="G204" s="3">
        <v>1018</v>
      </c>
      <c r="H204" s="3">
        <v>38.799999999999997</v>
      </c>
      <c r="I204" s="3">
        <v>1484</v>
      </c>
      <c r="J204" s="3">
        <v>2</v>
      </c>
      <c r="K204" s="4">
        <f t="shared" si="15"/>
        <v>38.81401617250674</v>
      </c>
      <c r="L204" s="3"/>
      <c r="M204" s="1">
        <v>73.5</v>
      </c>
      <c r="N204" s="1">
        <v>150.9</v>
      </c>
      <c r="O204" s="2">
        <f t="shared" si="16"/>
        <v>75.45</v>
      </c>
      <c r="P204" s="1">
        <v>140</v>
      </c>
      <c r="Q204" s="1">
        <v>11</v>
      </c>
      <c r="R204" s="1" t="s">
        <v>92</v>
      </c>
      <c r="S204" s="1" t="s">
        <v>1095</v>
      </c>
      <c r="T204" s="17" t="s">
        <v>1098</v>
      </c>
      <c r="U204" s="1" t="s">
        <v>342</v>
      </c>
      <c r="V204" s="14">
        <v>0.05</v>
      </c>
      <c r="W204" s="1"/>
      <c r="X204" s="1" t="s">
        <v>678</v>
      </c>
      <c r="Y204" s="1" t="s">
        <v>151</v>
      </c>
      <c r="Z204" s="1"/>
    </row>
    <row r="205" spans="1:26" ht="25.2" customHeight="1" x14ac:dyDescent="0.3">
      <c r="A205" s="3" t="s">
        <v>492</v>
      </c>
      <c r="B205" s="3" t="s">
        <v>1132</v>
      </c>
      <c r="C205" s="5">
        <v>46169</v>
      </c>
      <c r="D205" s="5">
        <v>46170</v>
      </c>
      <c r="E205" s="3" t="s">
        <v>1151</v>
      </c>
      <c r="F205" s="3">
        <v>8</v>
      </c>
      <c r="G205" s="3">
        <v>1010</v>
      </c>
      <c r="H205" s="3">
        <v>45.7</v>
      </c>
      <c r="I205" s="3">
        <v>630</v>
      </c>
      <c r="J205" s="3">
        <v>1</v>
      </c>
      <c r="K205" s="4">
        <f t="shared" si="15"/>
        <v>45.714285714285715</v>
      </c>
      <c r="L205" s="3"/>
      <c r="M205" s="1">
        <v>398.7</v>
      </c>
      <c r="N205" s="1">
        <v>400</v>
      </c>
      <c r="O205" s="2">
        <f t="shared" si="16"/>
        <v>400</v>
      </c>
      <c r="P205" s="1">
        <v>20</v>
      </c>
      <c r="Q205" s="1">
        <v>8.1999999999999993</v>
      </c>
      <c r="R205" s="1" t="s">
        <v>205</v>
      </c>
      <c r="S205" s="1" t="s">
        <v>1017</v>
      </c>
      <c r="T205" s="17" t="s">
        <v>133</v>
      </c>
      <c r="U205" s="1"/>
      <c r="V205" s="1"/>
      <c r="W205" s="1" t="s">
        <v>1133</v>
      </c>
      <c r="X205" s="1"/>
      <c r="Y205" s="1"/>
      <c r="Z205" s="1"/>
    </row>
    <row r="206" spans="1:26" ht="25.2" customHeight="1" x14ac:dyDescent="0.3">
      <c r="A206" s="28" t="s">
        <v>493</v>
      </c>
      <c r="B206" s="28" t="s">
        <v>1135</v>
      </c>
      <c r="C206" s="5">
        <v>46169</v>
      </c>
      <c r="D206" s="5">
        <v>46169</v>
      </c>
      <c r="E206" s="3" t="s">
        <v>1136</v>
      </c>
      <c r="F206" s="3">
        <v>3</v>
      </c>
      <c r="G206" s="3">
        <v>500</v>
      </c>
      <c r="H206" s="3">
        <v>52.5</v>
      </c>
      <c r="I206" s="3">
        <v>548</v>
      </c>
      <c r="J206" s="3">
        <v>1</v>
      </c>
      <c r="K206" s="4">
        <f t="shared" si="15"/>
        <v>52.554744525547449</v>
      </c>
      <c r="L206" s="3"/>
      <c r="M206" s="1">
        <v>129.30000000000001</v>
      </c>
      <c r="N206" s="1">
        <v>129.30000000000001</v>
      </c>
      <c r="O206" s="2">
        <f t="shared" si="16"/>
        <v>129.30000000000001</v>
      </c>
      <c r="P206" s="1">
        <v>38</v>
      </c>
      <c r="Q206" s="1">
        <v>5.5</v>
      </c>
      <c r="R206" s="1" t="s">
        <v>87</v>
      </c>
      <c r="S206" s="1" t="s">
        <v>1017</v>
      </c>
      <c r="T206" s="17" t="s">
        <v>133</v>
      </c>
      <c r="U206" s="1" t="s">
        <v>878</v>
      </c>
      <c r="V206" s="14">
        <v>0.02</v>
      </c>
      <c r="W206" s="1"/>
      <c r="X206" s="1"/>
      <c r="Y206" s="1"/>
      <c r="Z206" s="1"/>
    </row>
    <row r="207" spans="1:26" ht="25.2" customHeight="1" x14ac:dyDescent="0.3">
      <c r="A207" s="28" t="s">
        <v>494</v>
      </c>
      <c r="B207" s="28" t="s">
        <v>1137</v>
      </c>
      <c r="C207" s="5">
        <v>46170</v>
      </c>
      <c r="D207" s="5">
        <v>46170</v>
      </c>
      <c r="E207" s="3" t="s">
        <v>1136</v>
      </c>
      <c r="F207" s="3">
        <v>3</v>
      </c>
      <c r="G207" s="3">
        <v>504</v>
      </c>
      <c r="H207" s="3">
        <v>52.5</v>
      </c>
      <c r="I207" s="3">
        <v>548</v>
      </c>
      <c r="J207" s="3">
        <v>1</v>
      </c>
      <c r="K207" s="4">
        <f t="shared" si="15"/>
        <v>52.554744525547449</v>
      </c>
      <c r="L207" s="3"/>
      <c r="M207" s="1">
        <v>128.1</v>
      </c>
      <c r="N207" s="1">
        <v>219.3</v>
      </c>
      <c r="O207" s="2">
        <f t="shared" si="16"/>
        <v>219.3</v>
      </c>
      <c r="P207" s="1">
        <v>38</v>
      </c>
      <c r="Q207" s="1">
        <v>5.5</v>
      </c>
      <c r="R207" s="1" t="s">
        <v>87</v>
      </c>
      <c r="S207" s="1" t="s">
        <v>1045</v>
      </c>
      <c r="T207" s="17" t="s">
        <v>133</v>
      </c>
      <c r="U207" s="1" t="s">
        <v>208</v>
      </c>
      <c r="V207" s="14">
        <v>0.02</v>
      </c>
      <c r="W207" s="1"/>
      <c r="X207" s="1"/>
      <c r="Y207" s="1"/>
      <c r="Z207" s="1"/>
    </row>
    <row r="208" spans="1:26" ht="25.2" customHeight="1" x14ac:dyDescent="0.3">
      <c r="A208" s="3" t="s">
        <v>495</v>
      </c>
      <c r="B208" s="3" t="s">
        <v>1144</v>
      </c>
      <c r="C208" s="5">
        <v>46170</v>
      </c>
      <c r="D208" s="5">
        <v>46170</v>
      </c>
      <c r="E208" s="3" t="s">
        <v>1136</v>
      </c>
      <c r="F208" s="3">
        <v>3</v>
      </c>
      <c r="G208" s="3">
        <v>500</v>
      </c>
      <c r="H208" s="3">
        <v>44.2</v>
      </c>
      <c r="I208" s="3">
        <v>650</v>
      </c>
      <c r="J208" s="3">
        <v>1</v>
      </c>
      <c r="K208" s="4">
        <f t="shared" si="15"/>
        <v>44.307692307692307</v>
      </c>
      <c r="L208" s="3"/>
      <c r="M208" s="1">
        <v>129.80000000000001</v>
      </c>
      <c r="N208" s="1">
        <v>131.19999999999999</v>
      </c>
      <c r="O208" s="2">
        <f t="shared" si="16"/>
        <v>131.19999999999999</v>
      </c>
      <c r="P208" s="1">
        <v>38</v>
      </c>
      <c r="Q208" s="1">
        <v>5.5</v>
      </c>
      <c r="R208" s="1" t="s">
        <v>87</v>
      </c>
      <c r="S208" s="1" t="s">
        <v>1091</v>
      </c>
      <c r="T208" s="17" t="s">
        <v>133</v>
      </c>
      <c r="U208" s="1" t="s">
        <v>925</v>
      </c>
      <c r="V208" s="14">
        <v>0.02</v>
      </c>
      <c r="W208" s="1"/>
      <c r="X208" s="1"/>
      <c r="Y208" s="1"/>
      <c r="Z208" s="1"/>
    </row>
    <row r="209" spans="1:26" ht="25.2" customHeight="1" x14ac:dyDescent="0.3">
      <c r="A209" s="3" t="s">
        <v>496</v>
      </c>
      <c r="B209" s="3" t="s">
        <v>1146</v>
      </c>
      <c r="C209" s="5">
        <v>46170</v>
      </c>
      <c r="D209" s="3" t="s">
        <v>1147</v>
      </c>
      <c r="E209" s="3" t="s">
        <v>1136</v>
      </c>
      <c r="F209" s="3">
        <v>3</v>
      </c>
      <c r="G209" s="3">
        <v>500</v>
      </c>
      <c r="H209" s="3">
        <v>44.2</v>
      </c>
      <c r="I209" s="3">
        <v>650</v>
      </c>
      <c r="J209" s="3">
        <v>1</v>
      </c>
      <c r="K209" s="4">
        <f t="shared" si="15"/>
        <v>44.307692307692307</v>
      </c>
      <c r="L209" s="3"/>
      <c r="M209" s="1">
        <v>129.1</v>
      </c>
      <c r="N209" s="1">
        <v>129.80000000000001</v>
      </c>
      <c r="O209" s="2">
        <f t="shared" si="16"/>
        <v>129.80000000000001</v>
      </c>
      <c r="P209" s="1">
        <v>38</v>
      </c>
      <c r="Q209" s="1">
        <v>5.5</v>
      </c>
      <c r="R209" s="1" t="s">
        <v>87</v>
      </c>
      <c r="S209" s="1" t="s">
        <v>1094</v>
      </c>
      <c r="T209" s="17" t="s">
        <v>133</v>
      </c>
      <c r="U209" s="1" t="s">
        <v>925</v>
      </c>
      <c r="V209" s="14">
        <v>0.02</v>
      </c>
      <c r="W209" s="1"/>
      <c r="X209" s="1"/>
      <c r="Y209" s="1"/>
      <c r="Z209" s="1"/>
    </row>
    <row r="210" spans="1:26" ht="25.2" customHeight="1" x14ac:dyDescent="0.3">
      <c r="A210" s="3" t="s">
        <v>497</v>
      </c>
      <c r="B210" s="3" t="s">
        <v>1148</v>
      </c>
      <c r="C210" s="5">
        <v>46171</v>
      </c>
      <c r="D210" s="5">
        <v>46171</v>
      </c>
      <c r="E210" s="3" t="s">
        <v>1136</v>
      </c>
      <c r="F210" s="3">
        <v>3</v>
      </c>
      <c r="G210" s="3">
        <v>500</v>
      </c>
      <c r="H210" s="3">
        <v>44.2</v>
      </c>
      <c r="I210" s="3">
        <v>650</v>
      </c>
      <c r="J210" s="3">
        <v>1</v>
      </c>
      <c r="K210" s="4">
        <f t="shared" si="15"/>
        <v>44.307692307692307</v>
      </c>
      <c r="L210" s="3"/>
      <c r="M210" s="1">
        <v>130.9</v>
      </c>
      <c r="N210" s="1">
        <v>131.19999999999999</v>
      </c>
      <c r="O210" s="2">
        <f t="shared" si="16"/>
        <v>131.19999999999999</v>
      </c>
      <c r="P210" s="1">
        <v>38</v>
      </c>
      <c r="Q210" s="1">
        <v>5.5</v>
      </c>
      <c r="R210" s="1" t="s">
        <v>87</v>
      </c>
      <c r="S210" s="1" t="s">
        <v>1095</v>
      </c>
      <c r="T210" s="17" t="s">
        <v>133</v>
      </c>
      <c r="U210" s="1" t="s">
        <v>134</v>
      </c>
      <c r="V210" s="14">
        <v>0.02</v>
      </c>
      <c r="W210" s="1"/>
      <c r="X210" s="1"/>
      <c r="Y210" s="1"/>
      <c r="Z210" s="1"/>
    </row>
    <row r="211" spans="1:26" ht="25.2" customHeight="1" x14ac:dyDescent="0.3">
      <c r="A211" s="3" t="s">
        <v>498</v>
      </c>
      <c r="B211" s="3" t="s">
        <v>1149</v>
      </c>
      <c r="C211" s="5">
        <v>46171</v>
      </c>
      <c r="D211" s="5">
        <v>46171</v>
      </c>
      <c r="E211" s="3" t="s">
        <v>1136</v>
      </c>
      <c r="F211" s="3">
        <v>3</v>
      </c>
      <c r="G211" s="3">
        <v>510</v>
      </c>
      <c r="H211" s="3">
        <v>42.5</v>
      </c>
      <c r="I211" s="3">
        <v>677</v>
      </c>
      <c r="J211" s="3">
        <v>1</v>
      </c>
      <c r="K211" s="4">
        <f t="shared" si="15"/>
        <v>42.540620384047266</v>
      </c>
      <c r="L211" s="3"/>
      <c r="M211" s="1">
        <v>130.9</v>
      </c>
      <c r="N211" s="1">
        <v>131.30000000000001</v>
      </c>
      <c r="O211" s="2">
        <f t="shared" si="16"/>
        <v>131.30000000000001</v>
      </c>
      <c r="P211" s="1">
        <v>38</v>
      </c>
      <c r="Q211" s="1">
        <v>5.5</v>
      </c>
      <c r="R211" s="1" t="s">
        <v>87</v>
      </c>
      <c r="S211" s="1" t="s">
        <v>1153</v>
      </c>
      <c r="T211" s="17" t="s">
        <v>133</v>
      </c>
      <c r="U211" s="1" t="s">
        <v>134</v>
      </c>
      <c r="V211" s="14">
        <v>0.02</v>
      </c>
      <c r="W211" s="1"/>
      <c r="X211" s="1" t="s">
        <v>94</v>
      </c>
      <c r="Y211" s="1" t="s">
        <v>120</v>
      </c>
      <c r="Z211" s="1"/>
    </row>
    <row r="212" spans="1:26" ht="25.2" customHeight="1" x14ac:dyDescent="0.3">
      <c r="A212" s="3" t="s">
        <v>499</v>
      </c>
      <c r="B212" s="3" t="s">
        <v>1145</v>
      </c>
      <c r="C212" s="5">
        <v>46170</v>
      </c>
      <c r="D212" s="5">
        <v>46171</v>
      </c>
      <c r="E212" s="3" t="s">
        <v>1150</v>
      </c>
      <c r="F212" s="3">
        <v>8</v>
      </c>
      <c r="G212" s="3">
        <v>1007</v>
      </c>
      <c r="H212" s="3">
        <v>45.7</v>
      </c>
      <c r="I212" s="3">
        <v>630</v>
      </c>
      <c r="J212" s="3">
        <v>1</v>
      </c>
      <c r="K212" s="4">
        <f t="shared" si="15"/>
        <v>45.714285714285715</v>
      </c>
      <c r="L212" s="3"/>
      <c r="M212" s="1">
        <v>427.5</v>
      </c>
      <c r="N212" s="1">
        <v>427.5</v>
      </c>
      <c r="O212" s="2">
        <f t="shared" si="16"/>
        <v>427.5</v>
      </c>
      <c r="P212" s="1">
        <v>33</v>
      </c>
      <c r="Q212" s="1">
        <v>2.4</v>
      </c>
      <c r="R212" s="1" t="s">
        <v>99</v>
      </c>
      <c r="S212" s="1" t="s">
        <v>1017</v>
      </c>
      <c r="T212" s="17" t="s">
        <v>133</v>
      </c>
      <c r="U212" s="1" t="s">
        <v>782</v>
      </c>
      <c r="V212" s="14">
        <v>0.02</v>
      </c>
      <c r="W212" s="1" t="s">
        <v>94</v>
      </c>
      <c r="X212" s="1"/>
      <c r="Y212" s="1"/>
      <c r="Z212" s="1"/>
    </row>
    <row r="213" spans="1:26" ht="25.2" customHeight="1" x14ac:dyDescent="0.3">
      <c r="A213" s="3" t="s">
        <v>500</v>
      </c>
      <c r="B213" s="3" t="s">
        <v>1163</v>
      </c>
      <c r="C213" s="5">
        <v>46171</v>
      </c>
      <c r="D213" s="5">
        <v>46171</v>
      </c>
      <c r="E213" s="3" t="s">
        <v>1150</v>
      </c>
      <c r="F213" s="3">
        <v>8</v>
      </c>
      <c r="G213" s="3">
        <v>528</v>
      </c>
      <c r="H213" s="3">
        <v>45.7</v>
      </c>
      <c r="I213" s="3">
        <v>630</v>
      </c>
      <c r="J213" s="3">
        <v>1</v>
      </c>
      <c r="K213" s="4">
        <f t="shared" si="15"/>
        <v>45.714285714285715</v>
      </c>
      <c r="L213" s="3"/>
      <c r="M213" s="1">
        <v>427.5</v>
      </c>
      <c r="N213" s="1">
        <v>427.5</v>
      </c>
      <c r="O213" s="2">
        <f t="shared" si="16"/>
        <v>427.5</v>
      </c>
      <c r="P213" s="1">
        <v>33</v>
      </c>
      <c r="Q213" s="1">
        <v>2.4</v>
      </c>
      <c r="R213" s="1" t="s">
        <v>99</v>
      </c>
      <c r="S213" s="1" t="s">
        <v>1045</v>
      </c>
      <c r="T213" s="17" t="s">
        <v>133</v>
      </c>
      <c r="U213" s="1" t="s">
        <v>134</v>
      </c>
      <c r="V213" s="14">
        <v>0.02</v>
      </c>
      <c r="W213" s="1"/>
      <c r="X213" s="1" t="s">
        <v>94</v>
      </c>
      <c r="Y213" s="1" t="s">
        <v>120</v>
      </c>
      <c r="Z213" s="1"/>
    </row>
    <row r="214" spans="1:26" ht="25.2" customHeight="1" x14ac:dyDescent="0.3">
      <c r="A214" s="3" t="s">
        <v>501</v>
      </c>
      <c r="B214" s="3" t="s">
        <v>1164</v>
      </c>
      <c r="C214" s="5">
        <v>46174</v>
      </c>
      <c r="D214" s="5">
        <v>46174</v>
      </c>
      <c r="E214" s="3" t="s">
        <v>1165</v>
      </c>
      <c r="F214" s="3">
        <v>8</v>
      </c>
      <c r="G214" s="3">
        <v>508</v>
      </c>
      <c r="H214" s="3">
        <v>53.3</v>
      </c>
      <c r="I214" s="3">
        <v>538</v>
      </c>
      <c r="J214" s="3">
        <v>1</v>
      </c>
      <c r="K214" s="4">
        <f t="shared" si="15"/>
        <v>53.531598513011154</v>
      </c>
      <c r="L214" s="3"/>
      <c r="M214" s="1">
        <v>214.6</v>
      </c>
      <c r="N214" s="1">
        <v>214.6</v>
      </c>
      <c r="O214" s="2">
        <f t="shared" si="16"/>
        <v>214.6</v>
      </c>
      <c r="P214" s="1">
        <v>80</v>
      </c>
      <c r="Q214" s="1">
        <v>19.05</v>
      </c>
      <c r="R214" s="1" t="s">
        <v>168</v>
      </c>
      <c r="S214" s="1" t="s">
        <v>1156</v>
      </c>
      <c r="T214" s="17" t="s">
        <v>133</v>
      </c>
      <c r="U214" s="1" t="s">
        <v>184</v>
      </c>
      <c r="V214" s="14">
        <v>0.02</v>
      </c>
      <c r="W214" s="1" t="s">
        <v>94</v>
      </c>
      <c r="X214" s="1"/>
      <c r="Y214" s="1"/>
      <c r="Z214" s="1"/>
    </row>
    <row r="215" spans="1:26" ht="25.2" customHeight="1" x14ac:dyDescent="0.3">
      <c r="A215" s="3" t="s">
        <v>502</v>
      </c>
      <c r="B215" s="3" t="s">
        <v>1171</v>
      </c>
      <c r="C215" s="5">
        <v>46175</v>
      </c>
      <c r="D215" s="5">
        <v>46175</v>
      </c>
      <c r="E215" s="3" t="s">
        <v>1165</v>
      </c>
      <c r="F215" s="3">
        <v>8</v>
      </c>
      <c r="G215" s="3">
        <v>1006</v>
      </c>
      <c r="H215" s="3">
        <v>51.1</v>
      </c>
      <c r="I215" s="3">
        <v>563</v>
      </c>
      <c r="J215" s="3">
        <v>1</v>
      </c>
      <c r="K215" s="4">
        <f t="shared" si="15"/>
        <v>51.154529307282417</v>
      </c>
      <c r="L215" s="3"/>
      <c r="M215" s="1">
        <v>241.2</v>
      </c>
      <c r="N215" s="1">
        <v>241.2</v>
      </c>
      <c r="O215" s="2">
        <f t="shared" si="16"/>
        <v>241.2</v>
      </c>
      <c r="P215" s="1">
        <v>80</v>
      </c>
      <c r="Q215" s="1">
        <v>19.05</v>
      </c>
      <c r="R215" s="1" t="s">
        <v>168</v>
      </c>
      <c r="S215" s="1" t="s">
        <v>1162</v>
      </c>
      <c r="T215" s="17" t="s">
        <v>133</v>
      </c>
      <c r="U215" s="1" t="s">
        <v>207</v>
      </c>
      <c r="V215" s="14">
        <v>0.02</v>
      </c>
      <c r="W215" s="1"/>
      <c r="X215" s="1"/>
      <c r="Y215" s="1"/>
      <c r="Z215" s="1"/>
    </row>
    <row r="216" spans="1:26" ht="25.2" customHeight="1" x14ac:dyDescent="0.3">
      <c r="A216" s="3" t="s">
        <v>503</v>
      </c>
      <c r="B216" s="3" t="s">
        <v>293</v>
      </c>
      <c r="C216" s="5">
        <v>46175</v>
      </c>
      <c r="D216" s="5">
        <v>46175</v>
      </c>
      <c r="E216" s="3" t="s">
        <v>1165</v>
      </c>
      <c r="F216" s="3">
        <v>8</v>
      </c>
      <c r="G216" s="3">
        <v>527</v>
      </c>
      <c r="H216" s="3">
        <v>56.2</v>
      </c>
      <c r="I216" s="3">
        <v>512</v>
      </c>
      <c r="J216" s="3">
        <v>1</v>
      </c>
      <c r="K216" s="4">
        <f t="shared" si="15"/>
        <v>56.25</v>
      </c>
      <c r="L216" s="3"/>
      <c r="M216" s="1">
        <v>241</v>
      </c>
      <c r="N216" s="1">
        <v>241.3</v>
      </c>
      <c r="O216" s="2">
        <f t="shared" si="16"/>
        <v>241.3</v>
      </c>
      <c r="P216" s="1">
        <v>80</v>
      </c>
      <c r="Q216" s="1">
        <v>19.05</v>
      </c>
      <c r="R216" s="1" t="s">
        <v>168</v>
      </c>
      <c r="S216" s="1" t="s">
        <v>1174</v>
      </c>
      <c r="T216" s="17" t="s">
        <v>133</v>
      </c>
      <c r="U216" s="1" t="s">
        <v>294</v>
      </c>
      <c r="V216" s="14">
        <v>0.02</v>
      </c>
      <c r="W216" s="1"/>
      <c r="X216" s="1" t="s">
        <v>103</v>
      </c>
      <c r="Y216" s="1"/>
      <c r="Z216" s="1"/>
    </row>
    <row r="217" spans="1:26" ht="25.2" customHeight="1" x14ac:dyDescent="0.3">
      <c r="A217" s="3" t="s">
        <v>504</v>
      </c>
      <c r="B217" s="3" t="s">
        <v>1166</v>
      </c>
      <c r="C217" s="5">
        <v>46175</v>
      </c>
      <c r="D217" s="5">
        <v>46175</v>
      </c>
      <c r="E217" s="3" t="s">
        <v>1167</v>
      </c>
      <c r="F217" s="3">
        <v>2</v>
      </c>
      <c r="G217" s="3">
        <v>1045</v>
      </c>
      <c r="H217" s="3">
        <v>45.2</v>
      </c>
      <c r="I217" s="3">
        <v>637</v>
      </c>
      <c r="J217" s="3">
        <v>1</v>
      </c>
      <c r="K217" s="4">
        <f t="shared" si="15"/>
        <v>45.211930926216638</v>
      </c>
      <c r="L217" s="3"/>
      <c r="M217" s="1">
        <v>154.4</v>
      </c>
      <c r="N217" s="1">
        <v>154.80000000000001</v>
      </c>
      <c r="O217" s="2">
        <f t="shared" si="16"/>
        <v>154.80000000000001</v>
      </c>
      <c r="P217" s="1">
        <v>46</v>
      </c>
      <c r="Q217" s="1">
        <v>7.65</v>
      </c>
      <c r="R217" s="1" t="s">
        <v>669</v>
      </c>
      <c r="S217" s="1" t="s">
        <v>1156</v>
      </c>
      <c r="T217" s="17" t="s">
        <v>215</v>
      </c>
      <c r="U217" s="1" t="s">
        <v>141</v>
      </c>
      <c r="V217" s="14">
        <v>0.02</v>
      </c>
      <c r="W217" s="1" t="s">
        <v>678</v>
      </c>
      <c r="X217" s="1"/>
      <c r="Y217" s="1"/>
      <c r="Z217" s="1"/>
    </row>
    <row r="218" spans="1:26" ht="25.2" customHeight="1" x14ac:dyDescent="0.3">
      <c r="A218" s="3" t="s">
        <v>505</v>
      </c>
      <c r="B218" s="3" t="s">
        <v>1176</v>
      </c>
      <c r="C218" s="5">
        <v>46175</v>
      </c>
      <c r="D218" s="5">
        <v>46176</v>
      </c>
      <c r="E218" s="3" t="s">
        <v>1177</v>
      </c>
      <c r="F218" s="3">
        <v>2</v>
      </c>
      <c r="G218" s="3">
        <v>736</v>
      </c>
      <c r="H218" s="3">
        <v>45.2</v>
      </c>
      <c r="I218" s="3">
        <v>637</v>
      </c>
      <c r="J218" s="3">
        <v>1</v>
      </c>
      <c r="K218" s="4">
        <f t="shared" si="15"/>
        <v>45.211930926216638</v>
      </c>
      <c r="L218" s="3"/>
      <c r="M218" s="1">
        <v>154.19999999999999</v>
      </c>
      <c r="N218" s="1">
        <v>154.6</v>
      </c>
      <c r="O218" s="2">
        <f t="shared" si="16"/>
        <v>154.6</v>
      </c>
      <c r="P218" s="1">
        <v>46</v>
      </c>
      <c r="Q218" s="1">
        <v>7.65</v>
      </c>
      <c r="R218" s="1" t="s">
        <v>669</v>
      </c>
      <c r="S218" s="1" t="s">
        <v>1162</v>
      </c>
      <c r="T218" s="17" t="s">
        <v>215</v>
      </c>
      <c r="U218" s="1" t="s">
        <v>251</v>
      </c>
      <c r="V218" s="14">
        <v>0.02</v>
      </c>
      <c r="W218" s="1"/>
      <c r="X218" s="1"/>
      <c r="Y218" s="1"/>
      <c r="Z218" s="1"/>
    </row>
    <row r="219" spans="1:26" ht="25.2" customHeight="1" x14ac:dyDescent="0.3">
      <c r="A219" s="3" t="s">
        <v>506</v>
      </c>
      <c r="B219" s="3" t="s">
        <v>1178</v>
      </c>
      <c r="C219" s="5">
        <v>46176</v>
      </c>
      <c r="D219" s="5">
        <v>46176</v>
      </c>
      <c r="E219" s="3" t="s">
        <v>1177</v>
      </c>
      <c r="F219" s="3">
        <v>2</v>
      </c>
      <c r="G219" s="3">
        <v>1000</v>
      </c>
      <c r="H219" s="3">
        <v>45.2</v>
      </c>
      <c r="I219" s="3">
        <v>637</v>
      </c>
      <c r="J219" s="3">
        <v>1</v>
      </c>
      <c r="K219" s="4">
        <f t="shared" si="15"/>
        <v>45.211930926216638</v>
      </c>
      <c r="L219" s="3"/>
      <c r="M219" s="1">
        <v>154.6</v>
      </c>
      <c r="N219" s="1">
        <v>154.80000000000001</v>
      </c>
      <c r="O219" s="2">
        <f t="shared" si="16"/>
        <v>154.80000000000001</v>
      </c>
      <c r="P219" s="1">
        <v>46</v>
      </c>
      <c r="Q219" s="1">
        <v>7.65</v>
      </c>
      <c r="R219" s="1" t="s">
        <v>669</v>
      </c>
      <c r="S219" s="1" t="s">
        <v>1174</v>
      </c>
      <c r="T219" s="17" t="s">
        <v>215</v>
      </c>
      <c r="U219" s="1" t="s">
        <v>263</v>
      </c>
      <c r="V219" s="14">
        <v>0.02</v>
      </c>
      <c r="W219" s="1"/>
      <c r="X219" s="1"/>
      <c r="Y219" s="1"/>
      <c r="Z219" s="1"/>
    </row>
    <row r="220" spans="1:26" ht="25.2" customHeight="1" x14ac:dyDescent="0.3">
      <c r="A220" s="3" t="s">
        <v>507</v>
      </c>
      <c r="B220" s="3" t="s">
        <v>1179</v>
      </c>
      <c r="C220" s="5">
        <v>46176</v>
      </c>
      <c r="D220" s="5">
        <v>46176</v>
      </c>
      <c r="E220" s="3" t="s">
        <v>1180</v>
      </c>
      <c r="F220" s="3">
        <v>8</v>
      </c>
      <c r="G220" s="3">
        <v>1003</v>
      </c>
      <c r="H220" s="3">
        <v>50.3</v>
      </c>
      <c r="I220" s="3">
        <v>572</v>
      </c>
      <c r="J220" s="3">
        <v>1</v>
      </c>
      <c r="K220" s="4">
        <f t="shared" si="15"/>
        <v>50.349650349650346</v>
      </c>
      <c r="L220" s="3"/>
      <c r="M220" s="1">
        <v>241.2</v>
      </c>
      <c r="N220" s="1">
        <v>241.6</v>
      </c>
      <c r="O220" s="2">
        <f t="shared" si="16"/>
        <v>241.6</v>
      </c>
      <c r="P220" s="1">
        <v>80</v>
      </c>
      <c r="Q220" s="1">
        <v>19.05</v>
      </c>
      <c r="R220" s="1" t="s">
        <v>168</v>
      </c>
      <c r="S220" s="1" t="s">
        <v>1156</v>
      </c>
      <c r="T220" s="17" t="s">
        <v>133</v>
      </c>
      <c r="U220" s="1" t="s">
        <v>782</v>
      </c>
      <c r="V220" s="14">
        <v>0.02</v>
      </c>
      <c r="W220" s="1"/>
      <c r="X220" s="1"/>
      <c r="Y220" s="1"/>
      <c r="Z220" s="1"/>
    </row>
    <row r="221" spans="1:26" ht="25.2" customHeight="1" x14ac:dyDescent="0.3">
      <c r="A221" s="3" t="s">
        <v>508</v>
      </c>
      <c r="B221" s="3" t="s">
        <v>1185</v>
      </c>
      <c r="C221" s="5">
        <v>46176</v>
      </c>
      <c r="D221" s="5">
        <v>46181</v>
      </c>
      <c r="E221" s="3" t="s">
        <v>1180</v>
      </c>
      <c r="F221" s="3">
        <v>8</v>
      </c>
      <c r="G221" s="3">
        <v>1009</v>
      </c>
      <c r="H221" s="3">
        <v>48.3</v>
      </c>
      <c r="I221" s="3">
        <v>596</v>
      </c>
      <c r="J221" s="3">
        <v>1</v>
      </c>
      <c r="K221" s="4">
        <f t="shared" si="15"/>
        <v>48.322147651006709</v>
      </c>
      <c r="L221" s="3">
        <v>79</v>
      </c>
      <c r="M221" s="1">
        <v>241.2</v>
      </c>
      <c r="N221" s="1">
        <v>241.7</v>
      </c>
      <c r="O221" s="2">
        <f t="shared" si="16"/>
        <v>241.7</v>
      </c>
      <c r="P221" s="1">
        <v>80</v>
      </c>
      <c r="Q221" s="1">
        <v>19.05</v>
      </c>
      <c r="R221" s="1" t="s">
        <v>168</v>
      </c>
      <c r="S221" s="1" t="s">
        <v>1162</v>
      </c>
      <c r="T221" s="17" t="s">
        <v>133</v>
      </c>
      <c r="U221" s="1" t="s">
        <v>169</v>
      </c>
      <c r="V221" s="14">
        <v>0.02</v>
      </c>
      <c r="W221" s="1"/>
      <c r="X221" s="1"/>
      <c r="Y221" s="1"/>
      <c r="Z221" s="1"/>
    </row>
    <row r="222" spans="1:26" ht="25.2" customHeight="1" x14ac:dyDescent="0.3">
      <c r="A222" s="3" t="s">
        <v>509</v>
      </c>
      <c r="B222" s="3" t="s">
        <v>1186</v>
      </c>
      <c r="C222" s="5">
        <v>46181</v>
      </c>
      <c r="D222" s="5">
        <v>46182</v>
      </c>
      <c r="E222" s="3" t="s">
        <v>1180</v>
      </c>
      <c r="F222" s="3">
        <v>8</v>
      </c>
      <c r="G222" s="3">
        <v>706</v>
      </c>
      <c r="H222" s="3">
        <v>52.6</v>
      </c>
      <c r="I222" s="3">
        <v>547</v>
      </c>
      <c r="J222" s="3">
        <v>1</v>
      </c>
      <c r="K222" s="4">
        <f t="shared" si="15"/>
        <v>52.650822669104208</v>
      </c>
      <c r="L222" s="3">
        <v>68</v>
      </c>
      <c r="M222" s="1">
        <v>241.2</v>
      </c>
      <c r="N222" s="1">
        <v>241.7</v>
      </c>
      <c r="O222" s="2">
        <f t="shared" si="16"/>
        <v>241.7</v>
      </c>
      <c r="P222" s="1">
        <v>80</v>
      </c>
      <c r="Q222" s="1">
        <v>19.05</v>
      </c>
      <c r="R222" s="1" t="s">
        <v>168</v>
      </c>
      <c r="S222" s="1" t="s">
        <v>1174</v>
      </c>
      <c r="T222" s="17" t="s">
        <v>133</v>
      </c>
      <c r="U222" s="1" t="s">
        <v>134</v>
      </c>
      <c r="V222" s="14">
        <v>0.02</v>
      </c>
      <c r="W222" s="1"/>
      <c r="X222" s="1"/>
      <c r="Y222" s="1"/>
      <c r="Z222" s="1"/>
    </row>
    <row r="223" spans="1:26" ht="25.2" customHeight="1" x14ac:dyDescent="0.3">
      <c r="A223" s="3" t="s">
        <v>510</v>
      </c>
      <c r="B223" s="3" t="s">
        <v>1194</v>
      </c>
      <c r="C223" s="5">
        <v>46182</v>
      </c>
      <c r="D223" s="5">
        <v>46183</v>
      </c>
      <c r="E223" s="3" t="s">
        <v>1195</v>
      </c>
      <c r="F223" s="3">
        <v>8</v>
      </c>
      <c r="G223" s="3">
        <v>606</v>
      </c>
      <c r="H223" s="3">
        <v>50.6</v>
      </c>
      <c r="I223" s="3">
        <v>569</v>
      </c>
      <c r="J223" s="3">
        <v>1</v>
      </c>
      <c r="K223" s="4">
        <f t="shared" si="15"/>
        <v>50.615114235500876</v>
      </c>
      <c r="L223" s="3"/>
      <c r="M223" s="1">
        <v>205.2</v>
      </c>
      <c r="N223" s="1">
        <v>205.8</v>
      </c>
      <c r="O223" s="2">
        <f t="shared" si="16"/>
        <v>205.8</v>
      </c>
      <c r="P223" s="1">
        <v>30</v>
      </c>
      <c r="Q223" s="1">
        <v>7.95</v>
      </c>
      <c r="R223" s="1" t="s">
        <v>92</v>
      </c>
      <c r="S223" s="1" t="s">
        <v>1156</v>
      </c>
      <c r="T223" s="17" t="s">
        <v>133</v>
      </c>
      <c r="U223" s="1" t="s">
        <v>134</v>
      </c>
      <c r="V223" s="14">
        <v>0.02</v>
      </c>
      <c r="W223" s="1" t="s">
        <v>678</v>
      </c>
      <c r="X223" s="1"/>
      <c r="Y223" s="1"/>
      <c r="Z223" s="1"/>
    </row>
    <row r="224" spans="1:26" ht="25.2" customHeight="1" x14ac:dyDescent="0.3">
      <c r="A224" s="3" t="s">
        <v>511</v>
      </c>
      <c r="B224" s="3" t="s">
        <v>1196</v>
      </c>
      <c r="C224" s="5">
        <v>46183</v>
      </c>
      <c r="D224" s="5">
        <v>46184</v>
      </c>
      <c r="E224" s="3" t="s">
        <v>1195</v>
      </c>
      <c r="F224" s="3">
        <v>8</v>
      </c>
      <c r="G224" s="3">
        <v>607</v>
      </c>
      <c r="H224" s="3">
        <v>50.6</v>
      </c>
      <c r="I224" s="3">
        <v>569</v>
      </c>
      <c r="J224" s="3">
        <v>1</v>
      </c>
      <c r="K224" s="4">
        <f t="shared" si="15"/>
        <v>50.615114235500876</v>
      </c>
      <c r="L224" s="3"/>
      <c r="M224" s="1">
        <v>249</v>
      </c>
      <c r="N224" s="1">
        <v>249.8</v>
      </c>
      <c r="O224" s="2">
        <f t="shared" si="16"/>
        <v>249.8</v>
      </c>
      <c r="P224" s="1">
        <v>30</v>
      </c>
      <c r="Q224" s="1">
        <v>7.95</v>
      </c>
      <c r="R224" s="1" t="s">
        <v>92</v>
      </c>
      <c r="S224" s="1" t="s">
        <v>1162</v>
      </c>
      <c r="T224" s="17" t="s">
        <v>133</v>
      </c>
      <c r="U224" s="1" t="s">
        <v>184</v>
      </c>
      <c r="V224" s="14">
        <v>0.02</v>
      </c>
      <c r="W224" s="1"/>
      <c r="X224" s="1"/>
      <c r="Y224" s="1"/>
      <c r="Z224" s="1"/>
    </row>
    <row r="225" spans="1:26" ht="25.2" customHeight="1" x14ac:dyDescent="0.3">
      <c r="A225" s="3" t="s">
        <v>512</v>
      </c>
      <c r="B225" s="3" t="s">
        <v>1198</v>
      </c>
      <c r="C225" s="5">
        <v>46184</v>
      </c>
      <c r="D225" s="5">
        <v>46184</v>
      </c>
      <c r="E225" s="3" t="s">
        <v>1195</v>
      </c>
      <c r="F225" s="3">
        <v>8</v>
      </c>
      <c r="G225" s="3">
        <v>600</v>
      </c>
      <c r="H225" s="3">
        <v>51.8</v>
      </c>
      <c r="I225" s="3">
        <v>556</v>
      </c>
      <c r="J225" s="3">
        <v>1</v>
      </c>
      <c r="K225" s="4">
        <f t="shared" si="15"/>
        <v>51.798561151079134</v>
      </c>
      <c r="L225" s="3"/>
      <c r="M225" s="1">
        <v>250</v>
      </c>
      <c r="N225" s="1">
        <v>250.8</v>
      </c>
      <c r="O225" s="2">
        <f t="shared" si="16"/>
        <v>250.8</v>
      </c>
      <c r="P225" s="1">
        <v>30</v>
      </c>
      <c r="Q225" s="1">
        <v>7.95</v>
      </c>
      <c r="R225" s="1" t="s">
        <v>92</v>
      </c>
      <c r="S225" s="1" t="s">
        <v>1174</v>
      </c>
      <c r="T225" s="17" t="s">
        <v>133</v>
      </c>
      <c r="U225" s="1" t="s">
        <v>149</v>
      </c>
      <c r="V225" s="14">
        <v>0.02</v>
      </c>
      <c r="W225" s="1"/>
      <c r="X225" s="1"/>
      <c r="Y225" s="1"/>
      <c r="Z225" s="1"/>
    </row>
    <row r="226" spans="1:26" ht="25.2" customHeight="1" x14ac:dyDescent="0.3">
      <c r="A226" s="3" t="s">
        <v>513</v>
      </c>
      <c r="B226" s="3" t="s">
        <v>1204</v>
      </c>
      <c r="C226" s="5">
        <v>46185</v>
      </c>
      <c r="D226" s="5">
        <v>46185</v>
      </c>
      <c r="E226" s="3" t="s">
        <v>1195</v>
      </c>
      <c r="F226" s="3">
        <v>8</v>
      </c>
      <c r="G226" s="3">
        <v>630</v>
      </c>
      <c r="H226" s="3">
        <v>54.3</v>
      </c>
      <c r="I226" s="3">
        <v>530</v>
      </c>
      <c r="J226" s="3">
        <v>1</v>
      </c>
      <c r="K226" s="4">
        <f t="shared" si="15"/>
        <v>54.339622641509436</v>
      </c>
      <c r="L226" s="3"/>
      <c r="M226" s="1">
        <v>249</v>
      </c>
      <c r="N226" s="1">
        <v>249.8</v>
      </c>
      <c r="O226" s="2">
        <f t="shared" si="16"/>
        <v>249.8</v>
      </c>
      <c r="P226" s="1">
        <v>30</v>
      </c>
      <c r="Q226" s="1">
        <v>7.95</v>
      </c>
      <c r="R226" s="1" t="s">
        <v>92</v>
      </c>
      <c r="S226" s="1" t="s">
        <v>1192</v>
      </c>
      <c r="T226" s="17" t="s">
        <v>133</v>
      </c>
      <c r="U226" s="1" t="s">
        <v>169</v>
      </c>
      <c r="V226" s="14">
        <v>0.02</v>
      </c>
      <c r="W226" s="1"/>
      <c r="X226" s="1"/>
      <c r="Y226" s="1"/>
      <c r="Z226" s="1"/>
    </row>
    <row r="227" spans="1:26" ht="25.2" customHeight="1" x14ac:dyDescent="0.3">
      <c r="A227" s="3" t="s">
        <v>514</v>
      </c>
      <c r="B227" s="3" t="s">
        <v>185</v>
      </c>
      <c r="C227" s="5">
        <v>46185</v>
      </c>
      <c r="D227" s="5">
        <v>46188</v>
      </c>
      <c r="E227" s="3" t="s">
        <v>1195</v>
      </c>
      <c r="F227" s="3">
        <v>8</v>
      </c>
      <c r="G227" s="3">
        <v>1027</v>
      </c>
      <c r="H227" s="3">
        <v>62</v>
      </c>
      <c r="I227" s="3">
        <v>464</v>
      </c>
      <c r="J227" s="3">
        <v>1</v>
      </c>
      <c r="K227" s="4">
        <f t="shared" si="15"/>
        <v>62.068965517241381</v>
      </c>
      <c r="L227" s="3"/>
      <c r="M227" s="1">
        <v>249</v>
      </c>
      <c r="N227" s="1">
        <v>249.8</v>
      </c>
      <c r="O227" s="2">
        <f t="shared" si="16"/>
        <v>249.8</v>
      </c>
      <c r="P227" s="1">
        <v>30</v>
      </c>
      <c r="Q227" s="1">
        <v>7.95</v>
      </c>
      <c r="R227" s="1" t="s">
        <v>92</v>
      </c>
      <c r="S227" s="1" t="s">
        <v>1205</v>
      </c>
      <c r="T227" s="17" t="s">
        <v>133</v>
      </c>
      <c r="U227" s="1" t="s">
        <v>141</v>
      </c>
      <c r="V227" s="14">
        <v>0.02</v>
      </c>
      <c r="W227" s="1"/>
      <c r="X227" s="1"/>
      <c r="Y227" s="1"/>
      <c r="Z227" s="1"/>
    </row>
    <row r="228" spans="1:26" ht="25.2" customHeight="1" x14ac:dyDescent="0.3">
      <c r="A228" s="3" t="s">
        <v>515</v>
      </c>
      <c r="B228" s="3" t="s">
        <v>178</v>
      </c>
      <c r="C228" s="5">
        <v>46188</v>
      </c>
      <c r="D228" s="5">
        <v>46189</v>
      </c>
      <c r="E228" s="3" t="s">
        <v>1195</v>
      </c>
      <c r="F228" s="3">
        <v>8</v>
      </c>
      <c r="G228" s="3">
        <v>420</v>
      </c>
      <c r="H228" s="3">
        <v>54.3</v>
      </c>
      <c r="I228" s="3">
        <v>530</v>
      </c>
      <c r="J228" s="3">
        <v>1</v>
      </c>
      <c r="K228" s="4">
        <f t="shared" si="15"/>
        <v>54.339622641509436</v>
      </c>
      <c r="L228" s="3"/>
      <c r="M228" s="1">
        <v>249</v>
      </c>
      <c r="N228" s="1">
        <v>249.8</v>
      </c>
      <c r="O228" s="2">
        <f t="shared" si="16"/>
        <v>249.8</v>
      </c>
      <c r="P228" s="1">
        <v>30</v>
      </c>
      <c r="Q228" s="1">
        <v>7.95</v>
      </c>
      <c r="R228" s="1" t="s">
        <v>92</v>
      </c>
      <c r="S228" s="1" t="s">
        <v>1206</v>
      </c>
      <c r="T228" s="17" t="s">
        <v>133</v>
      </c>
      <c r="U228" s="1" t="s">
        <v>180</v>
      </c>
      <c r="V228" s="14">
        <v>0.02</v>
      </c>
      <c r="W228" s="1"/>
      <c r="X228" s="1" t="s">
        <v>1133</v>
      </c>
      <c r="Y228" s="1" t="s">
        <v>120</v>
      </c>
      <c r="Z228" s="1"/>
    </row>
    <row r="229" spans="1:26" ht="25.2" customHeight="1" x14ac:dyDescent="0.3">
      <c r="A229" s="3" t="s">
        <v>516</v>
      </c>
      <c r="B229" s="3" t="s">
        <v>1085</v>
      </c>
      <c r="C229" s="5">
        <v>46189</v>
      </c>
      <c r="D229" s="5">
        <v>46196</v>
      </c>
      <c r="E229" s="3" t="s">
        <v>1211</v>
      </c>
      <c r="F229" s="3">
        <v>8</v>
      </c>
      <c r="G229" s="3">
        <v>8190</v>
      </c>
      <c r="H229" s="3">
        <v>56.8</v>
      </c>
      <c r="I229" s="3">
        <v>1014</v>
      </c>
      <c r="J229" s="3">
        <v>2</v>
      </c>
      <c r="K229" s="4">
        <f t="shared" si="15"/>
        <v>56.80473372781065</v>
      </c>
      <c r="L229" s="3"/>
      <c r="M229" s="1">
        <v>68</v>
      </c>
      <c r="N229" s="1">
        <v>139.6</v>
      </c>
      <c r="O229" s="2">
        <f t="shared" si="16"/>
        <v>69.8</v>
      </c>
      <c r="P229" s="1">
        <v>140</v>
      </c>
      <c r="Q229" s="1">
        <v>10</v>
      </c>
      <c r="R229" s="1" t="s">
        <v>92</v>
      </c>
      <c r="S229" s="1" t="s">
        <v>1156</v>
      </c>
      <c r="T229" s="17" t="s">
        <v>133</v>
      </c>
      <c r="U229" s="1" t="s">
        <v>1086</v>
      </c>
      <c r="V229" s="14">
        <v>0.02</v>
      </c>
      <c r="W229" s="1" t="s">
        <v>1133</v>
      </c>
      <c r="X229" s="1" t="s">
        <v>126</v>
      </c>
      <c r="Y229" s="1" t="s">
        <v>120</v>
      </c>
      <c r="Z229" s="1"/>
    </row>
    <row r="230" spans="1:26" ht="25.2" customHeight="1" x14ac:dyDescent="0.3">
      <c r="A230" s="3" t="s">
        <v>517</v>
      </c>
      <c r="B230" s="11" t="s">
        <v>940</v>
      </c>
      <c r="C230" s="5">
        <v>46196</v>
      </c>
      <c r="D230" s="5">
        <v>46197</v>
      </c>
      <c r="E230" s="3" t="s">
        <v>1232</v>
      </c>
      <c r="F230" s="3">
        <v>8</v>
      </c>
      <c r="G230" s="3">
        <v>825</v>
      </c>
      <c r="H230" s="3">
        <v>64.400000000000006</v>
      </c>
      <c r="I230" s="3">
        <v>894</v>
      </c>
      <c r="J230" s="3">
        <v>2</v>
      </c>
      <c r="K230" s="4">
        <f t="shared" si="15"/>
        <v>64.429530201342288</v>
      </c>
      <c r="L230" s="3">
        <v>93</v>
      </c>
      <c r="M230" s="1">
        <v>247.3</v>
      </c>
      <c r="N230" s="1">
        <v>496.2</v>
      </c>
      <c r="O230" s="2">
        <f t="shared" si="16"/>
        <v>248.1</v>
      </c>
      <c r="P230" s="1">
        <v>45</v>
      </c>
      <c r="Q230" s="1">
        <v>11.8</v>
      </c>
      <c r="R230" s="1" t="s">
        <v>92</v>
      </c>
      <c r="S230" s="1" t="s">
        <v>1156</v>
      </c>
      <c r="T230" s="11" t="s">
        <v>1058</v>
      </c>
      <c r="U230" s="1" t="s">
        <v>652</v>
      </c>
      <c r="V230" s="14">
        <v>0.03</v>
      </c>
      <c r="W230" s="1" t="s">
        <v>94</v>
      </c>
      <c r="X230" s="1"/>
      <c r="Y230" s="1"/>
      <c r="Z230" s="1"/>
    </row>
    <row r="231" spans="1:26" ht="25.2" customHeight="1" x14ac:dyDescent="0.3">
      <c r="A231" s="3" t="s">
        <v>518</v>
      </c>
      <c r="B231" s="17" t="s">
        <v>1233</v>
      </c>
      <c r="C231" s="5">
        <v>46197</v>
      </c>
      <c r="D231" s="5">
        <v>46198</v>
      </c>
      <c r="E231" s="3" t="s">
        <v>1232</v>
      </c>
      <c r="F231" s="3">
        <v>8</v>
      </c>
      <c r="G231" s="3">
        <v>1500</v>
      </c>
      <c r="H231" s="3">
        <v>64.5</v>
      </c>
      <c r="I231" s="3">
        <v>894</v>
      </c>
      <c r="J231" s="3">
        <v>2</v>
      </c>
      <c r="K231" s="4">
        <f t="shared" si="15"/>
        <v>64.429530201342288</v>
      </c>
      <c r="L231" s="3"/>
      <c r="M231" s="1">
        <v>248.2</v>
      </c>
      <c r="N231" s="1">
        <v>496.2</v>
      </c>
      <c r="O231" s="2">
        <f t="shared" si="16"/>
        <v>248.1</v>
      </c>
      <c r="P231" s="1">
        <v>45</v>
      </c>
      <c r="Q231" s="1">
        <v>11.8</v>
      </c>
      <c r="R231" s="1" t="s">
        <v>92</v>
      </c>
      <c r="S231" s="1" t="s">
        <v>1162</v>
      </c>
      <c r="T231" s="11" t="s">
        <v>1058</v>
      </c>
      <c r="U231" s="1" t="s">
        <v>647</v>
      </c>
      <c r="V231" s="14">
        <v>0.03</v>
      </c>
      <c r="W231" s="1"/>
      <c r="X231" s="1"/>
      <c r="Y231" s="1"/>
      <c r="Z231" s="1"/>
    </row>
    <row r="232" spans="1:26" ht="25.2" customHeight="1" x14ac:dyDescent="0.3">
      <c r="A232" s="3" t="s">
        <v>519</v>
      </c>
      <c r="B232" s="11" t="s">
        <v>1234</v>
      </c>
      <c r="C232" s="5">
        <v>46198</v>
      </c>
      <c r="D232" s="5">
        <v>46198</v>
      </c>
      <c r="E232" s="3" t="s">
        <v>1232</v>
      </c>
      <c r="F232" s="3">
        <v>8</v>
      </c>
      <c r="G232" s="3">
        <v>585</v>
      </c>
      <c r="H232" s="3">
        <v>64.5</v>
      </c>
      <c r="I232" s="3">
        <v>894</v>
      </c>
      <c r="J232" s="3">
        <v>2</v>
      </c>
      <c r="K232" s="4">
        <f t="shared" si="15"/>
        <v>64.429530201342288</v>
      </c>
      <c r="L232" s="3"/>
      <c r="M232" s="1">
        <v>245.6</v>
      </c>
      <c r="N232" s="1">
        <v>493.3</v>
      </c>
      <c r="O232" s="2">
        <f t="shared" si="16"/>
        <v>246.65</v>
      </c>
      <c r="P232" s="1">
        <v>45</v>
      </c>
      <c r="Q232" s="1">
        <v>11.8</v>
      </c>
      <c r="R232" s="1" t="s">
        <v>92</v>
      </c>
      <c r="S232" s="1" t="s">
        <v>1174</v>
      </c>
      <c r="T232" s="11" t="s">
        <v>1058</v>
      </c>
      <c r="U232" s="1" t="s">
        <v>334</v>
      </c>
      <c r="V232" s="14">
        <v>0.05</v>
      </c>
      <c r="W232" s="1"/>
      <c r="X232" s="1"/>
      <c r="Y232" s="1"/>
      <c r="Z232" s="1"/>
    </row>
    <row r="233" spans="1:26" ht="25.2" customHeight="1" x14ac:dyDescent="0.3">
      <c r="A233" s="3" t="s">
        <v>520</v>
      </c>
      <c r="B233" s="3" t="s">
        <v>1268</v>
      </c>
      <c r="C233" s="5">
        <v>46206</v>
      </c>
      <c r="D233" s="5">
        <v>46206</v>
      </c>
      <c r="E233" s="3" t="s">
        <v>1269</v>
      </c>
      <c r="F233" s="3">
        <v>3</v>
      </c>
      <c r="G233" s="3">
        <v>800</v>
      </c>
      <c r="H233" s="3">
        <v>31.4</v>
      </c>
      <c r="I233" s="3">
        <v>912</v>
      </c>
      <c r="J233" s="3">
        <v>1</v>
      </c>
      <c r="K233" s="4">
        <f t="shared" si="15"/>
        <v>31.578947368421051</v>
      </c>
      <c r="L233" s="3">
        <v>146</v>
      </c>
      <c r="M233" s="1">
        <v>56.4</v>
      </c>
      <c r="N233" s="1">
        <v>57.1</v>
      </c>
      <c r="O233" s="2">
        <f t="shared" si="16"/>
        <v>57.1</v>
      </c>
      <c r="P233" s="1">
        <v>175</v>
      </c>
      <c r="Q233" s="1">
        <v>10.7</v>
      </c>
      <c r="R233" s="1" t="s">
        <v>168</v>
      </c>
      <c r="S233" s="1" t="s">
        <v>1252</v>
      </c>
      <c r="T233" s="20" t="s">
        <v>843</v>
      </c>
      <c r="U233" s="1" t="s">
        <v>199</v>
      </c>
      <c r="V233" s="14">
        <v>0.02</v>
      </c>
      <c r="W233" s="1" t="s">
        <v>103</v>
      </c>
      <c r="X233" s="1"/>
      <c r="Y233" s="1"/>
      <c r="Z233" s="1"/>
    </row>
    <row r="234" spans="1:26" ht="25.2" customHeight="1" x14ac:dyDescent="0.3">
      <c r="A234" s="3" t="s">
        <v>521</v>
      </c>
      <c r="B234" s="3" t="s">
        <v>809</v>
      </c>
      <c r="C234" s="5">
        <v>46206</v>
      </c>
      <c r="D234" s="5">
        <v>46209</v>
      </c>
      <c r="E234" s="3" t="s">
        <v>1269</v>
      </c>
      <c r="F234" s="3">
        <v>3</v>
      </c>
      <c r="G234" s="3">
        <v>810</v>
      </c>
      <c r="H234" s="3">
        <v>31.4</v>
      </c>
      <c r="I234" s="3">
        <v>912</v>
      </c>
      <c r="J234" s="3">
        <v>1</v>
      </c>
      <c r="K234" s="4">
        <f t="shared" si="15"/>
        <v>31.578947368421051</v>
      </c>
      <c r="L234" s="3">
        <v>20</v>
      </c>
      <c r="M234" s="1">
        <v>56.8</v>
      </c>
      <c r="N234" s="1">
        <v>57.3</v>
      </c>
      <c r="O234" s="2">
        <f t="shared" si="16"/>
        <v>57.3</v>
      </c>
      <c r="P234" s="1">
        <v>175</v>
      </c>
      <c r="Q234" s="1">
        <v>10.7</v>
      </c>
      <c r="R234" s="1" t="s">
        <v>168</v>
      </c>
      <c r="S234" s="1" t="s">
        <v>1270</v>
      </c>
      <c r="T234" s="20" t="s">
        <v>843</v>
      </c>
      <c r="U234" s="1" t="s">
        <v>134</v>
      </c>
      <c r="V234" s="14">
        <v>0.02</v>
      </c>
      <c r="W234" s="1"/>
      <c r="X234" s="1"/>
      <c r="Y234" s="1"/>
      <c r="Z234" s="1"/>
    </row>
    <row r="235" spans="1:26" ht="25.2" customHeight="1" x14ac:dyDescent="0.3">
      <c r="A235" s="3" t="s">
        <v>522</v>
      </c>
      <c r="B235" s="3" t="s">
        <v>804</v>
      </c>
      <c r="C235" s="5">
        <v>46209</v>
      </c>
      <c r="D235" s="5">
        <v>46209</v>
      </c>
      <c r="E235" s="3" t="s">
        <v>1269</v>
      </c>
      <c r="F235" s="3">
        <v>3</v>
      </c>
      <c r="G235" s="3">
        <v>700</v>
      </c>
      <c r="H235" s="3">
        <v>32.299999999999997</v>
      </c>
      <c r="I235" s="3">
        <v>890</v>
      </c>
      <c r="J235" s="3">
        <v>1</v>
      </c>
      <c r="K235" s="4">
        <f t="shared" si="15"/>
        <v>32.359550561797754</v>
      </c>
      <c r="L235" s="3"/>
      <c r="M235" s="1">
        <v>56.1</v>
      </c>
      <c r="N235" s="1">
        <v>56.9</v>
      </c>
      <c r="O235" s="2">
        <f t="shared" si="16"/>
        <v>56.9</v>
      </c>
      <c r="P235" s="1">
        <v>175</v>
      </c>
      <c r="Q235" s="1">
        <v>10.7</v>
      </c>
      <c r="R235" s="1" t="s">
        <v>168</v>
      </c>
      <c r="S235" s="1" t="s">
        <v>1274</v>
      </c>
      <c r="T235" s="20" t="s">
        <v>843</v>
      </c>
      <c r="U235" s="1" t="s">
        <v>169</v>
      </c>
      <c r="V235" s="14">
        <v>0.02</v>
      </c>
      <c r="W235" s="1"/>
      <c r="X235" s="1"/>
      <c r="Y235" s="1"/>
      <c r="Z235" s="1"/>
    </row>
    <row r="236" spans="1:26" ht="25.2" customHeight="1" x14ac:dyDescent="0.3">
      <c r="A236" s="3" t="s">
        <v>523</v>
      </c>
      <c r="B236" s="3" t="s">
        <v>1275</v>
      </c>
      <c r="C236" s="5">
        <v>46209</v>
      </c>
      <c r="D236" s="5">
        <v>46209</v>
      </c>
      <c r="E236" s="3" t="s">
        <v>1269</v>
      </c>
      <c r="F236" s="3">
        <v>3</v>
      </c>
      <c r="G236" s="3">
        <v>500</v>
      </c>
      <c r="H236" s="3">
        <v>32.299999999999997</v>
      </c>
      <c r="I236" s="3">
        <v>890</v>
      </c>
      <c r="J236" s="3">
        <v>1</v>
      </c>
      <c r="K236" s="4">
        <f t="shared" si="15"/>
        <v>32.359550561797754</v>
      </c>
      <c r="L236" s="3"/>
      <c r="M236" s="1">
        <v>56.8</v>
      </c>
      <c r="N236" s="1">
        <v>57.4</v>
      </c>
      <c r="O236" s="2">
        <f t="shared" si="16"/>
        <v>57.4</v>
      </c>
      <c r="P236" s="1">
        <v>175</v>
      </c>
      <c r="Q236" s="1">
        <v>10.7</v>
      </c>
      <c r="R236" s="1" t="s">
        <v>168</v>
      </c>
      <c r="S236" s="1" t="s">
        <v>1276</v>
      </c>
      <c r="T236" s="20" t="s">
        <v>843</v>
      </c>
      <c r="U236" s="1" t="s">
        <v>141</v>
      </c>
      <c r="V236" s="14">
        <v>0.02</v>
      </c>
      <c r="W236" s="1"/>
      <c r="X236" s="1"/>
      <c r="Y236" s="1"/>
      <c r="Z236" s="1"/>
    </row>
    <row r="237" spans="1:26" ht="25.2" customHeight="1" x14ac:dyDescent="0.3">
      <c r="A237" s="3" t="s">
        <v>524</v>
      </c>
      <c r="B237" s="3" t="s">
        <v>1277</v>
      </c>
      <c r="C237" s="5">
        <v>46209</v>
      </c>
      <c r="D237" s="5">
        <v>46209</v>
      </c>
      <c r="E237" s="3" t="s">
        <v>1269</v>
      </c>
      <c r="F237" s="3">
        <v>3</v>
      </c>
      <c r="G237" s="3">
        <v>435</v>
      </c>
      <c r="H237" s="3">
        <v>32.299999999999997</v>
      </c>
      <c r="I237" s="3">
        <v>890</v>
      </c>
      <c r="J237" s="3">
        <v>1</v>
      </c>
      <c r="K237" s="4">
        <f t="shared" si="15"/>
        <v>32.359550561797754</v>
      </c>
      <c r="L237" s="3"/>
      <c r="M237" s="1">
        <v>57.2</v>
      </c>
      <c r="N237" s="1">
        <v>57.9</v>
      </c>
      <c r="O237" s="2">
        <f t="shared" si="16"/>
        <v>57.9</v>
      </c>
      <c r="P237" s="1">
        <v>175</v>
      </c>
      <c r="Q237" s="1">
        <v>10.7</v>
      </c>
      <c r="R237" s="1" t="s">
        <v>168</v>
      </c>
      <c r="S237" s="1" t="s">
        <v>1278</v>
      </c>
      <c r="T237" s="20" t="s">
        <v>843</v>
      </c>
      <c r="U237" s="1" t="s">
        <v>925</v>
      </c>
      <c r="V237" s="14">
        <v>0.02</v>
      </c>
      <c r="W237" s="1"/>
      <c r="X237" s="1"/>
      <c r="Y237" s="1"/>
      <c r="Z237" s="1"/>
    </row>
    <row r="238" spans="1:26" ht="25.2" customHeight="1" x14ac:dyDescent="0.3">
      <c r="A238" s="3" t="s">
        <v>525</v>
      </c>
      <c r="B238" s="3" t="s">
        <v>1279</v>
      </c>
      <c r="C238" s="5">
        <v>46210</v>
      </c>
      <c r="D238" s="5">
        <v>46210</v>
      </c>
      <c r="E238" s="3" t="s">
        <v>1269</v>
      </c>
      <c r="F238" s="3">
        <v>3</v>
      </c>
      <c r="G238" s="3">
        <v>410</v>
      </c>
      <c r="H238" s="3">
        <v>32.299999999999997</v>
      </c>
      <c r="I238" s="3">
        <v>890</v>
      </c>
      <c r="J238" s="3">
        <v>1</v>
      </c>
      <c r="K238" s="4">
        <f t="shared" si="15"/>
        <v>32.359550561797754</v>
      </c>
      <c r="L238" s="3"/>
      <c r="M238" s="1">
        <v>57.8</v>
      </c>
      <c r="N238" s="1">
        <v>58.5</v>
      </c>
      <c r="O238" s="2">
        <f t="shared" si="16"/>
        <v>58.5</v>
      </c>
      <c r="P238" s="1">
        <v>175</v>
      </c>
      <c r="Q238" s="1">
        <v>10.7</v>
      </c>
      <c r="R238" s="1" t="s">
        <v>168</v>
      </c>
      <c r="S238" s="1" t="s">
        <v>1280</v>
      </c>
      <c r="T238" s="20" t="s">
        <v>843</v>
      </c>
      <c r="U238" s="1" t="s">
        <v>149</v>
      </c>
      <c r="V238" s="14">
        <v>0.02</v>
      </c>
      <c r="W238" s="1"/>
      <c r="X238" s="1"/>
      <c r="Y238" s="1"/>
      <c r="Z238" s="1"/>
    </row>
    <row r="239" spans="1:26" ht="25.2" customHeight="1" x14ac:dyDescent="0.3">
      <c r="A239" s="3" t="s">
        <v>526</v>
      </c>
      <c r="B239" s="3" t="s">
        <v>1284</v>
      </c>
      <c r="C239" s="5">
        <v>46210</v>
      </c>
      <c r="D239" s="5">
        <v>46210</v>
      </c>
      <c r="E239" s="3" t="s">
        <v>1269</v>
      </c>
      <c r="F239" s="3">
        <v>3</v>
      </c>
      <c r="G239" s="3">
        <v>400</v>
      </c>
      <c r="H239" s="3">
        <v>32.299999999999997</v>
      </c>
      <c r="I239" s="3">
        <v>890</v>
      </c>
      <c r="J239" s="3">
        <v>1</v>
      </c>
      <c r="K239" s="4">
        <f t="shared" si="15"/>
        <v>32.359550561797754</v>
      </c>
      <c r="L239" s="3"/>
      <c r="M239" s="1">
        <v>57.6</v>
      </c>
      <c r="N239" s="1">
        <v>58.4</v>
      </c>
      <c r="O239" s="2">
        <f t="shared" si="16"/>
        <v>58.4</v>
      </c>
      <c r="P239" s="1">
        <v>175</v>
      </c>
      <c r="Q239" s="1">
        <v>10.7</v>
      </c>
      <c r="R239" s="1" t="s">
        <v>168</v>
      </c>
      <c r="S239" s="1" t="s">
        <v>1285</v>
      </c>
      <c r="T239" s="20" t="s">
        <v>843</v>
      </c>
      <c r="U239" s="1" t="s">
        <v>208</v>
      </c>
      <c r="V239" s="14">
        <v>0.02</v>
      </c>
      <c r="W239" s="1"/>
      <c r="X239" s="1" t="s">
        <v>678</v>
      </c>
      <c r="Y239" s="1" t="s">
        <v>120</v>
      </c>
      <c r="Z239" s="1"/>
    </row>
    <row r="240" spans="1:26" ht="25.2" customHeight="1" x14ac:dyDescent="0.3">
      <c r="A240" s="3" t="s">
        <v>527</v>
      </c>
      <c r="B240" s="3" t="s">
        <v>1286</v>
      </c>
      <c r="C240" s="5">
        <v>46210</v>
      </c>
      <c r="D240" s="5">
        <v>46211</v>
      </c>
      <c r="E240" s="3" t="s">
        <v>1287</v>
      </c>
      <c r="F240" s="3">
        <v>3</v>
      </c>
      <c r="G240" s="3">
        <v>1240</v>
      </c>
      <c r="H240" s="3">
        <v>45.9</v>
      </c>
      <c r="I240" s="3">
        <v>627</v>
      </c>
      <c r="J240" s="3">
        <v>1</v>
      </c>
      <c r="K240" s="4">
        <f t="shared" si="15"/>
        <v>45.933014354066984</v>
      </c>
      <c r="L240" s="3">
        <v>84</v>
      </c>
      <c r="M240" s="1">
        <v>118.8</v>
      </c>
      <c r="N240" s="1">
        <v>126</v>
      </c>
      <c r="O240" s="2">
        <f t="shared" si="16"/>
        <v>126</v>
      </c>
      <c r="P240" s="1">
        <v>40</v>
      </c>
      <c r="Q240" s="1">
        <v>5</v>
      </c>
      <c r="R240" s="1" t="s">
        <v>92</v>
      </c>
      <c r="S240" s="1" t="s">
        <v>1252</v>
      </c>
      <c r="T240" s="20" t="s">
        <v>723</v>
      </c>
      <c r="U240" s="1" t="s">
        <v>1288</v>
      </c>
      <c r="V240" s="14">
        <v>0.02</v>
      </c>
      <c r="W240" s="1" t="s">
        <v>678</v>
      </c>
      <c r="X240" s="1" t="s">
        <v>678</v>
      </c>
      <c r="Y240" s="1"/>
      <c r="Z240" s="1"/>
    </row>
    <row r="241" spans="1:26" ht="25.2" customHeight="1" x14ac:dyDescent="0.3">
      <c r="A241" s="3" t="s">
        <v>528</v>
      </c>
      <c r="B241" s="3" t="s">
        <v>135</v>
      </c>
      <c r="C241" s="5">
        <v>46211</v>
      </c>
      <c r="D241" s="5">
        <v>46213</v>
      </c>
      <c r="E241" s="3" t="s">
        <v>1289</v>
      </c>
      <c r="F241" s="3">
        <v>3</v>
      </c>
      <c r="G241" s="3">
        <v>3000</v>
      </c>
      <c r="H241" s="3">
        <v>45.9</v>
      </c>
      <c r="I241" s="3">
        <v>627</v>
      </c>
      <c r="J241" s="3">
        <v>1</v>
      </c>
      <c r="K241" s="4">
        <f t="shared" si="15"/>
        <v>45.933014354066984</v>
      </c>
      <c r="L241" s="3"/>
      <c r="M241" s="1">
        <v>117.1</v>
      </c>
      <c r="N241" s="1">
        <v>117.9</v>
      </c>
      <c r="O241" s="2">
        <f t="shared" si="16"/>
        <v>117.9</v>
      </c>
      <c r="P241" s="1">
        <v>40</v>
      </c>
      <c r="Q241" s="1">
        <v>5</v>
      </c>
      <c r="R241" s="1" t="s">
        <v>92</v>
      </c>
      <c r="S241" s="1" t="s">
        <v>1252</v>
      </c>
      <c r="T241" s="20" t="s">
        <v>723</v>
      </c>
      <c r="U241" s="1" t="s">
        <v>169</v>
      </c>
      <c r="V241" s="14">
        <v>0.02</v>
      </c>
      <c r="W241" s="1" t="s">
        <v>678</v>
      </c>
      <c r="X241" s="1" t="s">
        <v>678</v>
      </c>
      <c r="Y241" s="1" t="s">
        <v>120</v>
      </c>
      <c r="Z241" s="1"/>
    </row>
    <row r="242" spans="1:26" ht="25.2" customHeight="1" x14ac:dyDescent="0.3">
      <c r="A242" s="3" t="s">
        <v>529</v>
      </c>
      <c r="B242" s="3" t="s">
        <v>1302</v>
      </c>
      <c r="C242" s="5">
        <v>46213</v>
      </c>
      <c r="D242" s="5">
        <v>46218</v>
      </c>
      <c r="E242" s="3" t="s">
        <v>1303</v>
      </c>
      <c r="F242" s="3">
        <v>3</v>
      </c>
      <c r="G242" s="3">
        <v>4200</v>
      </c>
      <c r="H242" s="3">
        <v>49</v>
      </c>
      <c r="I242" s="3">
        <v>587</v>
      </c>
      <c r="J242" s="3">
        <v>1</v>
      </c>
      <c r="K242" s="4">
        <f t="shared" si="15"/>
        <v>49.063032367972745</v>
      </c>
      <c r="L242" s="3"/>
      <c r="M242" s="1">
        <v>109.1</v>
      </c>
      <c r="N242" s="1">
        <v>109.7</v>
      </c>
      <c r="O242" s="2">
        <f t="shared" si="16"/>
        <v>109.7</v>
      </c>
      <c r="P242" s="1">
        <v>50</v>
      </c>
      <c r="Q242" s="1">
        <v>6.1</v>
      </c>
      <c r="R242" s="1" t="s">
        <v>92</v>
      </c>
      <c r="S242" s="1" t="s">
        <v>1252</v>
      </c>
      <c r="T242" s="17" t="s">
        <v>133</v>
      </c>
      <c r="U242" s="1" t="s">
        <v>258</v>
      </c>
      <c r="V242" s="14">
        <v>0.02</v>
      </c>
      <c r="W242" s="1" t="s">
        <v>678</v>
      </c>
      <c r="X242" s="1" t="s">
        <v>1320</v>
      </c>
      <c r="Y242" s="1" t="s">
        <v>120</v>
      </c>
      <c r="Z242" s="1"/>
    </row>
    <row r="243" spans="1:26" ht="25.2" customHeight="1" x14ac:dyDescent="0.3">
      <c r="A243" s="3" t="s">
        <v>530</v>
      </c>
      <c r="B243" s="3" t="s">
        <v>1309</v>
      </c>
      <c r="C243" s="5">
        <v>46217</v>
      </c>
      <c r="D243" s="5">
        <v>46217</v>
      </c>
      <c r="E243" s="3" t="s">
        <v>1310</v>
      </c>
      <c r="F243" s="3">
        <v>8</v>
      </c>
      <c r="G243" s="3">
        <v>1039</v>
      </c>
      <c r="H243" s="3">
        <v>46.2</v>
      </c>
      <c r="I243" s="3">
        <v>1240</v>
      </c>
      <c r="J243" s="3">
        <v>2</v>
      </c>
      <c r="K243" s="4">
        <f t="shared" si="15"/>
        <v>46.451612903225808</v>
      </c>
      <c r="L243" s="3"/>
      <c r="M243" s="1">
        <v>111.3</v>
      </c>
      <c r="N243" s="1">
        <v>224.6</v>
      </c>
      <c r="O243" s="2">
        <f t="shared" si="16"/>
        <v>112.3</v>
      </c>
      <c r="P243" s="1">
        <v>100</v>
      </c>
      <c r="Q243" s="1"/>
      <c r="R243" s="1" t="s">
        <v>92</v>
      </c>
      <c r="S243" s="1" t="s">
        <v>1252</v>
      </c>
      <c r="T243" s="11" t="s">
        <v>1058</v>
      </c>
      <c r="U243" s="1" t="s">
        <v>647</v>
      </c>
      <c r="V243" s="14">
        <v>0.03</v>
      </c>
      <c r="W243" s="1" t="s">
        <v>678</v>
      </c>
      <c r="X243" s="1"/>
      <c r="Y243" s="1"/>
      <c r="Z243" s="1"/>
    </row>
    <row r="244" spans="1:26" ht="25.2" customHeight="1" x14ac:dyDescent="0.3">
      <c r="A244" s="3" t="s">
        <v>531</v>
      </c>
      <c r="B244" s="3" t="s">
        <v>755</v>
      </c>
      <c r="C244" s="5">
        <v>46217</v>
      </c>
      <c r="D244" s="5">
        <v>46217</v>
      </c>
      <c r="E244" s="3" t="s">
        <v>1310</v>
      </c>
      <c r="F244" s="3">
        <v>8</v>
      </c>
      <c r="G244" s="3">
        <v>1129</v>
      </c>
      <c r="H244" s="3">
        <v>46.2</v>
      </c>
      <c r="I244" s="3">
        <v>1240</v>
      </c>
      <c r="J244" s="3">
        <v>2</v>
      </c>
      <c r="K244" s="4">
        <f t="shared" si="15"/>
        <v>46.451612903225808</v>
      </c>
      <c r="L244" s="3"/>
      <c r="M244" s="1">
        <v>113.5</v>
      </c>
      <c r="N244" s="1">
        <v>224.8</v>
      </c>
      <c r="O244" s="2">
        <f t="shared" si="16"/>
        <v>112.4</v>
      </c>
      <c r="P244" s="1">
        <v>100</v>
      </c>
      <c r="Q244" s="1"/>
      <c r="R244" s="1" t="s">
        <v>92</v>
      </c>
      <c r="S244" s="1" t="s">
        <v>1270</v>
      </c>
      <c r="T244" s="11" t="s">
        <v>1058</v>
      </c>
      <c r="U244" s="1" t="s">
        <v>652</v>
      </c>
      <c r="V244" s="14">
        <v>0.03</v>
      </c>
      <c r="W244" s="1" t="s">
        <v>94</v>
      </c>
      <c r="X244" s="1" t="s">
        <v>678</v>
      </c>
      <c r="Y244" s="1" t="s">
        <v>120</v>
      </c>
      <c r="Z244" s="1"/>
    </row>
    <row r="245" spans="1:26" ht="25.2" customHeight="1" x14ac:dyDescent="0.3">
      <c r="A245" s="3" t="s">
        <v>532</v>
      </c>
      <c r="B245" s="3" t="s">
        <v>1321</v>
      </c>
      <c r="C245" s="5">
        <v>46218</v>
      </c>
      <c r="D245" s="5">
        <v>46218</v>
      </c>
      <c r="E245" s="3" t="s">
        <v>1322</v>
      </c>
      <c r="F245" s="3">
        <v>3</v>
      </c>
      <c r="G245" s="3">
        <v>1012</v>
      </c>
      <c r="H245" s="3">
        <v>37.5</v>
      </c>
      <c r="I245" s="3">
        <v>768</v>
      </c>
      <c r="J245" s="3">
        <v>1</v>
      </c>
      <c r="K245" s="4">
        <f t="shared" si="15"/>
        <v>37.5</v>
      </c>
      <c r="L245" s="3"/>
      <c r="M245" s="1">
        <v>128.30000000000001</v>
      </c>
      <c r="N245" s="1">
        <v>128.9</v>
      </c>
      <c r="O245" s="2">
        <f t="shared" si="16"/>
        <v>128.9</v>
      </c>
      <c r="P245" s="1">
        <v>32</v>
      </c>
      <c r="Q245" s="1">
        <v>4.3499999999999996</v>
      </c>
      <c r="R245" s="1" t="s">
        <v>87</v>
      </c>
      <c r="S245" s="1" t="s">
        <v>1252</v>
      </c>
      <c r="T245" s="17" t="s">
        <v>133</v>
      </c>
      <c r="U245" s="1" t="s">
        <v>134</v>
      </c>
      <c r="V245" s="14">
        <v>0.02</v>
      </c>
      <c r="W245" s="1" t="s">
        <v>1323</v>
      </c>
      <c r="X245" s="1"/>
      <c r="Y245" s="1"/>
      <c r="Z245" s="1"/>
    </row>
    <row r="246" spans="1:26" ht="25.2" customHeight="1" x14ac:dyDescent="0.3">
      <c r="A246" s="3" t="s">
        <v>533</v>
      </c>
      <c r="B246" s="3" t="s">
        <v>1329</v>
      </c>
      <c r="C246" s="5">
        <v>46219</v>
      </c>
      <c r="D246" s="5">
        <v>46220</v>
      </c>
      <c r="E246" s="3" t="s">
        <v>1322</v>
      </c>
      <c r="F246" s="3">
        <v>3</v>
      </c>
      <c r="G246" s="3">
        <v>800</v>
      </c>
      <c r="H246" s="3">
        <v>37.5</v>
      </c>
      <c r="I246" s="3">
        <v>768</v>
      </c>
      <c r="J246" s="3">
        <v>1</v>
      </c>
      <c r="K246" s="4">
        <f t="shared" si="15"/>
        <v>37.5</v>
      </c>
      <c r="L246" s="3"/>
      <c r="M246" s="1">
        <v>128.1</v>
      </c>
      <c r="N246" s="1">
        <v>128.6</v>
      </c>
      <c r="O246" s="2">
        <f t="shared" si="16"/>
        <v>128.6</v>
      </c>
      <c r="P246" s="1">
        <v>32</v>
      </c>
      <c r="Q246" s="1">
        <v>4.3499999999999996</v>
      </c>
      <c r="R246" s="1" t="s">
        <v>87</v>
      </c>
      <c r="S246" s="1" t="s">
        <v>1270</v>
      </c>
      <c r="T246" s="17" t="s">
        <v>133</v>
      </c>
      <c r="U246" s="1" t="s">
        <v>184</v>
      </c>
      <c r="V246" s="14">
        <v>0.02</v>
      </c>
      <c r="W246" s="1"/>
      <c r="X246" s="1"/>
      <c r="Y246" s="1"/>
      <c r="Z246" s="1"/>
    </row>
    <row r="247" spans="1:26" ht="25.2" customHeight="1" x14ac:dyDescent="0.3">
      <c r="A247" s="3" t="s">
        <v>534</v>
      </c>
      <c r="B247" s="3" t="s">
        <v>1333</v>
      </c>
      <c r="C247" s="5">
        <v>46220</v>
      </c>
      <c r="D247" s="5">
        <v>46220</v>
      </c>
      <c r="E247" s="3" t="s">
        <v>1322</v>
      </c>
      <c r="F247" s="3">
        <v>3</v>
      </c>
      <c r="G247" s="3">
        <v>800</v>
      </c>
      <c r="H247" s="3">
        <v>37.5</v>
      </c>
      <c r="I247" s="3">
        <v>768</v>
      </c>
      <c r="J247" s="3">
        <v>1</v>
      </c>
      <c r="K247" s="4">
        <f t="shared" si="15"/>
        <v>37.5</v>
      </c>
      <c r="L247" s="3"/>
      <c r="M247" s="1">
        <v>128.30000000000001</v>
      </c>
      <c r="N247" s="1">
        <v>128.9</v>
      </c>
      <c r="O247" s="2">
        <f t="shared" si="16"/>
        <v>128.9</v>
      </c>
      <c r="P247" s="1">
        <v>32</v>
      </c>
      <c r="Q247" s="1">
        <v>4.3499999999999996</v>
      </c>
      <c r="R247" s="1" t="s">
        <v>1334</v>
      </c>
      <c r="S247" s="1" t="s">
        <v>1335</v>
      </c>
      <c r="T247" s="17" t="s">
        <v>133</v>
      </c>
      <c r="U247" s="1" t="s">
        <v>180</v>
      </c>
      <c r="V247" s="14">
        <v>0.02</v>
      </c>
      <c r="W247" s="1"/>
      <c r="X247" s="1" t="s">
        <v>94</v>
      </c>
      <c r="Y247" s="1" t="s">
        <v>120</v>
      </c>
      <c r="Z247" s="1"/>
    </row>
    <row r="248" spans="1:26" ht="25.2" customHeight="1" x14ac:dyDescent="0.3">
      <c r="A248" s="3" t="s">
        <v>535</v>
      </c>
      <c r="B248" s="3" t="s">
        <v>1324</v>
      </c>
      <c r="C248" s="5">
        <v>46218</v>
      </c>
      <c r="D248" s="5">
        <v>46219</v>
      </c>
      <c r="E248" s="3" t="s">
        <v>1325</v>
      </c>
      <c r="F248" s="3">
        <v>8</v>
      </c>
      <c r="G248" s="3">
        <v>800</v>
      </c>
      <c r="H248" s="3">
        <v>67.7</v>
      </c>
      <c r="I248" s="3">
        <v>425</v>
      </c>
      <c r="J248" s="3">
        <v>1</v>
      </c>
      <c r="K248" s="4">
        <f t="shared" si="15"/>
        <v>67.764705882352942</v>
      </c>
      <c r="L248" s="3"/>
      <c r="M248" s="1">
        <v>400</v>
      </c>
      <c r="N248" s="1">
        <v>400.5</v>
      </c>
      <c r="O248" s="2">
        <f t="shared" si="16"/>
        <v>400.5</v>
      </c>
      <c r="P248" s="1">
        <v>20</v>
      </c>
      <c r="Q248" s="1"/>
      <c r="R248" s="1" t="s">
        <v>84</v>
      </c>
      <c r="S248" s="1" t="s">
        <v>1252</v>
      </c>
      <c r="T248" s="17" t="s">
        <v>133</v>
      </c>
      <c r="U248" s="1" t="s">
        <v>1326</v>
      </c>
      <c r="V248" s="14">
        <v>0.02</v>
      </c>
      <c r="W248" s="1" t="s">
        <v>678</v>
      </c>
      <c r="X248" s="1"/>
      <c r="Y248" s="1"/>
      <c r="Z248" s="1"/>
    </row>
    <row r="249" spans="1:26" ht="25.2" customHeight="1" x14ac:dyDescent="0.3">
      <c r="A249" s="3" t="s">
        <v>536</v>
      </c>
      <c r="B249" s="3" t="s">
        <v>665</v>
      </c>
      <c r="C249" s="5">
        <v>46219</v>
      </c>
      <c r="D249" s="5">
        <v>46220</v>
      </c>
      <c r="E249" s="3" t="s">
        <v>1325</v>
      </c>
      <c r="F249" s="3">
        <v>8</v>
      </c>
      <c r="G249" s="3">
        <v>1000</v>
      </c>
      <c r="H249" s="3">
        <v>67.599999999999994</v>
      </c>
      <c r="I249" s="3">
        <v>425</v>
      </c>
      <c r="J249" s="3">
        <v>1</v>
      </c>
      <c r="K249" s="4">
        <f t="shared" si="15"/>
        <v>67.764705882352942</v>
      </c>
      <c r="L249" s="3">
        <v>44</v>
      </c>
      <c r="M249" s="1">
        <v>398</v>
      </c>
      <c r="N249" s="1">
        <v>400.4</v>
      </c>
      <c r="O249" s="2">
        <f t="shared" si="16"/>
        <v>400.4</v>
      </c>
      <c r="P249" s="1">
        <v>20</v>
      </c>
      <c r="Q249" s="1"/>
      <c r="R249" s="1" t="s">
        <v>84</v>
      </c>
      <c r="S249" s="1" t="s">
        <v>1270</v>
      </c>
      <c r="T249" s="17" t="s">
        <v>133</v>
      </c>
      <c r="U249" s="1" t="s">
        <v>169</v>
      </c>
      <c r="V249" s="14">
        <v>0.02</v>
      </c>
      <c r="W249" s="1" t="s">
        <v>94</v>
      </c>
      <c r="X249" s="1" t="s">
        <v>94</v>
      </c>
      <c r="Y249" s="1" t="s">
        <v>120</v>
      </c>
      <c r="Z249" s="1"/>
    </row>
    <row r="250" spans="1:26" ht="25.2" customHeight="1" x14ac:dyDescent="0.3">
      <c r="A250" s="3" t="s">
        <v>537</v>
      </c>
      <c r="B250" s="3" t="s">
        <v>1336</v>
      </c>
      <c r="C250" s="5">
        <v>46219</v>
      </c>
      <c r="D250" s="5">
        <v>46223</v>
      </c>
      <c r="E250" s="3" t="s">
        <v>1331</v>
      </c>
      <c r="F250" s="3">
        <v>9</v>
      </c>
      <c r="G250" s="3">
        <v>3000</v>
      </c>
      <c r="H250" s="3">
        <v>47</v>
      </c>
      <c r="I250" s="3">
        <v>615</v>
      </c>
      <c r="J250" s="3">
        <v>1</v>
      </c>
      <c r="K250" s="4">
        <f t="shared" si="15"/>
        <v>46.829268292682926</v>
      </c>
      <c r="L250" s="3">
        <v>76</v>
      </c>
      <c r="M250" s="1">
        <v>450</v>
      </c>
      <c r="N250" s="1">
        <v>450.3</v>
      </c>
      <c r="O250" s="2">
        <f t="shared" si="16"/>
        <v>450.3</v>
      </c>
      <c r="P250" s="1">
        <v>15</v>
      </c>
      <c r="Q250" s="1">
        <v>7.75</v>
      </c>
      <c r="R250" s="1" t="s">
        <v>84</v>
      </c>
      <c r="S250" s="1" t="s">
        <v>1252</v>
      </c>
      <c r="T250" s="20" t="s">
        <v>1332</v>
      </c>
      <c r="U250" s="1" t="s">
        <v>169</v>
      </c>
      <c r="V250" s="14">
        <v>0.02</v>
      </c>
      <c r="W250" s="1" t="s">
        <v>678</v>
      </c>
      <c r="X250" s="1"/>
      <c r="Y250" s="1"/>
      <c r="Z250" s="1"/>
    </row>
    <row r="251" spans="1:26" ht="25.2" customHeight="1" x14ac:dyDescent="0.3">
      <c r="A251" s="3" t="s">
        <v>538</v>
      </c>
      <c r="B251" s="3" t="s">
        <v>212</v>
      </c>
      <c r="C251" s="5">
        <v>46220</v>
      </c>
      <c r="D251" s="5">
        <v>46223</v>
      </c>
      <c r="E251" s="3" t="s">
        <v>1337</v>
      </c>
      <c r="F251" s="3">
        <v>3</v>
      </c>
      <c r="G251" s="3">
        <v>103</v>
      </c>
      <c r="H251" s="3">
        <v>64.099999999999994</v>
      </c>
      <c r="I251" s="3">
        <v>450</v>
      </c>
      <c r="J251" s="3">
        <v>1</v>
      </c>
      <c r="K251" s="4">
        <f t="shared" si="15"/>
        <v>64</v>
      </c>
      <c r="L251" s="3">
        <v>43</v>
      </c>
      <c r="M251" s="1">
        <v>208</v>
      </c>
      <c r="N251" s="1">
        <v>208.3</v>
      </c>
      <c r="O251" s="2">
        <f t="shared" si="16"/>
        <v>208.3</v>
      </c>
      <c r="P251" s="1">
        <v>52</v>
      </c>
      <c r="Q251" s="1">
        <v>12</v>
      </c>
      <c r="R251" s="1" t="s">
        <v>99</v>
      </c>
      <c r="S251" s="1" t="s">
        <v>1252</v>
      </c>
      <c r="T251" s="20" t="s">
        <v>723</v>
      </c>
      <c r="U251" s="1" t="s">
        <v>1326</v>
      </c>
      <c r="V251" s="14">
        <v>0.02</v>
      </c>
      <c r="W251" s="1" t="s">
        <v>94</v>
      </c>
      <c r="X251" s="1" t="s">
        <v>678</v>
      </c>
      <c r="Y251" s="1" t="s">
        <v>120</v>
      </c>
      <c r="Z251" s="1"/>
    </row>
    <row r="252" spans="1:26" ht="25.2" customHeight="1" x14ac:dyDescent="0.3">
      <c r="A252" s="3" t="s">
        <v>539</v>
      </c>
      <c r="B252" s="3" t="s">
        <v>1346</v>
      </c>
      <c r="C252" s="5">
        <v>46224</v>
      </c>
      <c r="D252" s="5">
        <v>46224</v>
      </c>
      <c r="E252" s="3" t="s">
        <v>1345</v>
      </c>
      <c r="F252" s="3">
        <v>9</v>
      </c>
      <c r="G252" s="3">
        <v>559</v>
      </c>
      <c r="H252" s="3">
        <v>47</v>
      </c>
      <c r="I252" s="3">
        <v>615</v>
      </c>
      <c r="J252" s="3">
        <v>1</v>
      </c>
      <c r="K252" s="4">
        <f t="shared" ref="K252:K315" si="19">(3600/(I252/8))*J252</f>
        <v>46.829268292682926</v>
      </c>
      <c r="L252" s="3"/>
      <c r="M252" s="1">
        <v>0.45</v>
      </c>
      <c r="N252" s="1">
        <v>0.45</v>
      </c>
      <c r="O252" s="2">
        <f t="shared" ref="O252:O315" si="20">N252/J252</f>
        <v>0.45</v>
      </c>
      <c r="P252" s="1">
        <v>15</v>
      </c>
      <c r="Q252" s="1">
        <v>7.75</v>
      </c>
      <c r="R252" s="1" t="s">
        <v>84</v>
      </c>
      <c r="S252" s="1" t="s">
        <v>1252</v>
      </c>
      <c r="T252" s="20" t="s">
        <v>1332</v>
      </c>
      <c r="U252" s="1" t="s">
        <v>169</v>
      </c>
      <c r="V252" s="14">
        <v>0.02</v>
      </c>
      <c r="W252" s="1" t="s">
        <v>94</v>
      </c>
      <c r="X252" s="1"/>
      <c r="Y252" s="1"/>
      <c r="Z252" s="1"/>
    </row>
    <row r="253" spans="1:26" ht="25.2" customHeight="1" x14ac:dyDescent="0.3">
      <c r="A253" s="3" t="s">
        <v>540</v>
      </c>
      <c r="B253" s="3" t="s">
        <v>1344</v>
      </c>
      <c r="C253" s="5">
        <v>46224</v>
      </c>
      <c r="D253" s="5">
        <v>46224</v>
      </c>
      <c r="E253" s="3" t="s">
        <v>1345</v>
      </c>
      <c r="F253" s="3">
        <v>9</v>
      </c>
      <c r="G253" s="3">
        <v>532</v>
      </c>
      <c r="H253" s="3">
        <v>47</v>
      </c>
      <c r="I253" s="3">
        <v>615</v>
      </c>
      <c r="J253" s="3">
        <v>1</v>
      </c>
      <c r="K253" s="4">
        <f t="shared" si="19"/>
        <v>46.829268292682926</v>
      </c>
      <c r="L253" s="3"/>
      <c r="M253" s="1">
        <v>0.45</v>
      </c>
      <c r="N253" s="1">
        <v>0.45</v>
      </c>
      <c r="O253" s="2">
        <f t="shared" si="20"/>
        <v>0.45</v>
      </c>
      <c r="P253" s="1">
        <v>15</v>
      </c>
      <c r="Q253" s="1">
        <v>7.75</v>
      </c>
      <c r="R253" s="1" t="s">
        <v>84</v>
      </c>
      <c r="S253" s="1" t="s">
        <v>1270</v>
      </c>
      <c r="T253" s="20" t="s">
        <v>1332</v>
      </c>
      <c r="U253" s="1" t="s">
        <v>1326</v>
      </c>
      <c r="V253" s="14">
        <v>0.02</v>
      </c>
      <c r="W253" s="1"/>
      <c r="X253" s="1"/>
      <c r="Y253" s="1"/>
      <c r="Z253" s="1"/>
    </row>
    <row r="254" spans="1:26" ht="25.2" customHeight="1" x14ac:dyDescent="0.3">
      <c r="A254" s="3" t="s">
        <v>541</v>
      </c>
      <c r="B254" s="3" t="s">
        <v>1347</v>
      </c>
      <c r="C254" s="5">
        <v>46225</v>
      </c>
      <c r="D254" s="5">
        <v>46225</v>
      </c>
      <c r="E254" s="3" t="s">
        <v>1345</v>
      </c>
      <c r="F254" s="3">
        <v>9</v>
      </c>
      <c r="G254" s="3">
        <v>550</v>
      </c>
      <c r="H254" s="3">
        <v>47</v>
      </c>
      <c r="I254" s="3">
        <v>615</v>
      </c>
      <c r="J254" s="3">
        <v>1</v>
      </c>
      <c r="K254" s="4">
        <f t="shared" si="19"/>
        <v>46.829268292682926</v>
      </c>
      <c r="L254" s="3"/>
      <c r="M254" s="1">
        <v>0.45</v>
      </c>
      <c r="N254" s="1">
        <v>0.45</v>
      </c>
      <c r="O254" s="2">
        <f t="shared" si="20"/>
        <v>0.45</v>
      </c>
      <c r="P254" s="1">
        <v>15</v>
      </c>
      <c r="Q254" s="1">
        <v>7.75</v>
      </c>
      <c r="R254" s="1" t="s">
        <v>84</v>
      </c>
      <c r="S254" s="1" t="s">
        <v>1274</v>
      </c>
      <c r="T254" s="20" t="s">
        <v>1332</v>
      </c>
      <c r="U254" s="1" t="s">
        <v>207</v>
      </c>
      <c r="V254" s="14">
        <v>0.02</v>
      </c>
      <c r="W254" s="1"/>
      <c r="X254" s="1"/>
      <c r="Y254" s="1"/>
      <c r="Z254" s="1"/>
    </row>
    <row r="255" spans="1:26" ht="25.2" customHeight="1" x14ac:dyDescent="0.3">
      <c r="A255" s="3" t="s">
        <v>542</v>
      </c>
      <c r="B255" s="3" t="s">
        <v>1348</v>
      </c>
      <c r="C255" s="5">
        <v>46225</v>
      </c>
      <c r="D255" s="5">
        <v>46225</v>
      </c>
      <c r="E255" s="3" t="s">
        <v>1345</v>
      </c>
      <c r="F255" s="3">
        <v>9</v>
      </c>
      <c r="G255" s="3">
        <v>517</v>
      </c>
      <c r="H255" s="3">
        <v>50.7</v>
      </c>
      <c r="I255" s="3">
        <v>568</v>
      </c>
      <c r="J255" s="3">
        <v>1</v>
      </c>
      <c r="K255" s="4">
        <f t="shared" si="19"/>
        <v>50.70422535211268</v>
      </c>
      <c r="L255" s="3"/>
      <c r="M255" s="1">
        <v>0.45</v>
      </c>
      <c r="N255" s="1">
        <v>0.45</v>
      </c>
      <c r="O255" s="2">
        <f t="shared" si="20"/>
        <v>0.45</v>
      </c>
      <c r="P255" s="1">
        <v>15</v>
      </c>
      <c r="Q255" s="1">
        <v>7.75</v>
      </c>
      <c r="R255" s="1" t="s">
        <v>84</v>
      </c>
      <c r="S255" s="1" t="s">
        <v>1276</v>
      </c>
      <c r="T255" s="20" t="s">
        <v>1332</v>
      </c>
      <c r="U255" s="1" t="s">
        <v>180</v>
      </c>
      <c r="V255" s="14">
        <v>0.02</v>
      </c>
      <c r="W255" s="1"/>
      <c r="X255" s="1"/>
      <c r="Y255" s="1"/>
      <c r="Z255" s="1"/>
    </row>
    <row r="256" spans="1:26" ht="25.2" customHeight="1" x14ac:dyDescent="0.3">
      <c r="A256" s="3" t="s">
        <v>543</v>
      </c>
      <c r="B256" s="3" t="s">
        <v>1355</v>
      </c>
      <c r="C256" s="5">
        <v>46225</v>
      </c>
      <c r="D256" s="5">
        <v>46226</v>
      </c>
      <c r="E256" s="3" t="s">
        <v>1345</v>
      </c>
      <c r="F256" s="3">
        <v>9</v>
      </c>
      <c r="G256" s="3">
        <v>576</v>
      </c>
      <c r="H256" s="3">
        <v>50.7</v>
      </c>
      <c r="I256" s="3">
        <v>568</v>
      </c>
      <c r="J256" s="3">
        <v>1</v>
      </c>
      <c r="K256" s="4">
        <f t="shared" si="19"/>
        <v>50.70422535211268</v>
      </c>
      <c r="L256" s="3"/>
      <c r="M256" s="1">
        <v>0.45</v>
      </c>
      <c r="N256" s="1">
        <v>0.45</v>
      </c>
      <c r="O256" s="2">
        <f t="shared" si="20"/>
        <v>0.45</v>
      </c>
      <c r="P256" s="1">
        <v>15</v>
      </c>
      <c r="Q256" s="1">
        <v>7.75</v>
      </c>
      <c r="R256" s="1" t="s">
        <v>84</v>
      </c>
      <c r="S256" s="1" t="s">
        <v>1278</v>
      </c>
      <c r="T256" s="20" t="s">
        <v>1332</v>
      </c>
      <c r="U256" s="1" t="s">
        <v>184</v>
      </c>
      <c r="V256" s="14">
        <v>0.02</v>
      </c>
      <c r="W256" s="1"/>
      <c r="X256" s="1"/>
      <c r="Y256" s="1"/>
      <c r="Z256" s="1"/>
    </row>
    <row r="257" spans="1:26" ht="25.2" customHeight="1" x14ac:dyDescent="0.3">
      <c r="A257" s="3" t="s">
        <v>544</v>
      </c>
      <c r="B257" s="3" t="s">
        <v>1356</v>
      </c>
      <c r="C257" s="5">
        <v>46226</v>
      </c>
      <c r="D257" s="5">
        <v>46227</v>
      </c>
      <c r="E257" s="3" t="s">
        <v>1345</v>
      </c>
      <c r="F257" s="3">
        <v>9</v>
      </c>
      <c r="G257" s="3">
        <v>518</v>
      </c>
      <c r="H257" s="3">
        <v>50.7</v>
      </c>
      <c r="I257" s="3">
        <v>568</v>
      </c>
      <c r="J257" s="3">
        <v>1</v>
      </c>
      <c r="K257" s="4">
        <f t="shared" si="19"/>
        <v>50.70422535211268</v>
      </c>
      <c r="L257" s="3"/>
      <c r="M257" s="1">
        <v>0.45</v>
      </c>
      <c r="N257" s="1">
        <v>0.45</v>
      </c>
      <c r="O257" s="2">
        <f t="shared" si="20"/>
        <v>0.45</v>
      </c>
      <c r="P257" s="1">
        <v>15</v>
      </c>
      <c r="Q257" s="1">
        <v>7.75</v>
      </c>
      <c r="R257" s="1" t="s">
        <v>84</v>
      </c>
      <c r="S257" s="1" t="s">
        <v>1280</v>
      </c>
      <c r="T257" s="20" t="s">
        <v>1332</v>
      </c>
      <c r="U257" s="1" t="s">
        <v>211</v>
      </c>
      <c r="V257" s="14">
        <v>0.02</v>
      </c>
      <c r="W257" s="1"/>
      <c r="X257" s="1"/>
      <c r="Y257" s="1"/>
      <c r="Z257" s="1"/>
    </row>
    <row r="258" spans="1:26" ht="25.2" customHeight="1" x14ac:dyDescent="0.3">
      <c r="A258" s="3" t="s">
        <v>545</v>
      </c>
      <c r="B258" s="3" t="s">
        <v>1357</v>
      </c>
      <c r="C258" s="5">
        <v>46227</v>
      </c>
      <c r="D258" s="5">
        <v>46227</v>
      </c>
      <c r="E258" s="3" t="s">
        <v>1345</v>
      </c>
      <c r="F258" s="3">
        <v>9</v>
      </c>
      <c r="G258" s="3">
        <v>513</v>
      </c>
      <c r="H258" s="3">
        <v>50.7</v>
      </c>
      <c r="I258" s="3">
        <v>568</v>
      </c>
      <c r="J258" s="3">
        <v>1</v>
      </c>
      <c r="K258" s="4">
        <f t="shared" si="19"/>
        <v>50.70422535211268</v>
      </c>
      <c r="L258" s="3"/>
      <c r="M258" s="1">
        <v>0.45</v>
      </c>
      <c r="N258" s="1">
        <v>0.45</v>
      </c>
      <c r="O258" s="2">
        <f t="shared" si="20"/>
        <v>0.45</v>
      </c>
      <c r="P258" s="1">
        <v>35</v>
      </c>
      <c r="Q258" s="1">
        <v>16.5</v>
      </c>
      <c r="R258" s="1" t="s">
        <v>84</v>
      </c>
      <c r="S258" s="1" t="s">
        <v>1285</v>
      </c>
      <c r="T258" s="20" t="s">
        <v>1332</v>
      </c>
      <c r="U258" s="1" t="s">
        <v>174</v>
      </c>
      <c r="V258" s="14">
        <v>0.02</v>
      </c>
      <c r="W258" s="1"/>
      <c r="X258" s="1"/>
      <c r="Y258" s="1"/>
      <c r="Z258" s="1"/>
    </row>
    <row r="259" spans="1:26" ht="25.2" customHeight="1" x14ac:dyDescent="0.3">
      <c r="A259" s="3" t="s">
        <v>546</v>
      </c>
      <c r="B259" s="3" t="s">
        <v>1358</v>
      </c>
      <c r="C259" s="5">
        <v>46227</v>
      </c>
      <c r="D259" s="5">
        <v>46227</v>
      </c>
      <c r="E259" s="3" t="s">
        <v>1359</v>
      </c>
      <c r="F259" s="3">
        <v>9</v>
      </c>
      <c r="G259" s="3">
        <v>615</v>
      </c>
      <c r="H259" s="3">
        <v>50.7</v>
      </c>
      <c r="I259" s="3">
        <v>568</v>
      </c>
      <c r="J259" s="3">
        <v>1</v>
      </c>
      <c r="K259" s="4">
        <f t="shared" si="19"/>
        <v>50.70422535211268</v>
      </c>
      <c r="L259" s="3"/>
      <c r="M259" s="1">
        <v>0.45</v>
      </c>
      <c r="N259" s="1">
        <v>0.45</v>
      </c>
      <c r="O259" s="2">
        <f t="shared" si="20"/>
        <v>0.45</v>
      </c>
      <c r="P259" s="1">
        <v>15</v>
      </c>
      <c r="Q259" s="1">
        <v>7.75</v>
      </c>
      <c r="R259" s="1" t="s">
        <v>84</v>
      </c>
      <c r="S259" s="1" t="s">
        <v>1252</v>
      </c>
      <c r="T259" s="20" t="s">
        <v>1332</v>
      </c>
      <c r="U259" s="1" t="s">
        <v>199</v>
      </c>
      <c r="V259" s="14">
        <v>0.02</v>
      </c>
      <c r="W259" s="1"/>
      <c r="X259" s="1" t="s">
        <v>678</v>
      </c>
      <c r="Y259" s="1" t="s">
        <v>151</v>
      </c>
      <c r="Z259" s="1"/>
    </row>
    <row r="260" spans="1:26" ht="25.2" customHeight="1" x14ac:dyDescent="0.3">
      <c r="A260" s="3" t="s">
        <v>547</v>
      </c>
      <c r="B260" s="3" t="s">
        <v>1361</v>
      </c>
      <c r="C260" s="5">
        <v>46227</v>
      </c>
      <c r="D260" s="5">
        <v>46227</v>
      </c>
      <c r="E260" s="3" t="s">
        <v>1362</v>
      </c>
      <c r="F260" s="3">
        <v>4</v>
      </c>
      <c r="G260" s="3">
        <v>1405</v>
      </c>
      <c r="H260" s="3">
        <v>36.5</v>
      </c>
      <c r="I260" s="3">
        <v>789</v>
      </c>
      <c r="J260" s="3">
        <v>1</v>
      </c>
      <c r="K260" s="4">
        <f t="shared" si="19"/>
        <v>36.50190114068441</v>
      </c>
      <c r="L260" s="3"/>
      <c r="M260" s="1">
        <v>58.8</v>
      </c>
      <c r="N260" s="1">
        <v>63.3</v>
      </c>
      <c r="O260" s="2">
        <f t="shared" si="20"/>
        <v>63.3</v>
      </c>
      <c r="P260" s="1">
        <v>120</v>
      </c>
      <c r="Q260" s="1">
        <v>7.55</v>
      </c>
      <c r="R260" s="1" t="s">
        <v>92</v>
      </c>
      <c r="S260" s="1" t="s">
        <v>1252</v>
      </c>
      <c r="T260" s="19" t="s">
        <v>1363</v>
      </c>
      <c r="U260" s="1" t="s">
        <v>342</v>
      </c>
      <c r="V260" s="14">
        <v>0.04</v>
      </c>
      <c r="W260" s="1" t="s">
        <v>678</v>
      </c>
      <c r="X260" s="1"/>
      <c r="Y260" s="1"/>
      <c r="Z260" s="1"/>
    </row>
    <row r="261" spans="1:26" ht="25.2" customHeight="1" x14ac:dyDescent="0.3">
      <c r="A261" s="3" t="s">
        <v>548</v>
      </c>
      <c r="B261" s="3" t="s">
        <v>1364</v>
      </c>
      <c r="C261" s="5">
        <v>46227</v>
      </c>
      <c r="D261" s="5">
        <v>46230</v>
      </c>
      <c r="E261" s="3" t="s">
        <v>1362</v>
      </c>
      <c r="F261" s="3">
        <v>4</v>
      </c>
      <c r="G261" s="3">
        <v>1250</v>
      </c>
      <c r="H261" s="3">
        <v>36.6</v>
      </c>
      <c r="I261" s="3">
        <v>786</v>
      </c>
      <c r="J261" s="3">
        <v>1</v>
      </c>
      <c r="K261" s="4">
        <f t="shared" si="19"/>
        <v>36.641221374045799</v>
      </c>
      <c r="L261" s="3"/>
      <c r="M261" s="1">
        <v>58.8</v>
      </c>
      <c r="N261" s="1">
        <v>63.3</v>
      </c>
      <c r="O261" s="2">
        <f t="shared" si="20"/>
        <v>63.3</v>
      </c>
      <c r="P261" s="1">
        <v>120</v>
      </c>
      <c r="Q261" s="1">
        <v>7.55</v>
      </c>
      <c r="R261" s="1" t="s">
        <v>92</v>
      </c>
      <c r="S261" s="1" t="s">
        <v>1270</v>
      </c>
      <c r="T261" s="19" t="s">
        <v>1365</v>
      </c>
      <c r="U261" s="1" t="s">
        <v>652</v>
      </c>
      <c r="V261" s="14">
        <v>0.03</v>
      </c>
      <c r="W261" s="1"/>
      <c r="X261" s="1"/>
      <c r="Y261" s="1"/>
      <c r="Z261" s="1"/>
    </row>
    <row r="262" spans="1:26" ht="25.2" customHeight="1" x14ac:dyDescent="0.3">
      <c r="A262" s="3" t="s">
        <v>549</v>
      </c>
      <c r="B262" s="3" t="s">
        <v>1368</v>
      </c>
      <c r="C262" s="5">
        <v>46230</v>
      </c>
      <c r="D262" s="5">
        <v>46231</v>
      </c>
      <c r="E262" s="3" t="s">
        <v>1362</v>
      </c>
      <c r="F262" s="3">
        <v>4</v>
      </c>
      <c r="G262" s="3">
        <v>1098</v>
      </c>
      <c r="H262" s="3">
        <v>36.6</v>
      </c>
      <c r="I262" s="3">
        <v>786</v>
      </c>
      <c r="J262" s="3">
        <v>1</v>
      </c>
      <c r="K262" s="4">
        <f t="shared" si="19"/>
        <v>36.641221374045799</v>
      </c>
      <c r="L262" s="3"/>
      <c r="M262" s="1">
        <v>58.6</v>
      </c>
      <c r="N262" s="1">
        <v>62.5</v>
      </c>
      <c r="O262" s="2">
        <f t="shared" si="20"/>
        <v>62.5</v>
      </c>
      <c r="P262" s="1">
        <v>120</v>
      </c>
      <c r="Q262" s="1">
        <v>7.55</v>
      </c>
      <c r="R262" s="1" t="s">
        <v>92</v>
      </c>
      <c r="S262" s="1" t="s">
        <v>1274</v>
      </c>
      <c r="T262" s="19" t="s">
        <v>1365</v>
      </c>
      <c r="U262" s="1" t="s">
        <v>334</v>
      </c>
      <c r="V262" s="14">
        <v>0.03</v>
      </c>
      <c r="W262" s="1"/>
      <c r="X262" s="1"/>
      <c r="Y262" s="1"/>
      <c r="Z262" s="1"/>
    </row>
    <row r="263" spans="1:26" ht="25.2" customHeight="1" x14ac:dyDescent="0.3">
      <c r="A263" s="3" t="s">
        <v>550</v>
      </c>
      <c r="B263" s="3" t="s">
        <v>1373</v>
      </c>
      <c r="C263" s="5">
        <v>46231</v>
      </c>
      <c r="D263" s="5">
        <v>46231</v>
      </c>
      <c r="E263" s="3" t="s">
        <v>1362</v>
      </c>
      <c r="F263" s="3">
        <v>4</v>
      </c>
      <c r="G263" s="3">
        <v>1004</v>
      </c>
      <c r="H263" s="3">
        <v>36.6</v>
      </c>
      <c r="I263" s="3">
        <v>786</v>
      </c>
      <c r="J263" s="3">
        <v>1</v>
      </c>
      <c r="K263" s="4">
        <f t="shared" si="19"/>
        <v>36.641221374045799</v>
      </c>
      <c r="L263" s="3"/>
      <c r="M263" s="1">
        <v>58.7</v>
      </c>
      <c r="N263" s="1">
        <v>62.6</v>
      </c>
      <c r="O263" s="2">
        <f t="shared" si="20"/>
        <v>62.6</v>
      </c>
      <c r="P263" s="1">
        <v>120</v>
      </c>
      <c r="Q263" s="1">
        <v>7.55</v>
      </c>
      <c r="R263" s="1" t="s">
        <v>92</v>
      </c>
      <c r="S263" s="1" t="s">
        <v>1276</v>
      </c>
      <c r="T263" s="19" t="s">
        <v>1365</v>
      </c>
      <c r="U263" s="1" t="s">
        <v>344</v>
      </c>
      <c r="V263" s="14">
        <v>0.03</v>
      </c>
      <c r="W263" s="1"/>
      <c r="X263" s="1"/>
      <c r="Y263" s="1"/>
      <c r="Z263" s="1"/>
    </row>
    <row r="264" spans="1:26" ht="25.2" customHeight="1" x14ac:dyDescent="0.3">
      <c r="A264" s="3" t="s">
        <v>551</v>
      </c>
      <c r="B264" s="3" t="s">
        <v>1374</v>
      </c>
      <c r="C264" s="5">
        <v>46231</v>
      </c>
      <c r="D264" s="5">
        <v>46232</v>
      </c>
      <c r="E264" s="3" t="s">
        <v>1362</v>
      </c>
      <c r="F264" s="3">
        <v>4</v>
      </c>
      <c r="G264" s="3">
        <v>804</v>
      </c>
      <c r="H264" s="3">
        <v>36.6</v>
      </c>
      <c r="I264" s="3">
        <v>786</v>
      </c>
      <c r="J264" s="3">
        <v>1</v>
      </c>
      <c r="K264" s="4">
        <f t="shared" si="19"/>
        <v>36.641221374045799</v>
      </c>
      <c r="L264" s="3"/>
      <c r="M264" s="1">
        <v>59</v>
      </c>
      <c r="N264" s="1">
        <v>62.8</v>
      </c>
      <c r="O264" s="2">
        <f t="shared" si="20"/>
        <v>62.8</v>
      </c>
      <c r="P264" s="1">
        <v>120</v>
      </c>
      <c r="Q264" s="1">
        <v>7.55</v>
      </c>
      <c r="R264" s="1" t="s">
        <v>92</v>
      </c>
      <c r="S264" s="1" t="s">
        <v>1278</v>
      </c>
      <c r="T264" s="19" t="s">
        <v>1365</v>
      </c>
      <c r="U264" s="1" t="s">
        <v>647</v>
      </c>
      <c r="V264" s="14">
        <v>0.03</v>
      </c>
      <c r="W264" s="1"/>
      <c r="X264" s="1"/>
      <c r="Y264" s="1"/>
      <c r="Z264" s="1"/>
    </row>
    <row r="265" spans="1:26" ht="25.2" customHeight="1" x14ac:dyDescent="0.3">
      <c r="A265" s="3" t="s">
        <v>552</v>
      </c>
      <c r="B265" s="3" t="s">
        <v>1366</v>
      </c>
      <c r="C265" s="5">
        <v>46230</v>
      </c>
      <c r="D265" s="5">
        <v>46231</v>
      </c>
      <c r="E265" s="3" t="s">
        <v>1367</v>
      </c>
      <c r="F265" s="3">
        <v>9</v>
      </c>
      <c r="G265" s="3">
        <v>920</v>
      </c>
      <c r="H265" s="3">
        <v>50.7</v>
      </c>
      <c r="I265" s="3">
        <v>568</v>
      </c>
      <c r="J265" s="3">
        <v>1</v>
      </c>
      <c r="K265" s="4">
        <f t="shared" si="19"/>
        <v>50.70422535211268</v>
      </c>
      <c r="L265" s="3"/>
      <c r="M265" s="1">
        <v>141.5</v>
      </c>
      <c r="N265" s="1">
        <v>142</v>
      </c>
      <c r="O265" s="2">
        <f t="shared" si="20"/>
        <v>142</v>
      </c>
      <c r="P265" s="1">
        <v>40</v>
      </c>
      <c r="Q265" s="1">
        <v>7.4</v>
      </c>
      <c r="R265" s="1" t="s">
        <v>99</v>
      </c>
      <c r="S265" s="1" t="s">
        <v>1252</v>
      </c>
      <c r="T265" s="20" t="s">
        <v>1371</v>
      </c>
      <c r="U265" s="1" t="s">
        <v>211</v>
      </c>
      <c r="V265" s="14">
        <v>0.02</v>
      </c>
      <c r="W265" s="1" t="s">
        <v>1133</v>
      </c>
      <c r="X265" s="1"/>
      <c r="Y265" s="1"/>
      <c r="Z265" s="1"/>
    </row>
    <row r="266" spans="1:26" ht="25.2" customHeight="1" x14ac:dyDescent="0.3">
      <c r="A266" s="3" t="s">
        <v>553</v>
      </c>
      <c r="B266" s="3" t="s">
        <v>1369</v>
      </c>
      <c r="C266" s="5">
        <v>46231</v>
      </c>
      <c r="D266" s="5">
        <v>46231</v>
      </c>
      <c r="E266" s="3" t="s">
        <v>1367</v>
      </c>
      <c r="F266" s="3">
        <v>9</v>
      </c>
      <c r="G266" s="3">
        <v>720</v>
      </c>
      <c r="H266" s="3">
        <v>50.7</v>
      </c>
      <c r="I266" s="3">
        <v>568</v>
      </c>
      <c r="J266" s="3">
        <v>1</v>
      </c>
      <c r="K266" s="4">
        <f t="shared" si="19"/>
        <v>50.70422535211268</v>
      </c>
      <c r="L266" s="3"/>
      <c r="M266" s="1">
        <v>142</v>
      </c>
      <c r="N266" s="1">
        <v>142.5</v>
      </c>
      <c r="O266" s="2">
        <v>142.5</v>
      </c>
      <c r="P266" s="1">
        <v>40</v>
      </c>
      <c r="Q266" s="1">
        <v>7.4</v>
      </c>
      <c r="R266" s="1" t="s">
        <v>99</v>
      </c>
      <c r="S266" s="1" t="s">
        <v>1270</v>
      </c>
      <c r="T266" s="20" t="s">
        <v>1370</v>
      </c>
      <c r="U266" s="1" t="s">
        <v>878</v>
      </c>
      <c r="V266" s="14">
        <v>0.03</v>
      </c>
      <c r="W266" s="1"/>
      <c r="X266" s="1"/>
      <c r="Y266" s="1"/>
      <c r="Z266" s="1"/>
    </row>
    <row r="267" spans="1:26" ht="25.2" customHeight="1" x14ac:dyDescent="0.3">
      <c r="A267" s="3" t="s">
        <v>554</v>
      </c>
      <c r="B267" s="3" t="s">
        <v>1375</v>
      </c>
      <c r="C267" s="5">
        <v>46231</v>
      </c>
      <c r="D267" s="5">
        <v>46231</v>
      </c>
      <c r="E267" s="3" t="s">
        <v>1367</v>
      </c>
      <c r="F267" s="3">
        <v>9</v>
      </c>
      <c r="G267" s="3">
        <v>726</v>
      </c>
      <c r="H267" s="3">
        <v>50.7</v>
      </c>
      <c r="I267" s="3">
        <v>568</v>
      </c>
      <c r="J267" s="3">
        <v>1</v>
      </c>
      <c r="K267" s="4">
        <f t="shared" si="19"/>
        <v>50.70422535211268</v>
      </c>
      <c r="L267" s="3"/>
      <c r="M267" s="1">
        <v>141.69999999999999</v>
      </c>
      <c r="N267" s="1">
        <v>141.9</v>
      </c>
      <c r="O267" s="2">
        <f t="shared" si="20"/>
        <v>141.9</v>
      </c>
      <c r="P267" s="1">
        <v>40</v>
      </c>
      <c r="Q267" s="1">
        <v>7.4</v>
      </c>
      <c r="R267" s="1" t="s">
        <v>99</v>
      </c>
      <c r="S267" s="1" t="s">
        <v>1274</v>
      </c>
      <c r="T267" s="20" t="s">
        <v>768</v>
      </c>
      <c r="U267" s="1" t="s">
        <v>925</v>
      </c>
      <c r="V267" s="14">
        <v>0.02</v>
      </c>
      <c r="W267" s="1"/>
      <c r="X267" s="1"/>
      <c r="Y267" s="1"/>
      <c r="Z267" s="1"/>
    </row>
    <row r="268" spans="1:26" ht="25.2" customHeight="1" x14ac:dyDescent="0.3">
      <c r="A268" s="3" t="s">
        <v>555</v>
      </c>
      <c r="B268" s="3" t="s">
        <v>1376</v>
      </c>
      <c r="C268" s="5">
        <v>46231</v>
      </c>
      <c r="D268" s="5">
        <v>46232</v>
      </c>
      <c r="E268" s="3" t="s">
        <v>1367</v>
      </c>
      <c r="F268" s="3">
        <v>9</v>
      </c>
      <c r="G268" s="3">
        <v>760</v>
      </c>
      <c r="H268" s="3">
        <v>50.7</v>
      </c>
      <c r="I268" s="3">
        <v>568</v>
      </c>
      <c r="J268" s="3">
        <v>1</v>
      </c>
      <c r="K268" s="4">
        <f t="shared" si="19"/>
        <v>50.70422535211268</v>
      </c>
      <c r="L268" s="3"/>
      <c r="M268" s="1">
        <v>142.6</v>
      </c>
      <c r="N268" s="1">
        <v>143.5</v>
      </c>
      <c r="O268" s="2">
        <f t="shared" si="20"/>
        <v>143.5</v>
      </c>
      <c r="P268" s="1">
        <v>40</v>
      </c>
      <c r="Q268" s="1">
        <v>7.4</v>
      </c>
      <c r="R268" s="1" t="s">
        <v>99</v>
      </c>
      <c r="S268" s="1" t="s">
        <v>1377</v>
      </c>
      <c r="T268" s="20" t="s">
        <v>768</v>
      </c>
      <c r="U268" s="1" t="s">
        <v>208</v>
      </c>
      <c r="V268" s="14">
        <v>0.02</v>
      </c>
      <c r="W268" s="1"/>
      <c r="X268" s="1"/>
      <c r="Y268" s="1"/>
      <c r="Z268" s="1"/>
    </row>
    <row r="269" spans="1:26" ht="25.2" customHeight="1" x14ac:dyDescent="0.3">
      <c r="A269" s="3" t="s">
        <v>556</v>
      </c>
      <c r="B269" s="3" t="s">
        <v>794</v>
      </c>
      <c r="C269" s="5">
        <v>46232</v>
      </c>
      <c r="D269" s="5">
        <v>46233</v>
      </c>
      <c r="E269" s="3" t="s">
        <v>1367</v>
      </c>
      <c r="F269" s="3">
        <v>9</v>
      </c>
      <c r="G269" s="3">
        <v>734</v>
      </c>
      <c r="H269" s="3">
        <v>50.7</v>
      </c>
      <c r="I269" s="3">
        <v>568</v>
      </c>
      <c r="J269" s="3">
        <v>1</v>
      </c>
      <c r="K269" s="4">
        <f t="shared" si="19"/>
        <v>50.70422535211268</v>
      </c>
      <c r="L269" s="3"/>
      <c r="M269" s="1">
        <v>141.80000000000001</v>
      </c>
      <c r="N269" s="1">
        <v>142</v>
      </c>
      <c r="O269" s="2">
        <f t="shared" si="20"/>
        <v>142</v>
      </c>
      <c r="P269" s="1">
        <v>40</v>
      </c>
      <c r="Q269" s="1">
        <v>7.4</v>
      </c>
      <c r="R269" s="1" t="s">
        <v>99</v>
      </c>
      <c r="S269" s="1" t="s">
        <v>1381</v>
      </c>
      <c r="T269" s="20" t="s">
        <v>768</v>
      </c>
      <c r="U269" s="1" t="s">
        <v>184</v>
      </c>
      <c r="V269" s="14">
        <v>0.02</v>
      </c>
      <c r="W269" s="1"/>
      <c r="X269" s="1"/>
      <c r="Y269" s="1"/>
      <c r="Z269" s="1"/>
    </row>
    <row r="270" spans="1:26" ht="25.2" customHeight="1" x14ac:dyDescent="0.3">
      <c r="A270" s="3" t="s">
        <v>557</v>
      </c>
      <c r="B270" s="3" t="s">
        <v>766</v>
      </c>
      <c r="C270" s="5">
        <v>46233</v>
      </c>
      <c r="D270" s="5">
        <v>46234</v>
      </c>
      <c r="E270" s="3" t="s">
        <v>1367</v>
      </c>
      <c r="F270" s="3">
        <v>9</v>
      </c>
      <c r="G270" s="3">
        <v>735</v>
      </c>
      <c r="H270" s="3">
        <v>50.7</v>
      </c>
      <c r="I270" s="3">
        <v>568</v>
      </c>
      <c r="J270" s="3">
        <v>1</v>
      </c>
      <c r="K270" s="4">
        <f t="shared" si="19"/>
        <v>50.70422535211268</v>
      </c>
      <c r="L270" s="3"/>
      <c r="M270" s="1">
        <v>141.19999999999999</v>
      </c>
      <c r="N270" s="1">
        <v>141.6</v>
      </c>
      <c r="O270" s="2">
        <f t="shared" si="20"/>
        <v>141.6</v>
      </c>
      <c r="P270" s="1">
        <v>40</v>
      </c>
      <c r="Q270" s="1">
        <v>7.4</v>
      </c>
      <c r="R270" s="1" t="s">
        <v>99</v>
      </c>
      <c r="S270" s="1" t="s">
        <v>1280</v>
      </c>
      <c r="T270" s="20" t="s">
        <v>768</v>
      </c>
      <c r="U270" s="1" t="s">
        <v>1386</v>
      </c>
      <c r="V270" s="14">
        <v>0.02</v>
      </c>
      <c r="W270" s="1"/>
      <c r="X270" s="1"/>
      <c r="Y270" s="1"/>
      <c r="Z270" s="1"/>
    </row>
    <row r="271" spans="1:26" ht="25.2" customHeight="1" x14ac:dyDescent="0.3">
      <c r="A271" s="3" t="s">
        <v>558</v>
      </c>
      <c r="B271" s="3" t="s">
        <v>1396</v>
      </c>
      <c r="C271" s="5">
        <v>46234</v>
      </c>
      <c r="D271" s="5">
        <v>46237</v>
      </c>
      <c r="E271" s="3" t="s">
        <v>1367</v>
      </c>
      <c r="F271" s="3">
        <v>9</v>
      </c>
      <c r="G271" s="3">
        <v>779</v>
      </c>
      <c r="H271" s="3">
        <v>50.7</v>
      </c>
      <c r="I271" s="3">
        <v>568</v>
      </c>
      <c r="J271" s="3">
        <v>1</v>
      </c>
      <c r="K271" s="4">
        <f t="shared" si="19"/>
        <v>50.70422535211268</v>
      </c>
      <c r="L271" s="3"/>
      <c r="M271" s="1">
        <v>141.9</v>
      </c>
      <c r="N271" s="1">
        <v>142.30000000000001</v>
      </c>
      <c r="O271" s="2">
        <f t="shared" si="20"/>
        <v>142.30000000000001</v>
      </c>
      <c r="P271" s="1">
        <v>40</v>
      </c>
      <c r="Q271" s="1">
        <v>7.4</v>
      </c>
      <c r="R271" s="1" t="s">
        <v>99</v>
      </c>
      <c r="S271" s="1" t="s">
        <v>1285</v>
      </c>
      <c r="T271" s="20" t="s">
        <v>768</v>
      </c>
      <c r="U271" s="1"/>
      <c r="V271" s="14">
        <v>0.02</v>
      </c>
      <c r="W271" s="1"/>
      <c r="X271" s="1"/>
      <c r="Y271" s="1"/>
      <c r="Z271" s="1"/>
    </row>
    <row r="272" spans="1:26" ht="25.2" customHeight="1" x14ac:dyDescent="0.3">
      <c r="A272" s="3" t="s">
        <v>559</v>
      </c>
      <c r="B272" s="3" t="s">
        <v>769</v>
      </c>
      <c r="C272" s="5">
        <v>46237</v>
      </c>
      <c r="D272" s="5">
        <v>46237</v>
      </c>
      <c r="E272" s="3" t="s">
        <v>1367</v>
      </c>
      <c r="F272" s="3">
        <v>9</v>
      </c>
      <c r="G272" s="3">
        <v>726</v>
      </c>
      <c r="H272" s="3">
        <v>50.7</v>
      </c>
      <c r="I272" s="3">
        <v>568</v>
      </c>
      <c r="J272" s="3">
        <v>1</v>
      </c>
      <c r="K272" s="4">
        <f t="shared" si="19"/>
        <v>50.70422535211268</v>
      </c>
      <c r="L272" s="3"/>
      <c r="M272" s="1">
        <v>142</v>
      </c>
      <c r="N272" s="1">
        <v>142.6</v>
      </c>
      <c r="O272" s="2">
        <f t="shared" si="20"/>
        <v>142.6</v>
      </c>
      <c r="P272" s="1">
        <v>40</v>
      </c>
      <c r="Q272" s="1">
        <v>7.4</v>
      </c>
      <c r="R272" s="1" t="s">
        <v>99</v>
      </c>
      <c r="S272" s="1" t="s">
        <v>1301</v>
      </c>
      <c r="T272" s="20" t="s">
        <v>1397</v>
      </c>
      <c r="U272" s="1" t="s">
        <v>1326</v>
      </c>
      <c r="V272" s="14">
        <v>0.02</v>
      </c>
      <c r="W272" s="1"/>
      <c r="X272" s="1" t="s">
        <v>678</v>
      </c>
      <c r="Y272" s="1"/>
      <c r="Z272" s="1"/>
    </row>
    <row r="273" spans="1:26" ht="25.2" customHeight="1" x14ac:dyDescent="0.3">
      <c r="A273" s="3" t="s">
        <v>560</v>
      </c>
      <c r="B273" s="3" t="s">
        <v>1378</v>
      </c>
      <c r="C273" s="5">
        <v>46232</v>
      </c>
      <c r="D273" s="5">
        <v>46233</v>
      </c>
      <c r="E273" s="3" t="s">
        <v>1379</v>
      </c>
      <c r="F273" s="3">
        <v>4</v>
      </c>
      <c r="G273" s="3">
        <v>1200</v>
      </c>
      <c r="H273" s="3">
        <v>48</v>
      </c>
      <c r="I273" s="3">
        <v>600</v>
      </c>
      <c r="J273" s="3">
        <v>1</v>
      </c>
      <c r="K273" s="4">
        <f t="shared" si="19"/>
        <v>48</v>
      </c>
      <c r="L273" s="3"/>
      <c r="M273" s="1">
        <v>119.2</v>
      </c>
      <c r="N273" s="1">
        <v>120</v>
      </c>
      <c r="O273" s="2">
        <f t="shared" si="20"/>
        <v>120</v>
      </c>
      <c r="P273" s="1">
        <v>50</v>
      </c>
      <c r="Q273" s="1">
        <v>6.15</v>
      </c>
      <c r="R273" s="1" t="s">
        <v>92</v>
      </c>
      <c r="S273" s="1" t="s">
        <v>1252</v>
      </c>
      <c r="T273" s="17" t="s">
        <v>133</v>
      </c>
      <c r="U273" s="1" t="s">
        <v>141</v>
      </c>
      <c r="V273" s="14">
        <v>0.02</v>
      </c>
      <c r="W273" s="1" t="s">
        <v>103</v>
      </c>
      <c r="X273" s="1"/>
      <c r="Y273" s="1"/>
      <c r="Z273" s="1"/>
    </row>
    <row r="274" spans="1:26" ht="25.2" customHeight="1" x14ac:dyDescent="0.3">
      <c r="A274" s="3" t="s">
        <v>561</v>
      </c>
      <c r="B274" s="3" t="s">
        <v>1382</v>
      </c>
      <c r="C274" s="5">
        <v>46233</v>
      </c>
      <c r="D274" s="5">
        <v>46233</v>
      </c>
      <c r="E274" s="3" t="s">
        <v>1379</v>
      </c>
      <c r="F274" s="3">
        <v>4</v>
      </c>
      <c r="G274" s="3">
        <v>620</v>
      </c>
      <c r="H274" s="3">
        <v>48</v>
      </c>
      <c r="I274" s="3">
        <v>600</v>
      </c>
      <c r="J274" s="3">
        <v>1</v>
      </c>
      <c r="K274" s="4">
        <f t="shared" si="19"/>
        <v>48</v>
      </c>
      <c r="L274" s="3"/>
      <c r="M274" s="1">
        <v>119.1</v>
      </c>
      <c r="N274" s="1">
        <v>120</v>
      </c>
      <c r="O274" s="2">
        <f t="shared" si="20"/>
        <v>120</v>
      </c>
      <c r="P274" s="1">
        <v>50</v>
      </c>
      <c r="Q274" s="1">
        <v>6.15</v>
      </c>
      <c r="R274" s="1" t="s">
        <v>92</v>
      </c>
      <c r="S274" s="1" t="s">
        <v>1270</v>
      </c>
      <c r="T274" s="17" t="s">
        <v>133</v>
      </c>
      <c r="U274" s="1" t="s">
        <v>184</v>
      </c>
      <c r="V274" s="14">
        <v>0.02</v>
      </c>
      <c r="W274" s="1"/>
      <c r="X274" s="1"/>
      <c r="Y274" s="1"/>
      <c r="Z274" s="1"/>
    </row>
    <row r="275" spans="1:26" ht="25.2" customHeight="1" x14ac:dyDescent="0.3">
      <c r="A275" s="3" t="s">
        <v>562</v>
      </c>
      <c r="B275" s="3" t="s">
        <v>1384</v>
      </c>
      <c r="C275" s="5">
        <v>46234</v>
      </c>
      <c r="D275" s="5">
        <v>46234</v>
      </c>
      <c r="E275" s="3" t="s">
        <v>1379</v>
      </c>
      <c r="F275" s="3">
        <v>4</v>
      </c>
      <c r="G275" s="3">
        <v>600</v>
      </c>
      <c r="H275" s="3">
        <v>48</v>
      </c>
      <c r="I275" s="3">
        <v>600</v>
      </c>
      <c r="J275" s="3">
        <v>1</v>
      </c>
      <c r="K275" s="4">
        <f t="shared" si="19"/>
        <v>48</v>
      </c>
      <c r="L275" s="3"/>
      <c r="M275" s="1">
        <v>119.3</v>
      </c>
      <c r="N275" s="1">
        <v>119.6</v>
      </c>
      <c r="O275" s="2">
        <f t="shared" si="20"/>
        <v>119.6</v>
      </c>
      <c r="P275" s="1">
        <v>50</v>
      </c>
      <c r="Q275" s="1">
        <v>6.15</v>
      </c>
      <c r="R275" s="1" t="s">
        <v>92</v>
      </c>
      <c r="S275" s="1" t="s">
        <v>1274</v>
      </c>
      <c r="T275" s="17" t="s">
        <v>133</v>
      </c>
      <c r="U275" s="1" t="s">
        <v>878</v>
      </c>
      <c r="V275" s="14">
        <v>0.02</v>
      </c>
      <c r="W275" s="1"/>
      <c r="X275" s="1"/>
      <c r="Y275" s="1"/>
      <c r="Z275" s="1"/>
    </row>
    <row r="276" spans="1:26" ht="25.2" customHeight="1" x14ac:dyDescent="0.3">
      <c r="A276" s="3" t="s">
        <v>563</v>
      </c>
      <c r="B276" s="3" t="s">
        <v>1388</v>
      </c>
      <c r="C276" s="5">
        <v>46234</v>
      </c>
      <c r="D276" s="5">
        <v>46237</v>
      </c>
      <c r="E276" s="3" t="s">
        <v>1379</v>
      </c>
      <c r="F276" s="3">
        <v>4</v>
      </c>
      <c r="G276" s="3">
        <v>600</v>
      </c>
      <c r="H276" s="3">
        <v>48</v>
      </c>
      <c r="I276" s="3">
        <v>600</v>
      </c>
      <c r="J276" s="3">
        <v>1</v>
      </c>
      <c r="K276" s="4">
        <f t="shared" si="19"/>
        <v>48</v>
      </c>
      <c r="L276" s="3"/>
      <c r="M276" s="1">
        <v>119.4</v>
      </c>
      <c r="N276" s="1">
        <v>119.8</v>
      </c>
      <c r="O276" s="2">
        <f t="shared" si="20"/>
        <v>119.8</v>
      </c>
      <c r="P276" s="1">
        <v>50</v>
      </c>
      <c r="Q276" s="1">
        <v>6.15</v>
      </c>
      <c r="R276" s="1" t="s">
        <v>92</v>
      </c>
      <c r="S276" s="1" t="s">
        <v>1276</v>
      </c>
      <c r="T276" s="17" t="s">
        <v>133</v>
      </c>
      <c r="U276" s="1" t="s">
        <v>1326</v>
      </c>
      <c r="V276" s="14">
        <v>0.02</v>
      </c>
      <c r="W276" s="1"/>
      <c r="X276" s="1"/>
      <c r="Y276" s="1"/>
      <c r="Z276" s="1"/>
    </row>
    <row r="277" spans="1:26" ht="25.2" customHeight="1" x14ac:dyDescent="0.3">
      <c r="A277" s="3" t="s">
        <v>564</v>
      </c>
      <c r="B277" s="3" t="s">
        <v>1389</v>
      </c>
      <c r="C277" s="5">
        <v>46237</v>
      </c>
      <c r="D277" s="5">
        <v>46237</v>
      </c>
      <c r="E277" s="3" t="s">
        <v>1379</v>
      </c>
      <c r="F277" s="3">
        <v>4</v>
      </c>
      <c r="G277" s="3">
        <v>600</v>
      </c>
      <c r="H277" s="3">
        <v>48</v>
      </c>
      <c r="I277" s="3">
        <v>600</v>
      </c>
      <c r="J277" s="3">
        <v>1</v>
      </c>
      <c r="K277" s="4">
        <f t="shared" si="19"/>
        <v>48</v>
      </c>
      <c r="L277" s="3"/>
      <c r="M277" s="1">
        <v>119.3</v>
      </c>
      <c r="N277" s="1">
        <v>119.9</v>
      </c>
      <c r="O277" s="2">
        <f t="shared" si="20"/>
        <v>119.9</v>
      </c>
      <c r="P277" s="1">
        <v>50</v>
      </c>
      <c r="Q277" s="1">
        <v>6.15</v>
      </c>
      <c r="R277" s="1" t="s">
        <v>92</v>
      </c>
      <c r="S277" s="1" t="s">
        <v>1278</v>
      </c>
      <c r="T277" s="17" t="s">
        <v>206</v>
      </c>
      <c r="U277" s="1" t="s">
        <v>207</v>
      </c>
      <c r="V277" s="14">
        <v>0.02</v>
      </c>
      <c r="W277" s="1"/>
      <c r="X277" s="1" t="s">
        <v>678</v>
      </c>
      <c r="Y277" s="1" t="s">
        <v>151</v>
      </c>
      <c r="Z277" s="1"/>
    </row>
    <row r="278" spans="1:26" ht="25.2" customHeight="1" x14ac:dyDescent="0.3">
      <c r="A278" s="3" t="s">
        <v>565</v>
      </c>
      <c r="B278" s="3" t="s">
        <v>1390</v>
      </c>
      <c r="C278" s="5">
        <v>46237</v>
      </c>
      <c r="D278" s="5">
        <v>46238</v>
      </c>
      <c r="E278" s="3" t="s">
        <v>1391</v>
      </c>
      <c r="F278" s="3">
        <v>4</v>
      </c>
      <c r="G278" s="3">
        <v>968</v>
      </c>
      <c r="H278" s="3">
        <v>48</v>
      </c>
      <c r="I278" s="3">
        <v>600</v>
      </c>
      <c r="J278" s="3">
        <v>1</v>
      </c>
      <c r="K278" s="4">
        <f t="shared" si="19"/>
        <v>48</v>
      </c>
      <c r="L278" s="3"/>
      <c r="M278" s="1">
        <v>72</v>
      </c>
      <c r="N278" s="1">
        <v>72.5</v>
      </c>
      <c r="O278" s="2">
        <f t="shared" si="20"/>
        <v>72.5</v>
      </c>
      <c r="P278" s="1">
        <v>32</v>
      </c>
      <c r="Q278" s="1">
        <v>32.5</v>
      </c>
      <c r="R278" s="1" t="s">
        <v>168</v>
      </c>
      <c r="S278" s="1" t="s">
        <v>1392</v>
      </c>
      <c r="T278" s="20" t="s">
        <v>1393</v>
      </c>
      <c r="U278" s="1" t="s">
        <v>925</v>
      </c>
      <c r="V278" s="14">
        <v>0.02</v>
      </c>
      <c r="W278" s="1" t="s">
        <v>678</v>
      </c>
      <c r="X278" s="1"/>
      <c r="Y278" s="1"/>
      <c r="Z278" s="1"/>
    </row>
    <row r="279" spans="1:26" ht="25.2" customHeight="1" x14ac:dyDescent="0.3">
      <c r="A279" s="3" t="s">
        <v>566</v>
      </c>
      <c r="B279" s="3" t="s">
        <v>1402</v>
      </c>
      <c r="C279" s="5">
        <v>46238</v>
      </c>
      <c r="D279" s="5">
        <v>46239</v>
      </c>
      <c r="E279" s="3" t="s">
        <v>1391</v>
      </c>
      <c r="F279" s="3">
        <v>4</v>
      </c>
      <c r="G279" s="3">
        <v>1024</v>
      </c>
      <c r="H279" s="3">
        <v>48</v>
      </c>
      <c r="I279" s="3">
        <v>600</v>
      </c>
      <c r="J279" s="3">
        <v>1</v>
      </c>
      <c r="K279" s="4">
        <f t="shared" si="19"/>
        <v>48</v>
      </c>
      <c r="L279" s="3"/>
      <c r="M279" s="1">
        <v>71.5</v>
      </c>
      <c r="N279" s="1">
        <v>71.900000000000006</v>
      </c>
      <c r="O279" s="2">
        <f t="shared" si="20"/>
        <v>71.900000000000006</v>
      </c>
      <c r="P279" s="1">
        <v>32</v>
      </c>
      <c r="Q279" s="1">
        <v>32.5</v>
      </c>
      <c r="R279" s="1" t="s">
        <v>168</v>
      </c>
      <c r="S279" s="1" t="s">
        <v>1403</v>
      </c>
      <c r="T279" s="20" t="s">
        <v>1393</v>
      </c>
      <c r="U279" s="1" t="s">
        <v>878</v>
      </c>
      <c r="V279" s="14">
        <v>0.02</v>
      </c>
      <c r="W279" s="1"/>
      <c r="X279" s="1" t="s">
        <v>94</v>
      </c>
      <c r="Y279" s="1" t="s">
        <v>833</v>
      </c>
      <c r="Z279" s="1"/>
    </row>
    <row r="280" spans="1:26" ht="25.2" customHeight="1" x14ac:dyDescent="0.3">
      <c r="A280" s="3" t="s">
        <v>567</v>
      </c>
      <c r="B280" s="3" t="s">
        <v>221</v>
      </c>
      <c r="C280" s="5">
        <v>46238</v>
      </c>
      <c r="D280" s="5">
        <v>46238</v>
      </c>
      <c r="E280" s="3" t="s">
        <v>1398</v>
      </c>
      <c r="F280" s="3">
        <v>9</v>
      </c>
      <c r="G280" s="3">
        <v>812</v>
      </c>
      <c r="H280" s="3">
        <v>64.400000000000006</v>
      </c>
      <c r="I280" s="3">
        <v>447</v>
      </c>
      <c r="J280" s="3">
        <v>1</v>
      </c>
      <c r="K280" s="4">
        <f t="shared" si="19"/>
        <v>64.429530201342288</v>
      </c>
      <c r="L280" s="3">
        <v>210</v>
      </c>
      <c r="M280" s="1">
        <v>141.9</v>
      </c>
      <c r="N280" s="1">
        <v>142.30000000000001</v>
      </c>
      <c r="O280" s="2">
        <f t="shared" si="20"/>
        <v>142.30000000000001</v>
      </c>
      <c r="P280" s="1">
        <v>52</v>
      </c>
      <c r="Q280" s="1">
        <v>12</v>
      </c>
      <c r="R280" s="1" t="s">
        <v>99</v>
      </c>
      <c r="S280" s="1" t="s">
        <v>1392</v>
      </c>
      <c r="T280" s="20" t="s">
        <v>1399</v>
      </c>
      <c r="U280" s="1" t="s">
        <v>149</v>
      </c>
      <c r="V280" s="14">
        <v>0.02</v>
      </c>
      <c r="W280" s="1" t="s">
        <v>678</v>
      </c>
      <c r="X280" s="1"/>
      <c r="Y280" s="1"/>
      <c r="Z280" s="1"/>
    </row>
    <row r="281" spans="1:26" ht="25.2" customHeight="1" x14ac:dyDescent="0.3">
      <c r="A281" s="3" t="s">
        <v>568</v>
      </c>
      <c r="B281" s="3" t="s">
        <v>724</v>
      </c>
      <c r="C281" s="5">
        <v>46239</v>
      </c>
      <c r="D281" s="5">
        <v>46239</v>
      </c>
      <c r="E281" s="3" t="s">
        <v>1398</v>
      </c>
      <c r="F281" s="3">
        <v>9</v>
      </c>
      <c r="G281" s="3">
        <v>1018</v>
      </c>
      <c r="H281" s="3">
        <v>64.400000000000006</v>
      </c>
      <c r="I281" s="3">
        <v>447</v>
      </c>
      <c r="J281" s="3">
        <v>1</v>
      </c>
      <c r="K281" s="4">
        <f t="shared" si="19"/>
        <v>64.429530201342288</v>
      </c>
      <c r="L281" s="3">
        <v>31</v>
      </c>
      <c r="M281" s="1">
        <v>206.5</v>
      </c>
      <c r="N281" s="1">
        <v>207</v>
      </c>
      <c r="O281" s="2">
        <f t="shared" si="20"/>
        <v>207</v>
      </c>
      <c r="P281" s="1">
        <v>52</v>
      </c>
      <c r="Q281" s="1">
        <v>12</v>
      </c>
      <c r="R281" s="1" t="s">
        <v>99</v>
      </c>
      <c r="S281" s="1" t="s">
        <v>1403</v>
      </c>
      <c r="T281" s="20" t="s">
        <v>1399</v>
      </c>
      <c r="U281" s="1" t="s">
        <v>1405</v>
      </c>
      <c r="V281" s="14">
        <v>0.02</v>
      </c>
      <c r="W281" s="1"/>
      <c r="X281" s="1"/>
      <c r="Y281" s="1"/>
      <c r="Z281" s="1"/>
    </row>
    <row r="282" spans="1:26" ht="25.2" customHeight="1" x14ac:dyDescent="0.3">
      <c r="A282" s="3" t="s">
        <v>569</v>
      </c>
      <c r="B282" s="3" t="s">
        <v>210</v>
      </c>
      <c r="C282" s="5">
        <v>46239</v>
      </c>
      <c r="D282" s="5">
        <v>46240</v>
      </c>
      <c r="E282" s="3" t="s">
        <v>1398</v>
      </c>
      <c r="F282" s="3">
        <v>9</v>
      </c>
      <c r="G282" s="3">
        <v>821</v>
      </c>
      <c r="H282" s="3">
        <v>61.5</v>
      </c>
      <c r="I282" s="3">
        <v>447</v>
      </c>
      <c r="J282" s="3">
        <v>1</v>
      </c>
      <c r="K282" s="4">
        <f t="shared" si="19"/>
        <v>64.429530201342288</v>
      </c>
      <c r="L282" s="3"/>
      <c r="M282" s="1">
        <v>208.6</v>
      </c>
      <c r="N282" s="1">
        <v>209</v>
      </c>
      <c r="O282" s="2">
        <f t="shared" si="20"/>
        <v>209</v>
      </c>
      <c r="P282" s="1">
        <v>52</v>
      </c>
      <c r="Q282" s="1">
        <v>12</v>
      </c>
      <c r="R282" s="1" t="s">
        <v>99</v>
      </c>
      <c r="S282" s="1" t="s">
        <v>1414</v>
      </c>
      <c r="T282" s="20" t="s">
        <v>1399</v>
      </c>
      <c r="U282" s="1" t="s">
        <v>211</v>
      </c>
      <c r="V282" s="14">
        <v>0.02</v>
      </c>
      <c r="W282" s="1"/>
      <c r="X282" s="1"/>
      <c r="Y282" s="1"/>
      <c r="Z282" s="1"/>
    </row>
    <row r="283" spans="1:26" ht="25.2" customHeight="1" x14ac:dyDescent="0.3">
      <c r="A283" s="3" t="s">
        <v>570</v>
      </c>
      <c r="B283" s="3" t="s">
        <v>1074</v>
      </c>
      <c r="C283" s="5">
        <v>46240</v>
      </c>
      <c r="D283" s="5">
        <v>46241</v>
      </c>
      <c r="E283" s="3" t="s">
        <v>1398</v>
      </c>
      <c r="F283" s="3">
        <v>9</v>
      </c>
      <c r="G283" s="3">
        <v>714</v>
      </c>
      <c r="H283" s="3">
        <v>61.5</v>
      </c>
      <c r="I283" s="3">
        <v>447</v>
      </c>
      <c r="J283" s="3">
        <v>1</v>
      </c>
      <c r="K283" s="4">
        <f t="shared" si="19"/>
        <v>64.429530201342288</v>
      </c>
      <c r="L283" s="3">
        <v>37</v>
      </c>
      <c r="M283" s="1">
        <v>209</v>
      </c>
      <c r="N283" s="1">
        <v>209.4</v>
      </c>
      <c r="O283" s="2">
        <f t="shared" si="20"/>
        <v>209.4</v>
      </c>
      <c r="P283" s="1">
        <v>52</v>
      </c>
      <c r="Q283" s="1">
        <v>12</v>
      </c>
      <c r="R283" s="1" t="s">
        <v>99</v>
      </c>
      <c r="S283" s="1" t="s">
        <v>1415</v>
      </c>
      <c r="T283" s="20" t="s">
        <v>1399</v>
      </c>
      <c r="U283" s="1" t="s">
        <v>925</v>
      </c>
      <c r="V283" s="14">
        <v>0.02</v>
      </c>
      <c r="W283" s="1"/>
      <c r="X283" s="1"/>
      <c r="Y283" s="1"/>
      <c r="Z283" s="1"/>
    </row>
    <row r="284" spans="1:26" ht="25.2" customHeight="1" x14ac:dyDescent="0.3">
      <c r="A284" s="3" t="s">
        <v>571</v>
      </c>
      <c r="B284" s="3" t="s">
        <v>1420</v>
      </c>
      <c r="C284" s="5">
        <v>46241</v>
      </c>
      <c r="D284" s="5">
        <v>46244</v>
      </c>
      <c r="E284" s="3" t="s">
        <v>1398</v>
      </c>
      <c r="F284" s="3">
        <v>9</v>
      </c>
      <c r="G284" s="3">
        <v>724</v>
      </c>
      <c r="H284" s="3">
        <v>61.5</v>
      </c>
      <c r="I284" s="3">
        <v>447</v>
      </c>
      <c r="J284" s="3">
        <v>1</v>
      </c>
      <c r="K284" s="4">
        <f t="shared" si="19"/>
        <v>64.429530201342288</v>
      </c>
      <c r="L284" s="3"/>
      <c r="M284" s="1">
        <v>208.4</v>
      </c>
      <c r="N284" s="1">
        <v>208.4</v>
      </c>
      <c r="O284" s="2">
        <f t="shared" si="20"/>
        <v>208.4</v>
      </c>
      <c r="P284" s="1">
        <v>52</v>
      </c>
      <c r="Q284" s="1">
        <v>12</v>
      </c>
      <c r="R284" s="1" t="s">
        <v>99</v>
      </c>
      <c r="S284" s="1" t="s">
        <v>1421</v>
      </c>
      <c r="T284" s="20" t="s">
        <v>1399</v>
      </c>
      <c r="U284" s="1" t="s">
        <v>208</v>
      </c>
      <c r="V284" s="14">
        <v>0.02</v>
      </c>
      <c r="W284" s="1"/>
      <c r="X284" s="1"/>
      <c r="Y284" s="1"/>
      <c r="Z284" s="1"/>
    </row>
    <row r="285" spans="1:26" ht="25.2" customHeight="1" x14ac:dyDescent="0.3">
      <c r="A285" s="3" t="s">
        <v>572</v>
      </c>
      <c r="B285" s="3" t="s">
        <v>1417</v>
      </c>
      <c r="C285" s="5">
        <v>46241</v>
      </c>
      <c r="D285" s="5">
        <v>46241</v>
      </c>
      <c r="E285" s="3" t="s">
        <v>1418</v>
      </c>
      <c r="F285" s="3">
        <v>6</v>
      </c>
      <c r="G285" s="3">
        <v>1076</v>
      </c>
      <c r="H285" s="3">
        <v>34.68</v>
      </c>
      <c r="I285" s="3">
        <v>830</v>
      </c>
      <c r="J285" s="3">
        <v>1</v>
      </c>
      <c r="K285" s="4">
        <f t="shared" si="19"/>
        <v>34.69879518072289</v>
      </c>
      <c r="L285" s="3"/>
      <c r="M285" s="1">
        <v>44.1</v>
      </c>
      <c r="N285" s="1">
        <v>44.6</v>
      </c>
      <c r="O285" s="2">
        <f t="shared" si="20"/>
        <v>44.6</v>
      </c>
      <c r="P285" s="1">
        <v>175</v>
      </c>
      <c r="Q285" s="1">
        <v>8.5</v>
      </c>
      <c r="R285" s="1" t="s">
        <v>92</v>
      </c>
      <c r="S285" s="1" t="s">
        <v>1392</v>
      </c>
      <c r="T285" s="17" t="s">
        <v>133</v>
      </c>
      <c r="U285" s="1" t="s">
        <v>184</v>
      </c>
      <c r="V285" s="14">
        <v>0.02</v>
      </c>
      <c r="W285" s="1" t="s">
        <v>920</v>
      </c>
      <c r="X285" s="1"/>
      <c r="Y285" s="1"/>
      <c r="Z285" s="1"/>
    </row>
    <row r="286" spans="1:26" ht="25.2" customHeight="1" x14ac:dyDescent="0.3">
      <c r="A286" s="3" t="s">
        <v>573</v>
      </c>
      <c r="B286" s="3" t="s">
        <v>1419</v>
      </c>
      <c r="C286" s="5">
        <v>46241</v>
      </c>
      <c r="D286" s="5">
        <v>46244</v>
      </c>
      <c r="E286" s="3" t="s">
        <v>1418</v>
      </c>
      <c r="F286" s="3">
        <v>6</v>
      </c>
      <c r="G286" s="3">
        <v>1000</v>
      </c>
      <c r="H286" s="3">
        <v>34.68</v>
      </c>
      <c r="I286" s="3">
        <v>830</v>
      </c>
      <c r="J286" s="3">
        <v>1</v>
      </c>
      <c r="K286" s="4">
        <f t="shared" si="19"/>
        <v>34.69879518072289</v>
      </c>
      <c r="L286" s="3">
        <v>16</v>
      </c>
      <c r="M286" s="1">
        <v>44</v>
      </c>
      <c r="N286" s="1">
        <v>44.5</v>
      </c>
      <c r="O286" s="2">
        <f t="shared" si="20"/>
        <v>44.5</v>
      </c>
      <c r="P286" s="1">
        <v>175</v>
      </c>
      <c r="Q286" s="1">
        <v>8.5</v>
      </c>
      <c r="R286" s="1" t="s">
        <v>92</v>
      </c>
      <c r="S286" s="1" t="s">
        <v>1403</v>
      </c>
      <c r="T286" s="17" t="s">
        <v>133</v>
      </c>
      <c r="U286" s="1" t="s">
        <v>169</v>
      </c>
      <c r="V286" s="14">
        <v>0.02</v>
      </c>
      <c r="W286" s="1"/>
      <c r="X286" s="1"/>
      <c r="Y286" s="1"/>
      <c r="Z286" s="1"/>
    </row>
    <row r="287" spans="1:26" ht="25.2" customHeight="1" x14ac:dyDescent="0.3">
      <c r="A287" s="3" t="s">
        <v>574</v>
      </c>
      <c r="B287" s="3" t="s">
        <v>1426</v>
      </c>
      <c r="C287" s="5">
        <v>46244</v>
      </c>
      <c r="D287" s="5">
        <v>46244</v>
      </c>
      <c r="E287" s="3" t="s">
        <v>1418</v>
      </c>
      <c r="F287" s="3">
        <v>6</v>
      </c>
      <c r="G287" s="3">
        <v>1000</v>
      </c>
      <c r="H287" s="3">
        <v>34.68</v>
      </c>
      <c r="I287" s="3">
        <v>830</v>
      </c>
      <c r="J287" s="3">
        <v>1</v>
      </c>
      <c r="K287" s="4">
        <f t="shared" si="19"/>
        <v>34.69879518072289</v>
      </c>
      <c r="L287" s="3"/>
      <c r="M287" s="1">
        <v>44</v>
      </c>
      <c r="N287" s="1">
        <v>44.8</v>
      </c>
      <c r="O287" s="2">
        <f t="shared" si="20"/>
        <v>44.8</v>
      </c>
      <c r="P287" s="1">
        <v>175</v>
      </c>
      <c r="Q287" s="1">
        <v>8.5</v>
      </c>
      <c r="R287" s="1" t="s">
        <v>92</v>
      </c>
      <c r="S287" s="1" t="s">
        <v>1414</v>
      </c>
      <c r="T287" s="17" t="s">
        <v>133</v>
      </c>
      <c r="U287" s="1" t="s">
        <v>207</v>
      </c>
      <c r="V287" s="14">
        <v>0.02</v>
      </c>
      <c r="W287" s="1"/>
      <c r="X287" s="1"/>
      <c r="Y287" s="1"/>
      <c r="Z287" s="1"/>
    </row>
    <row r="288" spans="1:26" ht="25.2" customHeight="1" x14ac:dyDescent="0.3">
      <c r="A288" s="3" t="s">
        <v>575</v>
      </c>
      <c r="B288" s="3" t="s">
        <v>1428</v>
      </c>
      <c r="C288" s="5">
        <v>46244</v>
      </c>
      <c r="D288" s="5">
        <v>46245</v>
      </c>
      <c r="E288" s="3" t="s">
        <v>1418</v>
      </c>
      <c r="F288" s="3">
        <v>6</v>
      </c>
      <c r="G288" s="3">
        <v>1000</v>
      </c>
      <c r="H288" s="3">
        <v>34.68</v>
      </c>
      <c r="I288" s="3">
        <v>830</v>
      </c>
      <c r="J288" s="3">
        <v>1</v>
      </c>
      <c r="K288" s="4">
        <f t="shared" si="19"/>
        <v>34.69879518072289</v>
      </c>
      <c r="L288" s="3"/>
      <c r="M288" s="1">
        <v>44.2</v>
      </c>
      <c r="N288" s="1">
        <v>44.6</v>
      </c>
      <c r="O288" s="2">
        <f t="shared" si="20"/>
        <v>44.6</v>
      </c>
      <c r="P288" s="1">
        <v>175</v>
      </c>
      <c r="Q288" s="1">
        <v>8.5</v>
      </c>
      <c r="R288" s="1" t="s">
        <v>92</v>
      </c>
      <c r="S288" s="1" t="s">
        <v>1415</v>
      </c>
      <c r="T288" s="17" t="s">
        <v>133</v>
      </c>
      <c r="U288" s="1" t="s">
        <v>180</v>
      </c>
      <c r="V288" s="14">
        <v>0.02</v>
      </c>
      <c r="W288" s="1"/>
      <c r="X288" s="1"/>
      <c r="Y288" s="1"/>
      <c r="Z288" s="1"/>
    </row>
    <row r="289" spans="1:26" ht="25.2" customHeight="1" x14ac:dyDescent="0.3">
      <c r="A289" s="3" t="s">
        <v>576</v>
      </c>
      <c r="B289" s="3" t="s">
        <v>1429</v>
      </c>
      <c r="C289" s="5">
        <v>46245</v>
      </c>
      <c r="D289" s="5">
        <v>46245</v>
      </c>
      <c r="E289" s="3" t="s">
        <v>1418</v>
      </c>
      <c r="F289" s="3">
        <v>6</v>
      </c>
      <c r="G289" s="3">
        <v>1000</v>
      </c>
      <c r="H289" s="3">
        <v>34.68</v>
      </c>
      <c r="I289" s="3">
        <v>830</v>
      </c>
      <c r="J289" s="3">
        <v>1</v>
      </c>
      <c r="K289" s="4">
        <f t="shared" si="19"/>
        <v>34.69879518072289</v>
      </c>
      <c r="L289" s="3">
        <v>42</v>
      </c>
      <c r="M289" s="1">
        <v>44.1</v>
      </c>
      <c r="N289" s="1">
        <v>44.6</v>
      </c>
      <c r="O289" s="2">
        <f t="shared" si="20"/>
        <v>44.6</v>
      </c>
      <c r="P289" s="1">
        <v>175</v>
      </c>
      <c r="Q289" s="1">
        <v>8.5</v>
      </c>
      <c r="R289" s="1" t="s">
        <v>92</v>
      </c>
      <c r="S289" s="1" t="s">
        <v>1421</v>
      </c>
      <c r="T289" s="17" t="s">
        <v>206</v>
      </c>
      <c r="U289" s="1" t="s">
        <v>1386</v>
      </c>
      <c r="V289" s="14">
        <v>0.02</v>
      </c>
      <c r="W289" s="1"/>
      <c r="X289" s="1"/>
      <c r="Y289" s="1"/>
      <c r="Z289" s="1"/>
    </row>
    <row r="290" spans="1:26" ht="25.2" customHeight="1" x14ac:dyDescent="0.3">
      <c r="A290" s="3" t="s">
        <v>577</v>
      </c>
      <c r="B290" s="3" t="s">
        <v>1423</v>
      </c>
      <c r="C290" s="5">
        <v>46244</v>
      </c>
      <c r="D290" s="5">
        <v>46244</v>
      </c>
      <c r="E290" s="3" t="s">
        <v>1424</v>
      </c>
      <c r="F290" s="3">
        <v>9</v>
      </c>
      <c r="G290" s="3">
        <v>528</v>
      </c>
      <c r="H290" s="3">
        <v>50.1</v>
      </c>
      <c r="I290" s="3">
        <v>574</v>
      </c>
      <c r="J290" s="3">
        <v>1</v>
      </c>
      <c r="K290" s="4">
        <f t="shared" si="19"/>
        <v>50.174216027874564</v>
      </c>
      <c r="L290" s="3"/>
      <c r="M290" s="1">
        <v>130.5</v>
      </c>
      <c r="N290" s="1">
        <v>130.5</v>
      </c>
      <c r="O290" s="2">
        <f t="shared" si="20"/>
        <v>130.5</v>
      </c>
      <c r="P290" s="1">
        <v>48</v>
      </c>
      <c r="Q290" s="1">
        <v>7.05</v>
      </c>
      <c r="R290" s="1" t="s">
        <v>168</v>
      </c>
      <c r="S290" s="1" t="s">
        <v>1392</v>
      </c>
      <c r="T290" s="20" t="s">
        <v>1393</v>
      </c>
      <c r="U290" s="1" t="s">
        <v>208</v>
      </c>
      <c r="V290" s="14">
        <v>0.02</v>
      </c>
      <c r="W290" s="1" t="s">
        <v>103</v>
      </c>
      <c r="X290" s="1"/>
      <c r="Y290" s="1"/>
      <c r="Z290" s="1"/>
    </row>
    <row r="291" spans="1:26" ht="25.2" customHeight="1" x14ac:dyDescent="0.3">
      <c r="A291" s="3" t="s">
        <v>578</v>
      </c>
      <c r="B291" s="3" t="s">
        <v>1425</v>
      </c>
      <c r="C291" s="5">
        <v>46244</v>
      </c>
      <c r="D291" s="5">
        <v>46245</v>
      </c>
      <c r="E291" s="3" t="s">
        <v>1424</v>
      </c>
      <c r="F291" s="3">
        <v>9</v>
      </c>
      <c r="G291" s="3">
        <v>1056</v>
      </c>
      <c r="H291" s="3">
        <v>50.1</v>
      </c>
      <c r="I291" s="3">
        <v>574</v>
      </c>
      <c r="J291" s="3">
        <v>1</v>
      </c>
      <c r="K291" s="4">
        <f t="shared" si="19"/>
        <v>50.174216027874564</v>
      </c>
      <c r="L291" s="3"/>
      <c r="M291" s="1">
        <v>133.5</v>
      </c>
      <c r="N291" s="1">
        <v>133.5</v>
      </c>
      <c r="O291" s="2">
        <f t="shared" si="20"/>
        <v>133.5</v>
      </c>
      <c r="P291" s="1">
        <v>48</v>
      </c>
      <c r="Q291" s="1">
        <v>7.05</v>
      </c>
      <c r="R291" s="1" t="s">
        <v>168</v>
      </c>
      <c r="S291" s="1" t="s">
        <v>1403</v>
      </c>
      <c r="T291" s="20" t="s">
        <v>1393</v>
      </c>
      <c r="U291" s="1" t="s">
        <v>211</v>
      </c>
      <c r="V291" s="14">
        <v>0.02</v>
      </c>
      <c r="W291" s="1"/>
      <c r="X291" s="1"/>
      <c r="Y291" s="1"/>
      <c r="Z291" s="1"/>
    </row>
    <row r="292" spans="1:26" ht="25.2" customHeight="1" x14ac:dyDescent="0.3">
      <c r="A292" s="3" t="s">
        <v>579</v>
      </c>
      <c r="B292" s="3" t="s">
        <v>1434</v>
      </c>
      <c r="C292" s="5">
        <v>46245</v>
      </c>
      <c r="D292" s="5">
        <v>46245</v>
      </c>
      <c r="E292" s="3" t="s">
        <v>1424</v>
      </c>
      <c r="F292" s="3">
        <v>9</v>
      </c>
      <c r="G292" s="3">
        <v>900</v>
      </c>
      <c r="H292" s="3">
        <v>52.1</v>
      </c>
      <c r="I292" s="3">
        <v>552</v>
      </c>
      <c r="J292" s="3">
        <v>1</v>
      </c>
      <c r="K292" s="4">
        <f t="shared" si="19"/>
        <v>52.173913043478258</v>
      </c>
      <c r="L292" s="3"/>
      <c r="M292" s="1">
        <v>134.19999999999999</v>
      </c>
      <c r="N292" s="1">
        <v>134.19999999999999</v>
      </c>
      <c r="O292" s="2">
        <f t="shared" si="20"/>
        <v>134.19999999999999</v>
      </c>
      <c r="P292" s="1">
        <v>48</v>
      </c>
      <c r="Q292" s="1">
        <v>7.05</v>
      </c>
      <c r="R292" s="1" t="s">
        <v>168</v>
      </c>
      <c r="S292" s="1" t="s">
        <v>1414</v>
      </c>
      <c r="T292" s="20" t="s">
        <v>1393</v>
      </c>
      <c r="U292" s="1" t="s">
        <v>1326</v>
      </c>
      <c r="V292" s="14">
        <v>0.02</v>
      </c>
      <c r="W292" s="1"/>
      <c r="X292" s="1"/>
      <c r="Y292" s="1"/>
      <c r="Z292" s="1"/>
    </row>
    <row r="293" spans="1:26" ht="25.2" customHeight="1" x14ac:dyDescent="0.3">
      <c r="A293" s="3" t="s">
        <v>580</v>
      </c>
      <c r="B293" s="3" t="s">
        <v>1435</v>
      </c>
      <c r="C293" s="5">
        <v>46246</v>
      </c>
      <c r="D293" s="5">
        <v>46246</v>
      </c>
      <c r="E293" s="3" t="s">
        <v>1424</v>
      </c>
      <c r="F293" s="3">
        <v>9</v>
      </c>
      <c r="G293" s="3">
        <v>540</v>
      </c>
      <c r="H293" s="3">
        <v>54.2</v>
      </c>
      <c r="I293" s="3">
        <v>530</v>
      </c>
      <c r="J293" s="3">
        <v>1</v>
      </c>
      <c r="K293" s="4">
        <f t="shared" si="19"/>
        <v>54.339622641509436</v>
      </c>
      <c r="L293" s="3"/>
      <c r="M293" s="1">
        <v>133.80000000000001</v>
      </c>
      <c r="N293" s="1">
        <v>133.80000000000001</v>
      </c>
      <c r="O293" s="2">
        <f t="shared" si="20"/>
        <v>133.80000000000001</v>
      </c>
      <c r="P293" s="1">
        <v>48</v>
      </c>
      <c r="Q293" s="1">
        <v>7.05</v>
      </c>
      <c r="R293" s="1" t="s">
        <v>168</v>
      </c>
      <c r="S293" s="1" t="s">
        <v>1415</v>
      </c>
      <c r="T293" s="20" t="s">
        <v>1393</v>
      </c>
      <c r="U293" s="1" t="s">
        <v>184</v>
      </c>
      <c r="V293" s="14">
        <v>0.02</v>
      </c>
      <c r="W293" s="1"/>
      <c r="X293" s="1"/>
      <c r="Y293" s="1"/>
      <c r="Z293" s="1"/>
    </row>
    <row r="294" spans="1:26" ht="25.2" customHeight="1" x14ac:dyDescent="0.3">
      <c r="A294" s="3" t="s">
        <v>581</v>
      </c>
      <c r="B294" s="3" t="s">
        <v>1437</v>
      </c>
      <c r="C294" s="5">
        <v>46247</v>
      </c>
      <c r="D294" s="5">
        <v>46247</v>
      </c>
      <c r="E294" s="3" t="s">
        <v>1424</v>
      </c>
      <c r="F294" s="3">
        <v>9</v>
      </c>
      <c r="G294" s="3">
        <v>707</v>
      </c>
      <c r="H294" s="3">
        <v>56</v>
      </c>
      <c r="I294" s="3">
        <v>514</v>
      </c>
      <c r="J294" s="3">
        <v>1</v>
      </c>
      <c r="K294" s="4">
        <f t="shared" si="19"/>
        <v>56.031128404669261</v>
      </c>
      <c r="L294" s="3"/>
      <c r="M294" s="1">
        <v>133.19999999999999</v>
      </c>
      <c r="N294" s="1">
        <v>133.19999999999999</v>
      </c>
      <c r="O294" s="2">
        <f t="shared" si="20"/>
        <v>133.19999999999999</v>
      </c>
      <c r="P294" s="1">
        <v>48</v>
      </c>
      <c r="Q294" s="1">
        <v>7.05</v>
      </c>
      <c r="R294" s="1" t="s">
        <v>168</v>
      </c>
      <c r="S294" s="1" t="s">
        <v>1421</v>
      </c>
      <c r="T294" s="20" t="s">
        <v>1393</v>
      </c>
      <c r="U294" s="1" t="s">
        <v>184</v>
      </c>
      <c r="V294" s="14">
        <v>0.02</v>
      </c>
      <c r="W294" s="1"/>
      <c r="X294" s="1"/>
      <c r="Y294" s="1"/>
      <c r="Z294" s="1"/>
    </row>
    <row r="295" spans="1:26" ht="25.2" customHeight="1" x14ac:dyDescent="0.3">
      <c r="A295" s="3" t="s">
        <v>582</v>
      </c>
      <c r="B295" s="3" t="s">
        <v>1438</v>
      </c>
      <c r="C295" s="5">
        <v>46247</v>
      </c>
      <c r="D295" s="5">
        <v>46251</v>
      </c>
      <c r="E295" s="3" t="s">
        <v>1424</v>
      </c>
      <c r="F295" s="3">
        <v>9</v>
      </c>
      <c r="G295" s="3">
        <v>500</v>
      </c>
      <c r="H295" s="3">
        <v>56</v>
      </c>
      <c r="I295" s="3">
        <v>514</v>
      </c>
      <c r="J295" s="3">
        <v>1</v>
      </c>
      <c r="K295" s="4">
        <f t="shared" si="19"/>
        <v>56.031128404669261</v>
      </c>
      <c r="L295" s="3"/>
      <c r="M295" s="1">
        <v>133.5</v>
      </c>
      <c r="N295" s="1">
        <v>133.5</v>
      </c>
      <c r="O295" s="2">
        <f t="shared" si="20"/>
        <v>133.5</v>
      </c>
      <c r="P295" s="1">
        <v>48</v>
      </c>
      <c r="Q295" s="1">
        <v>7.05</v>
      </c>
      <c r="R295" s="1" t="s">
        <v>168</v>
      </c>
      <c r="S295" s="1" t="s">
        <v>1439</v>
      </c>
      <c r="T295" s="20" t="s">
        <v>1393</v>
      </c>
      <c r="U295" s="1" t="s">
        <v>878</v>
      </c>
      <c r="V295" s="14">
        <v>0.02</v>
      </c>
      <c r="W295" s="1"/>
      <c r="X295" s="1"/>
      <c r="Y295" s="1"/>
      <c r="Z295" s="1"/>
    </row>
    <row r="296" spans="1:26" ht="25.2" customHeight="1" x14ac:dyDescent="0.3">
      <c r="A296" s="3" t="s">
        <v>583</v>
      </c>
      <c r="B296" s="3" t="s">
        <v>1448</v>
      </c>
      <c r="C296" s="5">
        <v>46251</v>
      </c>
      <c r="D296" s="5">
        <v>46252</v>
      </c>
      <c r="E296" s="3" t="s">
        <v>1449</v>
      </c>
      <c r="F296" s="3">
        <v>9</v>
      </c>
      <c r="G296" s="3">
        <v>616</v>
      </c>
      <c r="H296" s="3">
        <v>49.8</v>
      </c>
      <c r="I296" s="3">
        <v>587</v>
      </c>
      <c r="J296" s="3">
        <v>1</v>
      </c>
      <c r="K296" s="4">
        <f t="shared" si="19"/>
        <v>49.063032367972745</v>
      </c>
      <c r="L296" s="3"/>
      <c r="M296" s="1">
        <v>131.5</v>
      </c>
      <c r="N296" s="1">
        <v>131.5</v>
      </c>
      <c r="O296" s="2">
        <f t="shared" si="20"/>
        <v>131.5</v>
      </c>
      <c r="P296" s="1">
        <v>48</v>
      </c>
      <c r="Q296" s="1">
        <v>7.05</v>
      </c>
      <c r="R296" s="1" t="s">
        <v>168</v>
      </c>
      <c r="S296" s="1" t="s">
        <v>1450</v>
      </c>
      <c r="T296" s="20" t="s">
        <v>1393</v>
      </c>
      <c r="U296" s="1" t="s">
        <v>141</v>
      </c>
      <c r="V296" s="14">
        <v>0.02</v>
      </c>
      <c r="W296" s="1"/>
      <c r="X296" s="1"/>
      <c r="Y296" s="1"/>
      <c r="Z296" s="1"/>
    </row>
    <row r="297" spans="1:26" ht="25.2" customHeight="1" x14ac:dyDescent="0.3">
      <c r="A297" s="3" t="s">
        <v>584</v>
      </c>
      <c r="B297" s="3" t="s">
        <v>1451</v>
      </c>
      <c r="C297" s="5">
        <v>46252</v>
      </c>
      <c r="D297" s="5">
        <v>46252</v>
      </c>
      <c r="E297" s="3" t="s">
        <v>1424</v>
      </c>
      <c r="F297" s="3">
        <v>9</v>
      </c>
      <c r="G297" s="3">
        <v>702</v>
      </c>
      <c r="H297" s="3">
        <v>49.8</v>
      </c>
      <c r="I297" s="3">
        <v>587</v>
      </c>
      <c r="J297" s="3">
        <v>1</v>
      </c>
      <c r="K297" s="4">
        <f t="shared" si="19"/>
        <v>49.063032367972745</v>
      </c>
      <c r="L297" s="3"/>
      <c r="M297" s="1">
        <v>132.19999999999999</v>
      </c>
      <c r="N297" s="1">
        <v>132.19999999999999</v>
      </c>
      <c r="O297" s="2">
        <f t="shared" si="20"/>
        <v>132.19999999999999</v>
      </c>
      <c r="P297" s="1">
        <v>48</v>
      </c>
      <c r="Q297" s="1">
        <v>7.05</v>
      </c>
      <c r="R297" s="1" t="s">
        <v>168</v>
      </c>
      <c r="S297" s="1" t="s">
        <v>1452</v>
      </c>
      <c r="T297" s="20" t="s">
        <v>1393</v>
      </c>
      <c r="U297" s="1" t="s">
        <v>1453</v>
      </c>
      <c r="V297" s="14">
        <v>0.02</v>
      </c>
      <c r="W297" s="1"/>
      <c r="X297" s="1"/>
      <c r="Y297" s="1"/>
      <c r="Z297" s="1"/>
    </row>
    <row r="298" spans="1:26" ht="25.2" customHeight="1" x14ac:dyDescent="0.3">
      <c r="A298" s="3" t="s">
        <v>585</v>
      </c>
      <c r="B298" s="3" t="s">
        <v>1440</v>
      </c>
      <c r="C298" s="5">
        <v>46239</v>
      </c>
      <c r="D298" s="3"/>
      <c r="E298" s="3" t="s">
        <v>1441</v>
      </c>
      <c r="F298" s="3">
        <v>4</v>
      </c>
      <c r="G298" s="3">
        <v>60000</v>
      </c>
      <c r="H298" s="3">
        <v>46.1</v>
      </c>
      <c r="I298" s="3">
        <v>4997</v>
      </c>
      <c r="J298" s="3">
        <v>8</v>
      </c>
      <c r="K298" s="4">
        <f t="shared" si="19"/>
        <v>46.107664598759257</v>
      </c>
      <c r="L298" s="3"/>
      <c r="M298" s="1">
        <v>1.7</v>
      </c>
      <c r="N298" s="1">
        <v>24</v>
      </c>
      <c r="O298" s="2">
        <f t="shared" si="20"/>
        <v>3</v>
      </c>
      <c r="P298" s="1">
        <v>18000</v>
      </c>
      <c r="Q298" s="1">
        <v>31.6</v>
      </c>
      <c r="R298" s="1" t="s">
        <v>124</v>
      </c>
      <c r="S298" s="1" t="s">
        <v>1392</v>
      </c>
      <c r="T298" s="20" t="s">
        <v>1442</v>
      </c>
      <c r="U298" s="1"/>
      <c r="V298" s="1"/>
      <c r="W298" s="1" t="s">
        <v>678</v>
      </c>
      <c r="X298" s="1" t="s">
        <v>94</v>
      </c>
      <c r="Y298" s="1" t="s">
        <v>120</v>
      </c>
      <c r="Z298" s="1"/>
    </row>
    <row r="299" spans="1:26" ht="25.2" customHeight="1" x14ac:dyDescent="0.3">
      <c r="A299" s="3" t="s">
        <v>586</v>
      </c>
      <c r="B299" s="11" t="s">
        <v>1446</v>
      </c>
      <c r="C299" s="5">
        <v>46251</v>
      </c>
      <c r="D299" s="5">
        <v>46251</v>
      </c>
      <c r="E299" s="3" t="s">
        <v>1447</v>
      </c>
      <c r="F299" s="3">
        <v>4</v>
      </c>
      <c r="G299" s="3">
        <v>3000</v>
      </c>
      <c r="H299" s="3">
        <v>36.4</v>
      </c>
      <c r="I299" s="3">
        <v>1582</v>
      </c>
      <c r="J299" s="3">
        <v>2</v>
      </c>
      <c r="K299" s="4">
        <f t="shared" si="19"/>
        <v>36.409608091024019</v>
      </c>
      <c r="L299" s="3">
        <v>44</v>
      </c>
      <c r="M299" s="1">
        <v>26.3</v>
      </c>
      <c r="N299" s="1">
        <v>53.8</v>
      </c>
      <c r="O299" s="2">
        <f t="shared" si="20"/>
        <v>26.9</v>
      </c>
      <c r="P299" s="1">
        <v>176</v>
      </c>
      <c r="Q299" s="1">
        <v>4.5999999999999996</v>
      </c>
      <c r="R299" s="1" t="s">
        <v>87</v>
      </c>
      <c r="S299" s="1" t="s">
        <v>1392</v>
      </c>
      <c r="T299" s="3" t="s">
        <v>1365</v>
      </c>
      <c r="U299" s="1" t="s">
        <v>1326</v>
      </c>
      <c r="V299" s="14">
        <v>0.02</v>
      </c>
      <c r="W299" s="1" t="s">
        <v>94</v>
      </c>
      <c r="X299" s="1"/>
      <c r="Y299" s="1"/>
      <c r="Z299" s="1"/>
    </row>
    <row r="300" spans="1:26" ht="25.2" customHeight="1" x14ac:dyDescent="0.3">
      <c r="A300" s="3" t="s">
        <v>587</v>
      </c>
      <c r="B300" s="3" t="s">
        <v>1467</v>
      </c>
      <c r="C300" s="5">
        <v>46254</v>
      </c>
      <c r="D300" s="5">
        <v>46258</v>
      </c>
      <c r="E300" s="3" t="s">
        <v>1468</v>
      </c>
      <c r="F300" s="3">
        <v>4</v>
      </c>
      <c r="G300" s="3">
        <v>1504</v>
      </c>
      <c r="H300" s="3">
        <v>46.5</v>
      </c>
      <c r="I300" s="3">
        <v>619</v>
      </c>
      <c r="J300" s="3">
        <v>1</v>
      </c>
      <c r="K300" s="4">
        <f t="shared" si="19"/>
        <v>46.52665589660743</v>
      </c>
      <c r="L300" s="3"/>
      <c r="M300" s="1">
        <v>127.3</v>
      </c>
      <c r="N300" s="1">
        <v>127.9</v>
      </c>
      <c r="O300" s="2">
        <f t="shared" si="20"/>
        <v>127.9</v>
      </c>
      <c r="P300" s="1">
        <v>32</v>
      </c>
      <c r="Q300" s="1">
        <v>4.3499999999999996</v>
      </c>
      <c r="R300" s="1" t="s">
        <v>87</v>
      </c>
      <c r="S300" s="1" t="s">
        <v>1392</v>
      </c>
      <c r="T300" s="17" t="s">
        <v>206</v>
      </c>
      <c r="U300" s="1" t="s">
        <v>180</v>
      </c>
      <c r="V300" s="14">
        <v>0.02</v>
      </c>
      <c r="W300" s="1" t="s">
        <v>103</v>
      </c>
      <c r="X300" s="1"/>
      <c r="Y300" s="1"/>
      <c r="Z300" s="1"/>
    </row>
    <row r="301" spans="1:26" ht="25.2" customHeight="1" x14ac:dyDescent="0.3">
      <c r="A301" s="3" t="s">
        <v>588</v>
      </c>
      <c r="B301" s="3" t="s">
        <v>1469</v>
      </c>
      <c r="C301" s="5">
        <v>46258</v>
      </c>
      <c r="D301" s="5">
        <v>46259</v>
      </c>
      <c r="E301" s="3" t="s">
        <v>1468</v>
      </c>
      <c r="F301" s="3">
        <v>4</v>
      </c>
      <c r="G301" s="3">
        <v>1504</v>
      </c>
      <c r="H301" s="3">
        <v>46.5</v>
      </c>
      <c r="I301" s="3">
        <v>619</v>
      </c>
      <c r="J301" s="3">
        <v>1</v>
      </c>
      <c r="K301" s="4">
        <f t="shared" si="19"/>
        <v>46.52665589660743</v>
      </c>
      <c r="L301" s="3"/>
      <c r="M301" s="1">
        <v>127</v>
      </c>
      <c r="N301" s="1">
        <v>127</v>
      </c>
      <c r="O301" s="2">
        <f t="shared" si="20"/>
        <v>127</v>
      </c>
      <c r="P301" s="1">
        <v>32</v>
      </c>
      <c r="Q301" s="1">
        <v>4.3499999999999996</v>
      </c>
      <c r="R301" s="1" t="s">
        <v>87</v>
      </c>
      <c r="S301" s="1" t="s">
        <v>1403</v>
      </c>
      <c r="T301" s="17" t="s">
        <v>206</v>
      </c>
      <c r="U301" s="1" t="s">
        <v>1326</v>
      </c>
      <c r="V301" s="14">
        <v>0.02</v>
      </c>
      <c r="W301" s="1"/>
      <c r="X301" s="1" t="s">
        <v>156</v>
      </c>
      <c r="Y301" s="1" t="s">
        <v>833</v>
      </c>
      <c r="Z301" s="1"/>
    </row>
    <row r="302" spans="1:26" ht="25.2" customHeight="1" x14ac:dyDescent="0.3">
      <c r="A302" s="3" t="s">
        <v>589</v>
      </c>
      <c r="B302" s="11" t="s">
        <v>1470</v>
      </c>
      <c r="C302" s="5">
        <v>46253</v>
      </c>
      <c r="D302" s="5">
        <v>46254</v>
      </c>
      <c r="E302" s="3" t="s">
        <v>1471</v>
      </c>
      <c r="F302" s="3">
        <v>9</v>
      </c>
      <c r="G302" s="3">
        <v>1000</v>
      </c>
      <c r="H302" s="3">
        <v>55.8</v>
      </c>
      <c r="I302" s="3">
        <v>516</v>
      </c>
      <c r="J302" s="3">
        <v>1</v>
      </c>
      <c r="K302" s="4">
        <f t="shared" si="19"/>
        <v>55.813953488372093</v>
      </c>
      <c r="L302" s="3"/>
      <c r="M302" s="1">
        <v>400</v>
      </c>
      <c r="N302" s="1">
        <v>400.3</v>
      </c>
      <c r="O302" s="2">
        <f t="shared" si="20"/>
        <v>400.3</v>
      </c>
      <c r="P302" s="1">
        <v>20</v>
      </c>
      <c r="Q302" s="1">
        <v>8.1999999999999993</v>
      </c>
      <c r="R302" s="1" t="s">
        <v>84</v>
      </c>
      <c r="S302" s="1" t="s">
        <v>1392</v>
      </c>
      <c r="T302" s="17" t="s">
        <v>133</v>
      </c>
      <c r="U302" s="1" t="s">
        <v>782</v>
      </c>
      <c r="V302" s="14">
        <v>0.02</v>
      </c>
      <c r="W302" s="1" t="s">
        <v>94</v>
      </c>
      <c r="X302" s="1"/>
      <c r="Y302" s="1"/>
      <c r="Z302" s="1"/>
    </row>
    <row r="303" spans="1:26" ht="25.2" customHeight="1" x14ac:dyDescent="0.3">
      <c r="A303" s="3" t="s">
        <v>590</v>
      </c>
      <c r="B303" s="3" t="s">
        <v>1472</v>
      </c>
      <c r="C303" s="5">
        <v>46254</v>
      </c>
      <c r="D303" s="5">
        <v>46258</v>
      </c>
      <c r="E303" s="3" t="s">
        <v>1473</v>
      </c>
      <c r="F303" s="3">
        <v>9</v>
      </c>
      <c r="G303" s="3">
        <v>920</v>
      </c>
      <c r="H303" s="3">
        <v>55.8</v>
      </c>
      <c r="I303" s="3">
        <v>516</v>
      </c>
      <c r="J303" s="3">
        <v>1</v>
      </c>
      <c r="K303" s="4">
        <f t="shared" si="19"/>
        <v>55.813953488372093</v>
      </c>
      <c r="L303" s="3"/>
      <c r="M303" s="1">
        <v>400</v>
      </c>
      <c r="N303" s="1">
        <v>400.3</v>
      </c>
      <c r="O303" s="2">
        <f t="shared" si="20"/>
        <v>400.3</v>
      </c>
      <c r="P303" s="1">
        <v>20</v>
      </c>
      <c r="Q303" s="1">
        <v>8.1999999999999993</v>
      </c>
      <c r="R303" s="1" t="s">
        <v>84</v>
      </c>
      <c r="S303" s="1" t="s">
        <v>1392</v>
      </c>
      <c r="T303" s="17" t="s">
        <v>133</v>
      </c>
      <c r="U303" s="1" t="s">
        <v>180</v>
      </c>
      <c r="V303" s="14">
        <v>0.02</v>
      </c>
      <c r="W303" s="1"/>
      <c r="X303" s="1"/>
      <c r="Y303" s="1"/>
      <c r="Z303" s="1"/>
    </row>
    <row r="304" spans="1:26" ht="25.2" customHeight="1" x14ac:dyDescent="0.3">
      <c r="A304" s="3" t="s">
        <v>591</v>
      </c>
      <c r="B304" s="3" t="s">
        <v>1474</v>
      </c>
      <c r="C304" s="5">
        <v>46258</v>
      </c>
      <c r="D304" s="5">
        <v>46259</v>
      </c>
      <c r="E304" s="3" t="s">
        <v>1473</v>
      </c>
      <c r="F304" s="3">
        <v>9</v>
      </c>
      <c r="G304" s="3">
        <v>910</v>
      </c>
      <c r="H304" s="3">
        <v>55.8</v>
      </c>
      <c r="I304" s="3">
        <v>516</v>
      </c>
      <c r="J304" s="3">
        <v>1</v>
      </c>
      <c r="K304" s="4">
        <f t="shared" si="19"/>
        <v>55.813953488372093</v>
      </c>
      <c r="L304" s="3"/>
      <c r="M304" s="1">
        <v>400</v>
      </c>
      <c r="N304" s="1">
        <v>400.3</v>
      </c>
      <c r="O304" s="2">
        <f t="shared" si="20"/>
        <v>400.3</v>
      </c>
      <c r="P304" s="1">
        <v>20</v>
      </c>
      <c r="Q304" s="1">
        <v>8.1999999999999993</v>
      </c>
      <c r="R304" s="1" t="s">
        <v>84</v>
      </c>
      <c r="S304" s="1" t="s">
        <v>1403</v>
      </c>
      <c r="T304" s="17" t="s">
        <v>133</v>
      </c>
      <c r="U304" s="1" t="s">
        <v>1326</v>
      </c>
      <c r="V304" s="14">
        <v>0.02</v>
      </c>
      <c r="W304" s="1"/>
      <c r="X304" s="1"/>
      <c r="Y304" s="1"/>
      <c r="Z304" s="1"/>
    </row>
    <row r="305" spans="1:26" ht="25.2" customHeight="1" x14ac:dyDescent="0.3">
      <c r="A305" s="3" t="s">
        <v>592</v>
      </c>
      <c r="B305" s="3" t="s">
        <v>1494</v>
      </c>
      <c r="C305" s="5">
        <v>46259</v>
      </c>
      <c r="D305" s="5">
        <v>46260</v>
      </c>
      <c r="E305" s="3" t="s">
        <v>1473</v>
      </c>
      <c r="F305" s="3">
        <v>9</v>
      </c>
      <c r="G305" s="3">
        <v>860</v>
      </c>
      <c r="H305" s="3">
        <v>56.2</v>
      </c>
      <c r="I305" s="3">
        <v>512</v>
      </c>
      <c r="J305" s="3">
        <v>1</v>
      </c>
      <c r="K305" s="4">
        <f t="shared" si="19"/>
        <v>56.25</v>
      </c>
      <c r="L305" s="3"/>
      <c r="M305" s="1">
        <v>400</v>
      </c>
      <c r="N305" s="1">
        <v>400.3</v>
      </c>
      <c r="O305" s="2">
        <f t="shared" si="20"/>
        <v>400.3</v>
      </c>
      <c r="P305" s="1">
        <v>20</v>
      </c>
      <c r="Q305" s="1">
        <v>8.1999999999999993</v>
      </c>
      <c r="R305" s="1" t="s">
        <v>84</v>
      </c>
      <c r="S305" s="1" t="s">
        <v>1414</v>
      </c>
      <c r="T305" s="17" t="s">
        <v>133</v>
      </c>
      <c r="U305" s="1" t="s">
        <v>207</v>
      </c>
      <c r="V305" s="14">
        <v>0.02</v>
      </c>
      <c r="W305" s="1"/>
      <c r="X305" s="1"/>
      <c r="Y305" s="1"/>
      <c r="Z305" s="1"/>
    </row>
    <row r="306" spans="1:26" ht="25.2" customHeight="1" x14ac:dyDescent="0.3">
      <c r="A306" s="3" t="s">
        <v>593</v>
      </c>
      <c r="B306" s="3" t="s">
        <v>1504</v>
      </c>
      <c r="C306" s="5">
        <v>46260</v>
      </c>
      <c r="D306" s="5">
        <v>46261</v>
      </c>
      <c r="E306" s="3" t="s">
        <v>1496</v>
      </c>
      <c r="F306" s="3">
        <v>8</v>
      </c>
      <c r="G306" s="3">
        <v>280</v>
      </c>
      <c r="H306" s="3">
        <v>52.8</v>
      </c>
      <c r="I306" s="3">
        <v>545</v>
      </c>
      <c r="J306" s="3">
        <v>1</v>
      </c>
      <c r="K306" s="4">
        <f t="shared" si="19"/>
        <v>52.844036697247709</v>
      </c>
      <c r="L306" s="3"/>
      <c r="M306" s="1">
        <v>250</v>
      </c>
      <c r="N306" s="1">
        <v>250</v>
      </c>
      <c r="O306" s="2">
        <f t="shared" si="20"/>
        <v>250</v>
      </c>
      <c r="P306" s="1">
        <v>15</v>
      </c>
      <c r="Q306" s="1">
        <v>4.3</v>
      </c>
      <c r="R306" s="1" t="s">
        <v>84</v>
      </c>
      <c r="S306" s="1" t="s">
        <v>1403</v>
      </c>
      <c r="T306" s="1" t="s">
        <v>1502</v>
      </c>
      <c r="U306" s="1" t="s">
        <v>1505</v>
      </c>
      <c r="V306" s="14">
        <v>0.02</v>
      </c>
      <c r="W306" s="1" t="s">
        <v>849</v>
      </c>
      <c r="X306" s="1"/>
      <c r="Y306" s="1"/>
      <c r="Z306" s="1"/>
    </row>
    <row r="307" spans="1:26" ht="25.2" customHeight="1" x14ac:dyDescent="0.3">
      <c r="A307" s="3" t="s">
        <v>594</v>
      </c>
      <c r="B307" s="3" t="s">
        <v>1495</v>
      </c>
      <c r="C307" s="5">
        <v>46259</v>
      </c>
      <c r="D307" s="5">
        <v>46259</v>
      </c>
      <c r="E307" s="3" t="s">
        <v>1496</v>
      </c>
      <c r="F307" s="3">
        <v>8</v>
      </c>
      <c r="G307" s="3">
        <v>255</v>
      </c>
      <c r="H307" s="3">
        <v>52.8</v>
      </c>
      <c r="I307" s="3">
        <v>545</v>
      </c>
      <c r="J307" s="3">
        <v>1</v>
      </c>
      <c r="K307" s="4">
        <f t="shared" si="19"/>
        <v>52.844036697247709</v>
      </c>
      <c r="L307" s="3"/>
      <c r="M307" s="1">
        <v>250</v>
      </c>
      <c r="N307" s="1">
        <v>250</v>
      </c>
      <c r="O307" s="2">
        <f t="shared" si="20"/>
        <v>250</v>
      </c>
      <c r="P307" s="1">
        <v>15</v>
      </c>
      <c r="Q307" s="1">
        <v>4.3</v>
      </c>
      <c r="R307" s="1" t="s">
        <v>84</v>
      </c>
      <c r="S307" s="1" t="s">
        <v>1392</v>
      </c>
      <c r="T307" s="1" t="s">
        <v>1502</v>
      </c>
      <c r="U307" s="1" t="s">
        <v>1503</v>
      </c>
      <c r="V307" s="14">
        <v>0.02</v>
      </c>
      <c r="W307" s="1" t="s">
        <v>826</v>
      </c>
      <c r="X307" s="1"/>
      <c r="Y307" s="1"/>
      <c r="Z307" s="1"/>
    </row>
    <row r="308" spans="1:26" ht="25.2" customHeight="1" x14ac:dyDescent="0.3">
      <c r="A308" s="3" t="s">
        <v>595</v>
      </c>
      <c r="B308" s="3" t="s">
        <v>1507</v>
      </c>
      <c r="C308" s="5">
        <v>46261</v>
      </c>
      <c r="D308" s="5">
        <v>46261</v>
      </c>
      <c r="E308" s="3" t="s">
        <v>1496</v>
      </c>
      <c r="F308" s="3">
        <v>8</v>
      </c>
      <c r="G308" s="3">
        <v>255</v>
      </c>
      <c r="H308" s="3">
        <v>52.8</v>
      </c>
      <c r="I308" s="3">
        <v>545</v>
      </c>
      <c r="J308" s="3">
        <v>1</v>
      </c>
      <c r="K308" s="4">
        <f t="shared" si="19"/>
        <v>52.844036697247709</v>
      </c>
      <c r="L308" s="3"/>
      <c r="M308" s="1">
        <v>250</v>
      </c>
      <c r="N308" s="1">
        <v>250</v>
      </c>
      <c r="O308" s="2">
        <f t="shared" si="20"/>
        <v>250</v>
      </c>
      <c r="P308" s="1">
        <v>15</v>
      </c>
      <c r="Q308" s="1">
        <v>4.3</v>
      </c>
      <c r="R308" s="1" t="s">
        <v>84</v>
      </c>
      <c r="S308" s="1" t="s">
        <v>1414</v>
      </c>
      <c r="T308" s="1" t="s">
        <v>1502</v>
      </c>
      <c r="U308" s="1" t="s">
        <v>1505</v>
      </c>
      <c r="V308" s="14">
        <v>0.02</v>
      </c>
      <c r="W308" s="1"/>
      <c r="X308" s="1" t="s">
        <v>156</v>
      </c>
      <c r="Y308" s="1" t="s">
        <v>120</v>
      </c>
      <c r="Z308" s="1"/>
    </row>
    <row r="309" spans="1:26" ht="25.2" customHeight="1" x14ac:dyDescent="0.3">
      <c r="A309" s="3" t="s">
        <v>596</v>
      </c>
      <c r="B309" s="3" t="s">
        <v>1171</v>
      </c>
      <c r="C309" s="5">
        <v>46260</v>
      </c>
      <c r="D309" s="5">
        <v>46262</v>
      </c>
      <c r="E309" s="3" t="s">
        <v>1506</v>
      </c>
      <c r="F309" s="3">
        <v>9</v>
      </c>
      <c r="G309" s="3">
        <v>1505</v>
      </c>
      <c r="H309" s="3">
        <v>44.8</v>
      </c>
      <c r="I309" s="3">
        <v>642</v>
      </c>
      <c r="J309" s="3">
        <v>1</v>
      </c>
      <c r="K309" s="4">
        <f t="shared" si="19"/>
        <v>44.859813084112147</v>
      </c>
      <c r="L309" s="3"/>
      <c r="M309" s="1">
        <v>250</v>
      </c>
      <c r="N309" s="1">
        <v>250</v>
      </c>
      <c r="O309" s="2">
        <f t="shared" si="20"/>
        <v>250</v>
      </c>
      <c r="P309" s="1">
        <v>80</v>
      </c>
      <c r="Q309" s="1">
        <v>19.05</v>
      </c>
      <c r="R309" s="1" t="s">
        <v>168</v>
      </c>
      <c r="S309" s="1" t="s">
        <v>1392</v>
      </c>
      <c r="T309" s="17" t="s">
        <v>133</v>
      </c>
      <c r="U309" s="1" t="s">
        <v>207</v>
      </c>
      <c r="V309" s="14">
        <v>0.02</v>
      </c>
      <c r="W309" s="1" t="s">
        <v>161</v>
      </c>
      <c r="X309" s="1"/>
      <c r="Y309" s="1"/>
      <c r="Z309" s="1"/>
    </row>
    <row r="310" spans="1:26" ht="25.2" customHeight="1" x14ac:dyDescent="0.3">
      <c r="A310" s="3" t="s">
        <v>597</v>
      </c>
      <c r="B310" s="3" t="s">
        <v>1521</v>
      </c>
      <c r="C310" s="5">
        <v>46262</v>
      </c>
      <c r="D310" s="5">
        <v>46265</v>
      </c>
      <c r="E310" s="3" t="s">
        <v>1506</v>
      </c>
      <c r="F310" s="3">
        <v>9</v>
      </c>
      <c r="G310" s="3">
        <v>900</v>
      </c>
      <c r="H310" s="3">
        <v>44.8</v>
      </c>
      <c r="I310" s="3">
        <v>642</v>
      </c>
      <c r="J310" s="3">
        <v>1</v>
      </c>
      <c r="K310" s="4">
        <f t="shared" si="19"/>
        <v>44.859813084112147</v>
      </c>
      <c r="L310" s="3"/>
      <c r="M310" s="1">
        <v>250</v>
      </c>
      <c r="N310" s="1">
        <v>250</v>
      </c>
      <c r="O310" s="2">
        <f t="shared" si="20"/>
        <v>250</v>
      </c>
      <c r="P310" s="1">
        <v>80</v>
      </c>
      <c r="Q310" s="1">
        <v>19.05</v>
      </c>
      <c r="R310" s="1" t="s">
        <v>168</v>
      </c>
      <c r="S310" s="1" t="s">
        <v>1403</v>
      </c>
      <c r="T310" s="17" t="s">
        <v>133</v>
      </c>
      <c r="U310" s="1" t="s">
        <v>1326</v>
      </c>
      <c r="V310" s="14">
        <v>0.02</v>
      </c>
      <c r="W310" s="1"/>
      <c r="X310" s="1"/>
      <c r="Y310" s="1"/>
      <c r="Z310" s="1"/>
    </row>
    <row r="311" spans="1:26" ht="25.2" customHeight="1" x14ac:dyDescent="0.3">
      <c r="A311" s="3" t="s">
        <v>598</v>
      </c>
      <c r="B311" s="3" t="s">
        <v>1522</v>
      </c>
      <c r="C311" s="5">
        <v>46265</v>
      </c>
      <c r="D311" s="5">
        <v>46267</v>
      </c>
      <c r="E311" s="3" t="s">
        <v>1506</v>
      </c>
      <c r="F311" s="3">
        <v>9</v>
      </c>
      <c r="G311" s="3">
        <v>1500</v>
      </c>
      <c r="H311" s="3">
        <v>44.8</v>
      </c>
      <c r="I311" s="3">
        <v>642</v>
      </c>
      <c r="J311" s="3">
        <v>1</v>
      </c>
      <c r="K311" s="4">
        <f t="shared" si="19"/>
        <v>44.859813084112147</v>
      </c>
      <c r="L311" s="3"/>
      <c r="M311" s="1">
        <v>250</v>
      </c>
      <c r="N311" s="1">
        <v>250</v>
      </c>
      <c r="O311" s="2">
        <f t="shared" si="20"/>
        <v>250</v>
      </c>
      <c r="P311" s="1">
        <v>80</v>
      </c>
      <c r="Q311" s="1">
        <v>19.05</v>
      </c>
      <c r="R311" s="1" t="s">
        <v>1523</v>
      </c>
      <c r="S311" s="1" t="s">
        <v>1524</v>
      </c>
      <c r="T311" s="17" t="s">
        <v>206</v>
      </c>
      <c r="U311" s="1" t="s">
        <v>180</v>
      </c>
      <c r="V311" s="14">
        <v>0.02</v>
      </c>
      <c r="W311" s="1"/>
      <c r="X311" s="1"/>
      <c r="Y311" s="1"/>
      <c r="Z311" s="1"/>
    </row>
    <row r="312" spans="1:26" ht="25.2" customHeight="1" x14ac:dyDescent="0.3">
      <c r="A312" s="3" t="s">
        <v>599</v>
      </c>
      <c r="B312" s="3" t="s">
        <v>681</v>
      </c>
      <c r="C312" s="5">
        <v>46262</v>
      </c>
      <c r="D312" s="5">
        <v>46262</v>
      </c>
      <c r="E312" s="3" t="s">
        <v>1510</v>
      </c>
      <c r="F312" s="3">
        <v>8</v>
      </c>
      <c r="G312" s="3">
        <v>805</v>
      </c>
      <c r="H312" s="3">
        <v>46.1</v>
      </c>
      <c r="I312" s="3">
        <v>624</v>
      </c>
      <c r="J312" s="3">
        <v>1</v>
      </c>
      <c r="K312" s="4">
        <f t="shared" si="19"/>
        <v>46.153846153846153</v>
      </c>
      <c r="L312" s="3">
        <v>29</v>
      </c>
      <c r="M312" s="1">
        <v>157</v>
      </c>
      <c r="N312" s="1">
        <v>157</v>
      </c>
      <c r="O312" s="2">
        <f t="shared" si="20"/>
        <v>157</v>
      </c>
      <c r="P312" s="1">
        <v>40</v>
      </c>
      <c r="Q312" s="1">
        <v>6.65</v>
      </c>
      <c r="R312" s="1" t="s">
        <v>92</v>
      </c>
      <c r="S312" s="1" t="s">
        <v>1392</v>
      </c>
      <c r="T312" s="11" t="s">
        <v>346</v>
      </c>
      <c r="U312" s="1" t="s">
        <v>344</v>
      </c>
      <c r="V312" s="14">
        <v>0.03</v>
      </c>
      <c r="W312" s="1" t="s">
        <v>103</v>
      </c>
      <c r="X312" s="1"/>
      <c r="Y312" s="1"/>
      <c r="Z312" s="1"/>
    </row>
    <row r="313" spans="1:26" ht="25.2" customHeight="1" x14ac:dyDescent="0.3">
      <c r="A313" s="3" t="s">
        <v>600</v>
      </c>
      <c r="B313" s="3" t="s">
        <v>690</v>
      </c>
      <c r="C313" s="5">
        <v>46262</v>
      </c>
      <c r="D313" s="5">
        <v>46266</v>
      </c>
      <c r="E313" s="3" t="s">
        <v>1510</v>
      </c>
      <c r="F313" s="3">
        <v>8</v>
      </c>
      <c r="G313" s="3">
        <v>2000</v>
      </c>
      <c r="H313" s="3">
        <v>46.1</v>
      </c>
      <c r="I313" s="3">
        <v>624</v>
      </c>
      <c r="J313" s="3">
        <v>1</v>
      </c>
      <c r="K313" s="4">
        <f t="shared" si="19"/>
        <v>46.153846153846153</v>
      </c>
      <c r="L313" s="3">
        <v>19</v>
      </c>
      <c r="M313" s="1">
        <v>156.9</v>
      </c>
      <c r="N313" s="1">
        <v>156.9</v>
      </c>
      <c r="O313" s="2">
        <f t="shared" si="20"/>
        <v>156.9</v>
      </c>
      <c r="P313" s="1">
        <v>40</v>
      </c>
      <c r="Q313" s="1">
        <v>6.65</v>
      </c>
      <c r="R313" s="1" t="s">
        <v>92</v>
      </c>
      <c r="S313" s="1" t="s">
        <v>1403</v>
      </c>
      <c r="T313" s="11" t="s">
        <v>346</v>
      </c>
      <c r="U313" s="1" t="s">
        <v>652</v>
      </c>
      <c r="V313" s="14">
        <v>0.03</v>
      </c>
      <c r="W313" s="1"/>
      <c r="X313" s="1"/>
      <c r="Y313" s="1"/>
      <c r="Z313" s="1"/>
    </row>
    <row r="314" spans="1:26" ht="25.2" customHeight="1" x14ac:dyDescent="0.3">
      <c r="A314" s="3" t="s">
        <v>601</v>
      </c>
      <c r="B314" s="3" t="s">
        <v>1525</v>
      </c>
      <c r="C314" s="5">
        <v>46266</v>
      </c>
      <c r="D314" s="5">
        <v>46267</v>
      </c>
      <c r="E314" s="3" t="s">
        <v>1510</v>
      </c>
      <c r="F314" s="3">
        <v>8</v>
      </c>
      <c r="G314" s="3">
        <v>1000</v>
      </c>
      <c r="H314" s="3">
        <v>45.1</v>
      </c>
      <c r="I314" s="3">
        <v>638</v>
      </c>
      <c r="J314" s="3">
        <v>1</v>
      </c>
      <c r="K314" s="4">
        <f t="shared" si="19"/>
        <v>45.141065830721004</v>
      </c>
      <c r="L314" s="3">
        <v>100</v>
      </c>
      <c r="M314" s="1">
        <v>159.9</v>
      </c>
      <c r="N314" s="1">
        <v>160</v>
      </c>
      <c r="O314" s="2">
        <f t="shared" si="20"/>
        <v>160</v>
      </c>
      <c r="P314" s="1">
        <v>40</v>
      </c>
      <c r="Q314" s="1">
        <v>6.65</v>
      </c>
      <c r="R314" s="1" t="s">
        <v>92</v>
      </c>
      <c r="S314" s="1" t="s">
        <v>1526</v>
      </c>
      <c r="T314" s="11" t="s">
        <v>346</v>
      </c>
      <c r="U314" s="1" t="s">
        <v>878</v>
      </c>
      <c r="V314" s="14">
        <v>0.02</v>
      </c>
      <c r="W314" s="1"/>
      <c r="X314" s="1"/>
      <c r="Y314" s="1"/>
      <c r="Z314" s="1"/>
    </row>
    <row r="315" spans="1:26" ht="25.2" customHeight="1" x14ac:dyDescent="0.3">
      <c r="A315" s="3" t="s">
        <v>602</v>
      </c>
      <c r="B315" s="3" t="s">
        <v>1530</v>
      </c>
      <c r="C315" s="5">
        <v>46267</v>
      </c>
      <c r="D315" s="5">
        <v>46268</v>
      </c>
      <c r="E315" s="3" t="s">
        <v>1343</v>
      </c>
      <c r="F315" s="3">
        <v>8</v>
      </c>
      <c r="G315" s="3">
        <v>1014</v>
      </c>
      <c r="H315" s="3">
        <v>45.1</v>
      </c>
      <c r="I315" s="3">
        <v>638</v>
      </c>
      <c r="J315" s="3">
        <v>1</v>
      </c>
      <c r="K315" s="4">
        <f t="shared" si="19"/>
        <v>45.141065830721004</v>
      </c>
      <c r="L315" s="3"/>
      <c r="M315" s="1">
        <v>157.4</v>
      </c>
      <c r="N315" s="1">
        <v>157.5</v>
      </c>
      <c r="O315" s="2">
        <f t="shared" si="20"/>
        <v>157.5</v>
      </c>
      <c r="P315" s="1">
        <v>40</v>
      </c>
      <c r="Q315" s="1">
        <v>6.5</v>
      </c>
      <c r="R315" s="1" t="s">
        <v>92</v>
      </c>
      <c r="S315" s="1" t="s">
        <v>1531</v>
      </c>
      <c r="T315" s="11" t="s">
        <v>346</v>
      </c>
      <c r="U315" s="1" t="s">
        <v>208</v>
      </c>
      <c r="V315" s="14">
        <v>0.02</v>
      </c>
      <c r="W315" s="1"/>
      <c r="X315" s="1"/>
      <c r="Y315" s="1"/>
      <c r="Z315" s="1"/>
    </row>
    <row r="316" spans="1:26" ht="25.2" customHeight="1" x14ac:dyDescent="0.3">
      <c r="A316" s="3" t="s">
        <v>603</v>
      </c>
      <c r="B316" s="3" t="s">
        <v>1535</v>
      </c>
      <c r="C316" s="5">
        <v>46268</v>
      </c>
      <c r="D316" s="5">
        <v>46269</v>
      </c>
      <c r="E316" s="3" t="s">
        <v>1343</v>
      </c>
      <c r="F316" s="3">
        <v>8</v>
      </c>
      <c r="G316" s="3">
        <v>1027</v>
      </c>
      <c r="H316" s="3">
        <v>45.1</v>
      </c>
      <c r="I316" s="3">
        <v>638</v>
      </c>
      <c r="J316" s="3">
        <v>1</v>
      </c>
      <c r="K316" s="4">
        <f t="shared" ref="K316:K357" si="21">(3600/(I316/8))*J316</f>
        <v>45.141065830721004</v>
      </c>
      <c r="L316" s="3">
        <v>29</v>
      </c>
      <c r="M316" s="1">
        <v>158.1</v>
      </c>
      <c r="N316" s="1">
        <v>158.5</v>
      </c>
      <c r="O316" s="2">
        <f t="shared" ref="O316:O357" si="22">N316/J316</f>
        <v>158.5</v>
      </c>
      <c r="P316" s="1">
        <v>40</v>
      </c>
      <c r="Q316" s="1">
        <v>6.5</v>
      </c>
      <c r="R316" s="1" t="s">
        <v>92</v>
      </c>
      <c r="S316" s="1" t="s">
        <v>1536</v>
      </c>
      <c r="T316" s="11" t="s">
        <v>346</v>
      </c>
      <c r="U316" s="1" t="s">
        <v>925</v>
      </c>
      <c r="V316" s="14">
        <v>0.02</v>
      </c>
      <c r="W316" s="1"/>
      <c r="X316" s="1"/>
      <c r="Y316" s="1"/>
      <c r="Z316" s="1"/>
    </row>
    <row r="317" spans="1:26" ht="25.2" customHeight="1" x14ac:dyDescent="0.3">
      <c r="A317" s="3" t="s">
        <v>604</v>
      </c>
      <c r="B317" s="3" t="s">
        <v>1539</v>
      </c>
      <c r="C317" s="5">
        <v>46269</v>
      </c>
      <c r="D317" s="5">
        <v>46272</v>
      </c>
      <c r="E317" s="3" t="s">
        <v>1343</v>
      </c>
      <c r="F317" s="3">
        <v>8</v>
      </c>
      <c r="G317" s="3">
        <v>1016</v>
      </c>
      <c r="H317" s="3">
        <v>45.1</v>
      </c>
      <c r="I317" s="3">
        <v>638</v>
      </c>
      <c r="J317" s="3">
        <v>1</v>
      </c>
      <c r="K317" s="4">
        <f t="shared" si="21"/>
        <v>45.141065830721004</v>
      </c>
      <c r="L317" s="3"/>
      <c r="M317" s="1">
        <v>158.19999999999999</v>
      </c>
      <c r="N317" s="1">
        <v>158.80000000000001</v>
      </c>
      <c r="O317" s="2">
        <f t="shared" si="22"/>
        <v>158.80000000000001</v>
      </c>
      <c r="P317" s="1">
        <v>40</v>
      </c>
      <c r="Q317" s="1">
        <v>6.5</v>
      </c>
      <c r="R317" s="1" t="s">
        <v>92</v>
      </c>
      <c r="S317" s="1" t="s">
        <v>1540</v>
      </c>
      <c r="T317" s="11" t="s">
        <v>346</v>
      </c>
      <c r="U317" s="1" t="s">
        <v>98</v>
      </c>
      <c r="V317" s="14">
        <v>0.02</v>
      </c>
      <c r="W317" s="1"/>
      <c r="X317" s="1"/>
      <c r="Y317" s="1"/>
      <c r="Z317" s="1"/>
    </row>
    <row r="318" spans="1:26" ht="25.2" customHeight="1" x14ac:dyDescent="0.3">
      <c r="A318" s="3" t="s">
        <v>605</v>
      </c>
      <c r="B318" s="3" t="s">
        <v>659</v>
      </c>
      <c r="C318" s="5">
        <v>46272</v>
      </c>
      <c r="D318" s="5">
        <v>46273</v>
      </c>
      <c r="E318" s="3" t="s">
        <v>1343</v>
      </c>
      <c r="F318" s="3">
        <v>8</v>
      </c>
      <c r="G318" s="3">
        <v>1007</v>
      </c>
      <c r="H318" s="3">
        <v>45.1</v>
      </c>
      <c r="I318" s="3">
        <v>638</v>
      </c>
      <c r="J318" s="3">
        <v>1</v>
      </c>
      <c r="K318" s="4">
        <f t="shared" si="21"/>
        <v>45.141065830721004</v>
      </c>
      <c r="L318" s="3"/>
      <c r="M318" s="1">
        <v>158</v>
      </c>
      <c r="N318" s="1">
        <v>158.6</v>
      </c>
      <c r="O318" s="2">
        <f t="shared" si="22"/>
        <v>158.6</v>
      </c>
      <c r="P318" s="1">
        <v>40</v>
      </c>
      <c r="Q318" s="1">
        <v>6.5</v>
      </c>
      <c r="R318" s="1" t="s">
        <v>92</v>
      </c>
      <c r="S318" s="1" t="s">
        <v>1543</v>
      </c>
      <c r="T318" s="11" t="s">
        <v>346</v>
      </c>
      <c r="U318" s="1" t="s">
        <v>732</v>
      </c>
      <c r="V318" s="14">
        <v>0.05</v>
      </c>
      <c r="W318" s="1"/>
      <c r="X318" s="1"/>
      <c r="Y318" s="1"/>
      <c r="Z318" s="1"/>
    </row>
    <row r="319" spans="1:26" ht="25.2" customHeight="1" x14ac:dyDescent="0.3">
      <c r="A319" s="3" t="s">
        <v>606</v>
      </c>
      <c r="B319" s="3" t="s">
        <v>663</v>
      </c>
      <c r="C319" s="5">
        <v>46273</v>
      </c>
      <c r="D319" s="5">
        <v>46274</v>
      </c>
      <c r="E319" s="3" t="s">
        <v>1343</v>
      </c>
      <c r="F319" s="3">
        <v>8</v>
      </c>
      <c r="G319" s="31">
        <v>1058</v>
      </c>
      <c r="H319" s="3">
        <v>45.1</v>
      </c>
      <c r="I319" s="3">
        <v>638</v>
      </c>
      <c r="J319" s="3">
        <v>1</v>
      </c>
      <c r="K319" s="4">
        <f t="shared" si="21"/>
        <v>45.141065830721004</v>
      </c>
      <c r="L319" s="3"/>
      <c r="M319" s="1">
        <v>158.19999999999999</v>
      </c>
      <c r="N319" s="1">
        <v>158.6</v>
      </c>
      <c r="O319" s="2">
        <f t="shared" si="22"/>
        <v>158.6</v>
      </c>
      <c r="P319" s="1">
        <v>40</v>
      </c>
      <c r="Q319" s="1">
        <v>6.5</v>
      </c>
      <c r="R319" s="1" t="s">
        <v>92</v>
      </c>
      <c r="S319" s="1" t="s">
        <v>1546</v>
      </c>
      <c r="T319" s="11" t="s">
        <v>346</v>
      </c>
      <c r="U319" s="1" t="s">
        <v>342</v>
      </c>
      <c r="V319" s="14">
        <v>0.05</v>
      </c>
      <c r="W319" s="1"/>
      <c r="X319" s="1" t="s">
        <v>94</v>
      </c>
      <c r="Y319" s="1"/>
      <c r="Z319" s="1"/>
    </row>
    <row r="320" spans="1:26" ht="25.2" customHeight="1" x14ac:dyDescent="0.3">
      <c r="A320" s="3" t="s">
        <v>607</v>
      </c>
      <c r="B320" s="3" t="s">
        <v>176</v>
      </c>
      <c r="C320" s="5">
        <v>46267</v>
      </c>
      <c r="D320" s="5">
        <v>46267</v>
      </c>
      <c r="E320" s="3" t="s">
        <v>1532</v>
      </c>
      <c r="F320" s="3">
        <v>9</v>
      </c>
      <c r="G320" s="3">
        <v>500</v>
      </c>
      <c r="H320" s="3">
        <v>46.5</v>
      </c>
      <c r="I320" s="3">
        <v>620</v>
      </c>
      <c r="J320" s="3">
        <v>1</v>
      </c>
      <c r="K320" s="4">
        <f t="shared" si="21"/>
        <v>46.451612903225808</v>
      </c>
      <c r="L320" s="3">
        <v>70</v>
      </c>
      <c r="M320" s="1">
        <v>240.5</v>
      </c>
      <c r="N320" s="1">
        <v>240.5</v>
      </c>
      <c r="O320" s="2"/>
      <c r="P320" s="1">
        <v>30</v>
      </c>
      <c r="Q320" s="1">
        <v>8</v>
      </c>
      <c r="R320" s="1" t="s">
        <v>92</v>
      </c>
      <c r="S320" s="1" t="s">
        <v>1533</v>
      </c>
      <c r="T320" s="20" t="s">
        <v>1399</v>
      </c>
      <c r="U320" s="1" t="s">
        <v>180</v>
      </c>
      <c r="V320" s="14">
        <v>0.02</v>
      </c>
      <c r="W320" s="1" t="s">
        <v>1068</v>
      </c>
      <c r="X320" s="1"/>
      <c r="Y320" s="1"/>
      <c r="Z320" s="1"/>
    </row>
    <row r="321" spans="1:26" ht="25.2" customHeight="1" x14ac:dyDescent="0.3">
      <c r="A321" s="3" t="s">
        <v>608</v>
      </c>
      <c r="B321" s="3" t="s">
        <v>175</v>
      </c>
      <c r="C321" s="5">
        <v>46268</v>
      </c>
      <c r="D321" s="5">
        <v>46268</v>
      </c>
      <c r="E321" s="3" t="s">
        <v>1532</v>
      </c>
      <c r="F321" s="3">
        <v>9</v>
      </c>
      <c r="G321" s="3">
        <v>770</v>
      </c>
      <c r="H321" s="3">
        <v>46.5</v>
      </c>
      <c r="I321" s="3">
        <v>620</v>
      </c>
      <c r="J321" s="3">
        <v>1</v>
      </c>
      <c r="K321" s="4">
        <f t="shared" si="21"/>
        <v>46.451612903225808</v>
      </c>
      <c r="L321" s="3"/>
      <c r="M321" s="1">
        <v>240</v>
      </c>
      <c r="N321" s="1">
        <v>240</v>
      </c>
      <c r="O321" s="2">
        <f t="shared" si="22"/>
        <v>240</v>
      </c>
      <c r="P321" s="1">
        <v>30</v>
      </c>
      <c r="Q321" s="1">
        <v>8</v>
      </c>
      <c r="R321" s="1" t="s">
        <v>92</v>
      </c>
      <c r="S321" s="1" t="s">
        <v>1534</v>
      </c>
      <c r="T321" s="20" t="s">
        <v>1399</v>
      </c>
      <c r="U321" s="1" t="s">
        <v>1326</v>
      </c>
      <c r="V321" s="14">
        <v>0.02</v>
      </c>
      <c r="W321" s="1"/>
      <c r="X321" s="1" t="s">
        <v>94</v>
      </c>
      <c r="Y321" s="1" t="s">
        <v>120</v>
      </c>
      <c r="Z321" s="1"/>
    </row>
    <row r="322" spans="1:26" ht="25.2" customHeight="1" x14ac:dyDescent="0.3">
      <c r="A322" s="3" t="s">
        <v>609</v>
      </c>
      <c r="B322" s="3" t="s">
        <v>1056</v>
      </c>
      <c r="C322" s="5">
        <v>46268</v>
      </c>
      <c r="D322" s="5">
        <v>46273</v>
      </c>
      <c r="E322" s="3" t="s">
        <v>1537</v>
      </c>
      <c r="F322" s="3">
        <v>9</v>
      </c>
      <c r="G322" s="3">
        <v>2542</v>
      </c>
      <c r="H322" s="3">
        <v>79.099999999999994</v>
      </c>
      <c r="I322" s="3">
        <v>728</v>
      </c>
      <c r="J322" s="3">
        <v>2</v>
      </c>
      <c r="K322" s="4">
        <f t="shared" si="21"/>
        <v>79.120879120879124</v>
      </c>
      <c r="L322" s="3">
        <v>360</v>
      </c>
      <c r="M322" s="1">
        <v>109</v>
      </c>
      <c r="N322" s="1">
        <v>221</v>
      </c>
      <c r="O322" s="2">
        <f t="shared" si="22"/>
        <v>110.5</v>
      </c>
      <c r="P322" s="1">
        <v>60</v>
      </c>
      <c r="Q322" s="1">
        <v>7.1</v>
      </c>
      <c r="R322" s="1" t="s">
        <v>92</v>
      </c>
      <c r="S322" s="1" t="s">
        <v>1533</v>
      </c>
      <c r="T322" s="20" t="s">
        <v>1058</v>
      </c>
      <c r="U322" s="1" t="s">
        <v>782</v>
      </c>
      <c r="V322" s="14">
        <v>0.04</v>
      </c>
      <c r="W322" s="1" t="s">
        <v>1538</v>
      </c>
      <c r="X322" s="1"/>
      <c r="Y322" s="1"/>
      <c r="Z322" s="1"/>
    </row>
    <row r="323" spans="1:26" ht="25.2" customHeight="1" x14ac:dyDescent="0.3">
      <c r="A323" s="3" t="s">
        <v>610</v>
      </c>
      <c r="B323" s="3" t="s">
        <v>1544</v>
      </c>
      <c r="C323" s="5">
        <v>46273</v>
      </c>
      <c r="D323" s="5">
        <v>46274</v>
      </c>
      <c r="E323" s="3" t="s">
        <v>1545</v>
      </c>
      <c r="F323" s="3">
        <v>7</v>
      </c>
      <c r="G323" s="3">
        <v>3105</v>
      </c>
      <c r="H323" s="3">
        <v>56.9</v>
      </c>
      <c r="I323" s="3">
        <v>1012</v>
      </c>
      <c r="J323" s="3">
        <v>2</v>
      </c>
      <c r="K323" s="4">
        <f t="shared" si="21"/>
        <v>56.916996047430828</v>
      </c>
      <c r="L323" s="3"/>
      <c r="M323" s="1">
        <v>65</v>
      </c>
      <c r="N323" s="1">
        <v>134.4</v>
      </c>
      <c r="O323" s="2">
        <f t="shared" si="22"/>
        <v>67.2</v>
      </c>
      <c r="P323" s="1">
        <v>140</v>
      </c>
      <c r="Q323" s="1">
        <v>10</v>
      </c>
      <c r="R323" s="1" t="s">
        <v>92</v>
      </c>
      <c r="S323" s="1" t="s">
        <v>1533</v>
      </c>
      <c r="T323" s="17" t="s">
        <v>133</v>
      </c>
      <c r="U323" s="1" t="s">
        <v>1067</v>
      </c>
      <c r="V323" s="14">
        <v>0.03</v>
      </c>
      <c r="W323" s="1" t="s">
        <v>94</v>
      </c>
      <c r="X323" s="1"/>
      <c r="Y323" s="1"/>
      <c r="Z323" s="1"/>
    </row>
    <row r="324" spans="1:26" ht="25.2" customHeight="1" x14ac:dyDescent="0.3">
      <c r="A324" s="3" t="s">
        <v>611</v>
      </c>
      <c r="B324" s="3" t="s">
        <v>1557</v>
      </c>
      <c r="C324" s="5">
        <v>46275</v>
      </c>
      <c r="D324" s="5">
        <v>46275</v>
      </c>
      <c r="E324" s="3" t="s">
        <v>1545</v>
      </c>
      <c r="F324" s="3">
        <v>7</v>
      </c>
      <c r="G324" s="3">
        <v>1120</v>
      </c>
      <c r="H324" s="3">
        <v>56.3</v>
      </c>
      <c r="I324" s="3">
        <v>1020</v>
      </c>
      <c r="J324" s="3">
        <v>2</v>
      </c>
      <c r="K324" s="4">
        <f t="shared" si="21"/>
        <v>56.470588235294116</v>
      </c>
      <c r="L324" s="3">
        <v>170</v>
      </c>
      <c r="M324" s="1">
        <v>67.2</v>
      </c>
      <c r="N324" s="1">
        <v>137.6</v>
      </c>
      <c r="O324" s="2">
        <f t="shared" si="22"/>
        <v>68.8</v>
      </c>
      <c r="P324" s="1">
        <v>140</v>
      </c>
      <c r="Q324" s="1">
        <v>10</v>
      </c>
      <c r="R324" s="1" t="s">
        <v>92</v>
      </c>
      <c r="S324" s="1" t="s">
        <v>1534</v>
      </c>
      <c r="T324" s="17" t="s">
        <v>133</v>
      </c>
      <c r="U324" s="1" t="s">
        <v>1558</v>
      </c>
      <c r="V324" s="14">
        <v>0.03</v>
      </c>
      <c r="W324" s="1"/>
      <c r="X324" s="1"/>
      <c r="Y324" s="1"/>
      <c r="Z324" s="1"/>
    </row>
    <row r="325" spans="1:26" ht="25.2" customHeight="1" x14ac:dyDescent="0.3">
      <c r="A325" s="3" t="s">
        <v>612</v>
      </c>
      <c r="B325" s="3" t="s">
        <v>1090</v>
      </c>
      <c r="C325" s="5">
        <v>46273</v>
      </c>
      <c r="D325" s="5">
        <v>46276</v>
      </c>
      <c r="E325" s="3" t="s">
        <v>1547</v>
      </c>
      <c r="F325" s="3">
        <v>9</v>
      </c>
      <c r="G325" s="3">
        <v>2548</v>
      </c>
      <c r="H325" s="3">
        <v>62.2</v>
      </c>
      <c r="I325" s="3">
        <v>463</v>
      </c>
      <c r="J325" s="3">
        <v>1</v>
      </c>
      <c r="K325" s="4">
        <f t="shared" si="21"/>
        <v>62.203023758099349</v>
      </c>
      <c r="L325" s="3">
        <v>87</v>
      </c>
      <c r="M325" s="1">
        <v>207.5</v>
      </c>
      <c r="N325" s="1">
        <v>207.5</v>
      </c>
      <c r="O325" s="2">
        <f t="shared" si="22"/>
        <v>207.5</v>
      </c>
      <c r="P325" s="1">
        <v>52</v>
      </c>
      <c r="Q325" s="1">
        <v>12</v>
      </c>
      <c r="R325" s="1" t="s">
        <v>99</v>
      </c>
      <c r="S325" s="1" t="s">
        <v>1533</v>
      </c>
      <c r="T325" s="20" t="s">
        <v>1548</v>
      </c>
      <c r="U325" s="1" t="s">
        <v>878</v>
      </c>
      <c r="V325" s="14">
        <v>0.02</v>
      </c>
      <c r="W325" s="1" t="s">
        <v>94</v>
      </c>
      <c r="X325" s="1"/>
      <c r="Y325" s="1"/>
      <c r="Z325" s="1"/>
    </row>
    <row r="326" spans="1:26" ht="25.2" customHeight="1" x14ac:dyDescent="0.3">
      <c r="A326" s="3" t="s">
        <v>613</v>
      </c>
      <c r="B326" s="3" t="s">
        <v>200</v>
      </c>
      <c r="C326" s="5">
        <v>46276</v>
      </c>
      <c r="D326" s="3" t="s">
        <v>1567</v>
      </c>
      <c r="E326" s="3" t="s">
        <v>1547</v>
      </c>
      <c r="F326" s="3">
        <v>9</v>
      </c>
      <c r="G326" s="3">
        <v>427</v>
      </c>
      <c r="H326" s="3">
        <v>62.2</v>
      </c>
      <c r="I326" s="3">
        <v>463</v>
      </c>
      <c r="J326" s="3">
        <v>1</v>
      </c>
      <c r="K326" s="4">
        <f t="shared" si="21"/>
        <v>62.203023758099349</v>
      </c>
      <c r="L326" s="3"/>
      <c r="M326" s="1">
        <v>207</v>
      </c>
      <c r="N326" s="1">
        <v>207.5</v>
      </c>
      <c r="O326" s="2">
        <f t="shared" si="22"/>
        <v>207.5</v>
      </c>
      <c r="P326" s="1">
        <v>52</v>
      </c>
      <c r="Q326" s="1">
        <v>12</v>
      </c>
      <c r="R326" s="1" t="s">
        <v>99</v>
      </c>
      <c r="S326" s="1" t="s">
        <v>1562</v>
      </c>
      <c r="T326" s="20" t="s">
        <v>1399</v>
      </c>
      <c r="U326" s="1" t="s">
        <v>184</v>
      </c>
      <c r="V326" s="14">
        <v>0.02</v>
      </c>
      <c r="W326" s="1"/>
      <c r="X326" s="1"/>
      <c r="Y326" s="1"/>
      <c r="Z326" s="1"/>
    </row>
    <row r="327" spans="1:26" ht="25.2" customHeight="1" x14ac:dyDescent="0.3">
      <c r="A327" s="3" t="s">
        <v>614</v>
      </c>
      <c r="B327" s="3" t="s">
        <v>1549</v>
      </c>
      <c r="C327" s="5">
        <v>46274</v>
      </c>
      <c r="D327" s="5">
        <v>46275</v>
      </c>
      <c r="E327" s="3" t="s">
        <v>1550</v>
      </c>
      <c r="F327" s="3">
        <v>8</v>
      </c>
      <c r="G327" s="3">
        <v>1040</v>
      </c>
      <c r="H327" s="3">
        <v>59.5</v>
      </c>
      <c r="I327" s="3">
        <v>490</v>
      </c>
      <c r="J327" s="3">
        <v>1</v>
      </c>
      <c r="K327" s="4">
        <f t="shared" si="21"/>
        <v>58.775510204081634</v>
      </c>
      <c r="L327" s="3"/>
      <c r="M327" s="1">
        <v>142.5</v>
      </c>
      <c r="N327" s="1">
        <v>142.9</v>
      </c>
      <c r="O327" s="2">
        <f t="shared" si="22"/>
        <v>142.9</v>
      </c>
      <c r="P327" s="1">
        <v>40</v>
      </c>
      <c r="Q327" s="1">
        <v>6.5</v>
      </c>
      <c r="R327" s="1" t="s">
        <v>92</v>
      </c>
      <c r="S327" s="1" t="s">
        <v>1533</v>
      </c>
      <c r="T327" s="17" t="s">
        <v>133</v>
      </c>
      <c r="U327" s="1" t="s">
        <v>1067</v>
      </c>
      <c r="V327" s="14">
        <v>0.03</v>
      </c>
      <c r="W327" s="1" t="s">
        <v>94</v>
      </c>
      <c r="X327" s="1"/>
      <c r="Y327" s="1"/>
      <c r="Z327" s="1"/>
    </row>
    <row r="328" spans="1:26" ht="25.2" customHeight="1" x14ac:dyDescent="0.3">
      <c r="A328" s="3" t="s">
        <v>615</v>
      </c>
      <c r="B328" s="3" t="s">
        <v>1559</v>
      </c>
      <c r="C328" s="5">
        <v>46275</v>
      </c>
      <c r="D328" s="5">
        <v>46276</v>
      </c>
      <c r="E328" s="3" t="s">
        <v>1550</v>
      </c>
      <c r="F328" s="3">
        <v>8</v>
      </c>
      <c r="G328" s="3">
        <v>1000</v>
      </c>
      <c r="H328" s="3">
        <v>59.5</v>
      </c>
      <c r="I328" s="3">
        <v>490</v>
      </c>
      <c r="J328" s="3">
        <v>1</v>
      </c>
      <c r="K328" s="4">
        <f t="shared" si="21"/>
        <v>58.775510204081634</v>
      </c>
      <c r="L328" s="3"/>
      <c r="M328" s="1">
        <v>142.5</v>
      </c>
      <c r="N328" s="1">
        <v>142.9</v>
      </c>
      <c r="O328" s="2">
        <f t="shared" si="22"/>
        <v>142.9</v>
      </c>
      <c r="P328" s="1">
        <v>40</v>
      </c>
      <c r="Q328" s="1">
        <v>6.5</v>
      </c>
      <c r="R328" s="1" t="s">
        <v>92</v>
      </c>
      <c r="S328" s="1" t="s">
        <v>1534</v>
      </c>
      <c r="T328" s="17" t="s">
        <v>133</v>
      </c>
      <c r="U328" s="1" t="s">
        <v>1086</v>
      </c>
      <c r="V328" s="14">
        <v>0.03</v>
      </c>
      <c r="W328" s="1"/>
      <c r="X328" s="1"/>
      <c r="Y328" s="1"/>
      <c r="Z328" s="1"/>
    </row>
    <row r="329" spans="1:26" ht="25.2" customHeight="1" x14ac:dyDescent="0.3">
      <c r="A329" s="3" t="s">
        <v>616</v>
      </c>
      <c r="B329" s="3" t="s">
        <v>1566</v>
      </c>
      <c r="C329" s="5">
        <v>46276</v>
      </c>
      <c r="D329" s="5">
        <v>46280</v>
      </c>
      <c r="E329" s="3" t="s">
        <v>1550</v>
      </c>
      <c r="F329" s="3">
        <v>8</v>
      </c>
      <c r="G329" s="3">
        <v>967</v>
      </c>
      <c r="H329" s="3">
        <v>54.3</v>
      </c>
      <c r="I329" s="3">
        <v>530</v>
      </c>
      <c r="J329" s="3">
        <v>1</v>
      </c>
      <c r="K329" s="4">
        <f t="shared" si="21"/>
        <v>54.339622641509436</v>
      </c>
      <c r="L329" s="3"/>
      <c r="M329" s="1">
        <v>143.80000000000001</v>
      </c>
      <c r="N329" s="1">
        <v>144</v>
      </c>
      <c r="O329" s="2">
        <f t="shared" si="22"/>
        <v>144</v>
      </c>
      <c r="P329" s="1">
        <v>40</v>
      </c>
      <c r="Q329" s="1">
        <v>6.5</v>
      </c>
      <c r="R329" s="1" t="s">
        <v>92</v>
      </c>
      <c r="S329" s="1" t="s">
        <v>1528</v>
      </c>
      <c r="T329" s="17" t="s">
        <v>133</v>
      </c>
      <c r="U329" s="1" t="s">
        <v>1558</v>
      </c>
      <c r="V329" s="14">
        <v>0.03</v>
      </c>
      <c r="W329" s="1"/>
      <c r="X329" s="1"/>
      <c r="Y329" s="1"/>
      <c r="Z329" s="1"/>
    </row>
    <row r="330" spans="1:26" ht="25.2" customHeight="1" x14ac:dyDescent="0.3">
      <c r="A330" s="3" t="s">
        <v>617</v>
      </c>
      <c r="B330" s="3" t="s">
        <v>1576</v>
      </c>
      <c r="C330" s="5">
        <v>46280</v>
      </c>
      <c r="D330" s="5">
        <v>46281</v>
      </c>
      <c r="E330" s="3" t="s">
        <v>1550</v>
      </c>
      <c r="F330" s="3">
        <v>8</v>
      </c>
      <c r="G330" s="3">
        <v>1000</v>
      </c>
      <c r="H330" s="3">
        <v>53.9</v>
      </c>
      <c r="I330" s="3">
        <v>534</v>
      </c>
      <c r="J330" s="3">
        <v>1</v>
      </c>
      <c r="K330" s="4">
        <f t="shared" si="21"/>
        <v>53.932584269662918</v>
      </c>
      <c r="L330" s="3">
        <v>57</v>
      </c>
      <c r="M330" s="1">
        <v>143.19999999999999</v>
      </c>
      <c r="N330" s="1">
        <v>143.69999999999999</v>
      </c>
      <c r="O330" s="2">
        <f t="shared" si="22"/>
        <v>143.69999999999999</v>
      </c>
      <c r="P330" s="1">
        <v>40</v>
      </c>
      <c r="Q330" s="1">
        <v>6.5</v>
      </c>
      <c r="R330" s="1" t="s">
        <v>92</v>
      </c>
      <c r="S330" s="1" t="s">
        <v>1527</v>
      </c>
      <c r="T330" s="17" t="s">
        <v>133</v>
      </c>
      <c r="U330" s="1" t="s">
        <v>1096</v>
      </c>
      <c r="V330" s="14">
        <v>0.03</v>
      </c>
      <c r="W330" s="1"/>
      <c r="X330" s="1"/>
      <c r="Y330" s="1"/>
      <c r="Z330" s="1"/>
    </row>
    <row r="331" spans="1:26" ht="25.2" customHeight="1" x14ac:dyDescent="0.3">
      <c r="A331" s="3" t="s">
        <v>618</v>
      </c>
      <c r="B331" s="3" t="s">
        <v>1135</v>
      </c>
      <c r="C331" s="5">
        <v>46274</v>
      </c>
      <c r="D331" s="5">
        <v>46280</v>
      </c>
      <c r="E331" s="3" t="s">
        <v>1553</v>
      </c>
      <c r="F331" s="3">
        <v>1</v>
      </c>
      <c r="G331" s="3">
        <v>4066</v>
      </c>
      <c r="H331" s="3">
        <v>43.6</v>
      </c>
      <c r="I331" s="3">
        <v>660</v>
      </c>
      <c r="J331" s="3">
        <v>1</v>
      </c>
      <c r="K331" s="4">
        <f t="shared" si="21"/>
        <v>43.636363636363633</v>
      </c>
      <c r="L331" s="3"/>
      <c r="M331" s="1">
        <v>129.9</v>
      </c>
      <c r="N331" s="1">
        <v>131</v>
      </c>
      <c r="O331" s="2">
        <f t="shared" si="22"/>
        <v>131</v>
      </c>
      <c r="P331" s="1">
        <v>38</v>
      </c>
      <c r="Q331" s="1">
        <v>5.5</v>
      </c>
      <c r="R331" s="1" t="s">
        <v>87</v>
      </c>
      <c r="S331" s="1" t="s">
        <v>1533</v>
      </c>
      <c r="T331" s="17" t="s">
        <v>133</v>
      </c>
      <c r="U331" s="1" t="s">
        <v>1554</v>
      </c>
      <c r="V331" s="14">
        <v>0.02</v>
      </c>
      <c r="W331" s="1" t="s">
        <v>103</v>
      </c>
      <c r="X331" s="1"/>
      <c r="Y331" s="1"/>
      <c r="Z331" s="1"/>
    </row>
    <row r="332" spans="1:26" ht="25.2" customHeight="1" x14ac:dyDescent="0.3">
      <c r="A332" s="3" t="s">
        <v>619</v>
      </c>
      <c r="B332" s="3" t="s">
        <v>1144</v>
      </c>
      <c r="C332" s="5">
        <v>46280</v>
      </c>
      <c r="D332" s="5">
        <v>46280</v>
      </c>
      <c r="E332" s="3" t="s">
        <v>1553</v>
      </c>
      <c r="F332" s="3">
        <v>1</v>
      </c>
      <c r="G332" s="3">
        <v>846</v>
      </c>
      <c r="H332" s="3">
        <v>43.6</v>
      </c>
      <c r="I332" s="3">
        <v>660</v>
      </c>
      <c r="J332" s="3">
        <v>1</v>
      </c>
      <c r="K332" s="4">
        <f t="shared" si="21"/>
        <v>43.636363636363633</v>
      </c>
      <c r="L332" s="3">
        <v>12</v>
      </c>
      <c r="M332" s="1">
        <v>126.5</v>
      </c>
      <c r="N332" s="1">
        <v>127.7</v>
      </c>
      <c r="O332" s="2">
        <f t="shared" si="22"/>
        <v>127.7</v>
      </c>
      <c r="P332" s="1">
        <v>38</v>
      </c>
      <c r="Q332" s="1">
        <v>5.5</v>
      </c>
      <c r="R332" s="1" t="s">
        <v>87</v>
      </c>
      <c r="S332" s="1" t="s">
        <v>1534</v>
      </c>
      <c r="T332" s="17" t="s">
        <v>206</v>
      </c>
      <c r="U332" s="1" t="s">
        <v>925</v>
      </c>
      <c r="V332" s="14">
        <v>0.02</v>
      </c>
      <c r="W332" s="1"/>
      <c r="X332" s="1"/>
      <c r="Y332" s="1"/>
      <c r="Z332" s="1"/>
    </row>
    <row r="333" spans="1:26" ht="25.2" customHeight="1" x14ac:dyDescent="0.3">
      <c r="A333" s="3" t="s">
        <v>620</v>
      </c>
      <c r="B333" s="3" t="s">
        <v>1148</v>
      </c>
      <c r="C333" s="5">
        <v>46280</v>
      </c>
      <c r="D333" s="5">
        <v>46281</v>
      </c>
      <c r="E333" s="3" t="s">
        <v>1553</v>
      </c>
      <c r="F333" s="3">
        <v>1</v>
      </c>
      <c r="G333" s="3">
        <v>1037</v>
      </c>
      <c r="H333" s="3">
        <v>43.6</v>
      </c>
      <c r="I333" s="3">
        <v>660</v>
      </c>
      <c r="J333" s="3">
        <v>1</v>
      </c>
      <c r="K333" s="4">
        <f t="shared" si="21"/>
        <v>43.636363636363633</v>
      </c>
      <c r="L333" s="3">
        <v>23</v>
      </c>
      <c r="M333" s="1">
        <v>129</v>
      </c>
      <c r="N333" s="1">
        <v>130</v>
      </c>
      <c r="O333" s="2">
        <f t="shared" si="22"/>
        <v>130</v>
      </c>
      <c r="P333" s="1">
        <v>38</v>
      </c>
      <c r="Q333" s="1">
        <v>5.5</v>
      </c>
      <c r="R333" s="1" t="s">
        <v>87</v>
      </c>
      <c r="S333" s="1" t="s">
        <v>1528</v>
      </c>
      <c r="T333" s="17" t="s">
        <v>133</v>
      </c>
      <c r="U333" s="1" t="s">
        <v>1577</v>
      </c>
      <c r="V333" s="14">
        <v>0.02</v>
      </c>
      <c r="W333" s="1"/>
      <c r="X333" s="1"/>
      <c r="Y333" s="1"/>
      <c r="Z333" s="1"/>
    </row>
    <row r="334" spans="1:26" ht="25.2" customHeight="1" x14ac:dyDescent="0.3">
      <c r="A334" s="3" t="s">
        <v>621</v>
      </c>
      <c r="B334" s="3" t="s">
        <v>1146</v>
      </c>
      <c r="C334" s="5">
        <v>46281</v>
      </c>
      <c r="D334" s="5">
        <v>46282</v>
      </c>
      <c r="E334" s="3" t="s">
        <v>1553</v>
      </c>
      <c r="F334" s="3">
        <v>1</v>
      </c>
      <c r="G334" s="3">
        <v>851</v>
      </c>
      <c r="H334" s="3">
        <v>43.6</v>
      </c>
      <c r="I334" s="3">
        <v>660</v>
      </c>
      <c r="J334" s="3">
        <v>1</v>
      </c>
      <c r="K334" s="4">
        <f t="shared" si="21"/>
        <v>43.636363636363633</v>
      </c>
      <c r="L334" s="3">
        <v>26</v>
      </c>
      <c r="M334" s="1">
        <v>129</v>
      </c>
      <c r="N334" s="1">
        <v>130</v>
      </c>
      <c r="O334" s="2">
        <f t="shared" si="22"/>
        <v>130</v>
      </c>
      <c r="P334" s="1">
        <v>38</v>
      </c>
      <c r="Q334" s="1">
        <v>5.5</v>
      </c>
      <c r="R334" s="1" t="s">
        <v>87</v>
      </c>
      <c r="S334" s="1" t="s">
        <v>1527</v>
      </c>
      <c r="T334" s="17" t="s">
        <v>133</v>
      </c>
      <c r="U334" s="1" t="s">
        <v>1578</v>
      </c>
      <c r="V334" s="14">
        <v>0.02</v>
      </c>
      <c r="W334" s="1"/>
      <c r="X334" s="1"/>
      <c r="Y334" s="1"/>
      <c r="Z334" s="1"/>
    </row>
    <row r="335" spans="1:26" ht="25.2" customHeight="1" x14ac:dyDescent="0.3">
      <c r="A335" s="3" t="s">
        <v>622</v>
      </c>
      <c r="B335" s="3" t="s">
        <v>1584</v>
      </c>
      <c r="C335" s="5">
        <v>46282</v>
      </c>
      <c r="D335" s="5">
        <v>46283</v>
      </c>
      <c r="E335" s="3" t="s">
        <v>1553</v>
      </c>
      <c r="F335" s="3">
        <v>1</v>
      </c>
      <c r="G335" s="3">
        <v>1037</v>
      </c>
      <c r="H335" s="3">
        <v>43.6</v>
      </c>
      <c r="I335" s="3">
        <v>660</v>
      </c>
      <c r="J335" s="3">
        <v>1</v>
      </c>
      <c r="K335" s="4">
        <f t="shared" si="21"/>
        <v>43.636363636363633</v>
      </c>
      <c r="L335" s="3">
        <v>53</v>
      </c>
      <c r="M335" s="1">
        <v>128.4</v>
      </c>
      <c r="N335" s="1">
        <v>129.30000000000001</v>
      </c>
      <c r="O335" s="2">
        <f t="shared" si="22"/>
        <v>129.30000000000001</v>
      </c>
      <c r="P335" s="1">
        <v>38</v>
      </c>
      <c r="Q335" s="1">
        <v>5.5</v>
      </c>
      <c r="R335" s="1" t="s">
        <v>87</v>
      </c>
      <c r="S335" s="1" t="s">
        <v>1585</v>
      </c>
      <c r="T335" s="17" t="s">
        <v>133</v>
      </c>
      <c r="U335" s="1" t="s">
        <v>1586</v>
      </c>
      <c r="V335" s="14">
        <v>0.02</v>
      </c>
      <c r="W335" s="1"/>
      <c r="X335" s="1"/>
      <c r="Y335" s="1"/>
      <c r="Z335" s="1"/>
    </row>
    <row r="336" spans="1:26" ht="25.2" customHeight="1" x14ac:dyDescent="0.3">
      <c r="A336" s="3" t="s">
        <v>623</v>
      </c>
      <c r="B336" s="3" t="s">
        <v>1693</v>
      </c>
      <c r="C336" s="5">
        <v>46283</v>
      </c>
      <c r="D336" s="5">
        <v>46283</v>
      </c>
      <c r="E336" s="3" t="s">
        <v>1553</v>
      </c>
      <c r="F336" s="3">
        <v>1</v>
      </c>
      <c r="G336" s="3">
        <v>874</v>
      </c>
      <c r="H336" s="3">
        <v>43.6</v>
      </c>
      <c r="I336" s="3">
        <v>660</v>
      </c>
      <c r="J336" s="3">
        <v>1</v>
      </c>
      <c r="K336" s="4">
        <f t="shared" si="21"/>
        <v>43.636363636363633</v>
      </c>
      <c r="L336" s="3">
        <v>24</v>
      </c>
      <c r="M336" s="1">
        <v>128</v>
      </c>
      <c r="N336" s="1">
        <v>129.69999999999999</v>
      </c>
      <c r="O336" s="2">
        <f t="shared" si="22"/>
        <v>129.69999999999999</v>
      </c>
      <c r="P336" s="1">
        <v>38</v>
      </c>
      <c r="Q336" s="1">
        <v>5.5</v>
      </c>
      <c r="R336" s="1" t="s">
        <v>87</v>
      </c>
      <c r="S336" s="1" t="s">
        <v>1540</v>
      </c>
      <c r="T336" s="17" t="s">
        <v>133</v>
      </c>
      <c r="U336" s="1" t="s">
        <v>207</v>
      </c>
      <c r="V336" s="14">
        <v>0.02</v>
      </c>
      <c r="W336" s="1"/>
      <c r="X336" s="1"/>
      <c r="Y336" s="1"/>
      <c r="Z336" s="1"/>
    </row>
    <row r="337" spans="1:26" ht="25.2" customHeight="1" x14ac:dyDescent="0.3">
      <c r="A337" s="3" t="s">
        <v>624</v>
      </c>
      <c r="B337" s="3" t="s">
        <v>1694</v>
      </c>
      <c r="C337" s="5">
        <v>46286</v>
      </c>
      <c r="D337" s="5">
        <v>46286</v>
      </c>
      <c r="E337" s="3" t="s">
        <v>1553</v>
      </c>
      <c r="F337" s="3">
        <v>1</v>
      </c>
      <c r="G337" s="3">
        <v>856</v>
      </c>
      <c r="H337" s="3">
        <v>43.5</v>
      </c>
      <c r="I337" s="3">
        <v>662</v>
      </c>
      <c r="J337" s="3">
        <v>1</v>
      </c>
      <c r="K337" s="4">
        <f t="shared" si="21"/>
        <v>43.504531722054381</v>
      </c>
      <c r="L337" s="3">
        <v>23</v>
      </c>
      <c r="M337" s="1">
        <v>128</v>
      </c>
      <c r="N337" s="1">
        <v>129.30000000000001</v>
      </c>
      <c r="O337" s="2">
        <f t="shared" si="22"/>
        <v>129.30000000000001</v>
      </c>
      <c r="P337" s="1">
        <v>38</v>
      </c>
      <c r="Q337" s="1">
        <v>5.5</v>
      </c>
      <c r="R337" s="1" t="s">
        <v>87</v>
      </c>
      <c r="S337" s="1" t="s">
        <v>1543</v>
      </c>
      <c r="T337" s="17" t="s">
        <v>133</v>
      </c>
      <c r="U337" s="1" t="s">
        <v>870</v>
      </c>
      <c r="V337" s="14">
        <v>0.02</v>
      </c>
      <c r="W337" s="1"/>
      <c r="X337" s="1"/>
      <c r="Y337" s="1"/>
      <c r="Z337" s="1"/>
    </row>
    <row r="338" spans="1:26" ht="25.2" customHeight="1" x14ac:dyDescent="0.3">
      <c r="A338" s="3" t="s">
        <v>625</v>
      </c>
      <c r="B338" s="3" t="s">
        <v>1137</v>
      </c>
      <c r="C338" s="5">
        <v>46286</v>
      </c>
      <c r="D338" s="5">
        <v>46287</v>
      </c>
      <c r="E338" s="3" t="s">
        <v>1553</v>
      </c>
      <c r="F338" s="3">
        <v>1</v>
      </c>
      <c r="G338" s="3">
        <v>836</v>
      </c>
      <c r="H338" s="3">
        <v>43.5</v>
      </c>
      <c r="I338" s="3">
        <v>662</v>
      </c>
      <c r="J338" s="3">
        <v>1</v>
      </c>
      <c r="K338" s="4">
        <f t="shared" si="21"/>
        <v>43.504531722054381</v>
      </c>
      <c r="L338" s="3">
        <v>23</v>
      </c>
      <c r="M338" s="1">
        <v>128</v>
      </c>
      <c r="N338" s="1">
        <v>128.9</v>
      </c>
      <c r="O338" s="2">
        <f t="shared" si="22"/>
        <v>128.9</v>
      </c>
      <c r="P338" s="1">
        <v>38</v>
      </c>
      <c r="Q338" s="1">
        <v>5.5</v>
      </c>
      <c r="R338" s="1" t="s">
        <v>87</v>
      </c>
      <c r="S338" s="1" t="s">
        <v>1546</v>
      </c>
      <c r="T338" s="17" t="s">
        <v>133</v>
      </c>
      <c r="U338" s="1" t="s">
        <v>1705</v>
      </c>
      <c r="V338" s="14">
        <v>0.02</v>
      </c>
      <c r="W338" s="1"/>
      <c r="X338" s="1"/>
      <c r="Y338" s="1"/>
      <c r="Z338" s="1"/>
    </row>
    <row r="339" spans="1:26" ht="25.2" customHeight="1" x14ac:dyDescent="0.3">
      <c r="A339" s="3" t="s">
        <v>626</v>
      </c>
      <c r="B339" s="3" t="s">
        <v>1711</v>
      </c>
      <c r="C339" s="5">
        <v>46287</v>
      </c>
      <c r="D339" s="5">
        <v>46288</v>
      </c>
      <c r="E339" s="3" t="s">
        <v>1553</v>
      </c>
      <c r="F339" s="3">
        <v>1</v>
      </c>
      <c r="G339" s="3">
        <v>1005</v>
      </c>
      <c r="H339" s="3">
        <v>43.5</v>
      </c>
      <c r="I339" s="3">
        <v>662</v>
      </c>
      <c r="J339" s="3">
        <v>1</v>
      </c>
      <c r="K339" s="4">
        <f t="shared" si="21"/>
        <v>43.504531722054381</v>
      </c>
      <c r="L339" s="3">
        <v>29</v>
      </c>
      <c r="M339" s="1">
        <v>128.30000000000001</v>
      </c>
      <c r="N339" s="1">
        <v>129.1</v>
      </c>
      <c r="O339" s="2">
        <f t="shared" si="22"/>
        <v>129.1</v>
      </c>
      <c r="P339" s="1">
        <v>38</v>
      </c>
      <c r="Q339" s="1">
        <v>5.5</v>
      </c>
      <c r="R339" s="1" t="s">
        <v>87</v>
      </c>
      <c r="S339" s="1" t="s">
        <v>1712</v>
      </c>
      <c r="T339" s="17" t="s">
        <v>206</v>
      </c>
      <c r="U339" s="1" t="s">
        <v>1713</v>
      </c>
      <c r="V339" s="14">
        <v>0.02</v>
      </c>
      <c r="W339" s="1"/>
      <c r="X339" s="1" t="s">
        <v>103</v>
      </c>
      <c r="Y339" s="1" t="s">
        <v>120</v>
      </c>
      <c r="Z339" s="1"/>
    </row>
    <row r="340" spans="1:26" ht="25.2" customHeight="1" x14ac:dyDescent="0.3">
      <c r="A340" s="3" t="s">
        <v>627</v>
      </c>
      <c r="B340" s="3" t="s">
        <v>788</v>
      </c>
      <c r="C340" s="5">
        <v>46275</v>
      </c>
      <c r="D340" s="5">
        <v>46280</v>
      </c>
      <c r="E340" s="3" t="s">
        <v>1561</v>
      </c>
      <c r="F340" s="3">
        <v>7</v>
      </c>
      <c r="G340" s="3">
        <v>3110</v>
      </c>
      <c r="H340" s="3">
        <v>79</v>
      </c>
      <c r="I340" s="3">
        <v>729</v>
      </c>
      <c r="J340" s="3">
        <v>2</v>
      </c>
      <c r="K340" s="4">
        <f t="shared" si="21"/>
        <v>79.012345679012341</v>
      </c>
      <c r="L340" s="3"/>
      <c r="M340" s="1">
        <v>82.9</v>
      </c>
      <c r="N340" s="1">
        <v>167.8</v>
      </c>
      <c r="O340" s="2">
        <f t="shared" si="22"/>
        <v>83.9</v>
      </c>
      <c r="P340" s="1">
        <v>80</v>
      </c>
      <c r="Q340" s="1">
        <v>7.2</v>
      </c>
      <c r="R340" s="1" t="s">
        <v>92</v>
      </c>
      <c r="S340" s="1" t="s">
        <v>1533</v>
      </c>
      <c r="T340" s="20" t="s">
        <v>787</v>
      </c>
      <c r="U340" s="1" t="s">
        <v>211</v>
      </c>
      <c r="V340" s="14">
        <v>0.03</v>
      </c>
      <c r="W340" s="1" t="s">
        <v>849</v>
      </c>
      <c r="X340" s="1"/>
      <c r="Y340" s="1"/>
      <c r="Z340" s="1"/>
    </row>
    <row r="341" spans="1:26" ht="25.2" customHeight="1" x14ac:dyDescent="0.3">
      <c r="A341" s="3" t="s">
        <v>628</v>
      </c>
      <c r="B341" s="3" t="s">
        <v>135</v>
      </c>
      <c r="C341" s="5">
        <v>46279</v>
      </c>
      <c r="D341" s="5">
        <v>46281</v>
      </c>
      <c r="E341" s="3" t="s">
        <v>1570</v>
      </c>
      <c r="F341" s="3">
        <v>3</v>
      </c>
      <c r="G341" s="3">
        <v>3000</v>
      </c>
      <c r="H341" s="3">
        <v>46.6</v>
      </c>
      <c r="I341" s="3">
        <v>620</v>
      </c>
      <c r="J341" s="3">
        <v>1</v>
      </c>
      <c r="K341" s="4">
        <f t="shared" si="21"/>
        <v>46.451612903225808</v>
      </c>
      <c r="L341" s="3"/>
      <c r="M341" s="1">
        <v>123</v>
      </c>
      <c r="N341" s="1">
        <v>123.4</v>
      </c>
      <c r="O341" s="2">
        <f t="shared" si="22"/>
        <v>123.4</v>
      </c>
      <c r="P341" s="1">
        <v>40</v>
      </c>
      <c r="Q341" s="1">
        <v>5</v>
      </c>
      <c r="R341" s="1" t="s">
        <v>87</v>
      </c>
      <c r="S341" s="1" t="s">
        <v>1534</v>
      </c>
      <c r="T341" s="20" t="s">
        <v>1571</v>
      </c>
      <c r="U341" s="1" t="s">
        <v>169</v>
      </c>
      <c r="V341" s="14">
        <v>0.02</v>
      </c>
      <c r="W341" s="1" t="s">
        <v>678</v>
      </c>
      <c r="X341" s="1" t="s">
        <v>678</v>
      </c>
      <c r="Y341" s="1" t="s">
        <v>151</v>
      </c>
      <c r="Z341" s="1"/>
    </row>
    <row r="342" spans="1:26" ht="25.2" customHeight="1" x14ac:dyDescent="0.3">
      <c r="A342" s="3" t="s">
        <v>629</v>
      </c>
      <c r="B342" s="3" t="s">
        <v>1573</v>
      </c>
      <c r="C342" s="5">
        <v>46279</v>
      </c>
      <c r="D342" s="5">
        <v>46280</v>
      </c>
      <c r="E342" s="3" t="s">
        <v>1574</v>
      </c>
      <c r="F342" s="3">
        <v>9</v>
      </c>
      <c r="G342" s="3">
        <v>2520</v>
      </c>
      <c r="H342" s="3">
        <v>54.3</v>
      </c>
      <c r="I342" s="3">
        <v>1060</v>
      </c>
      <c r="J342" s="3">
        <v>2</v>
      </c>
      <c r="K342" s="4">
        <f t="shared" si="21"/>
        <v>54.339622641509436</v>
      </c>
      <c r="L342" s="3">
        <v>96</v>
      </c>
      <c r="M342" s="1">
        <v>246.6</v>
      </c>
      <c r="N342" s="1">
        <v>245.2</v>
      </c>
      <c r="O342" s="2">
        <f t="shared" si="22"/>
        <v>122.6</v>
      </c>
      <c r="P342" s="1">
        <v>45</v>
      </c>
      <c r="Q342" s="1">
        <v>12</v>
      </c>
      <c r="R342" s="1" t="s">
        <v>92</v>
      </c>
      <c r="S342" s="1" t="s">
        <v>1533</v>
      </c>
      <c r="T342" s="25" t="s">
        <v>1058</v>
      </c>
      <c r="U342" s="1" t="s">
        <v>342</v>
      </c>
      <c r="V342" s="14">
        <v>0.05</v>
      </c>
      <c r="W342" s="1" t="s">
        <v>1265</v>
      </c>
      <c r="X342" s="1"/>
      <c r="Y342" s="1"/>
      <c r="Z342" s="1"/>
    </row>
    <row r="343" spans="1:26" ht="25.2" customHeight="1" x14ac:dyDescent="0.3">
      <c r="A343" s="3" t="s">
        <v>630</v>
      </c>
      <c r="B343" s="3" t="s">
        <v>282</v>
      </c>
      <c r="C343" s="5">
        <v>46280</v>
      </c>
      <c r="D343" s="5">
        <v>46281</v>
      </c>
      <c r="E343" s="3" t="s">
        <v>1575</v>
      </c>
      <c r="F343" s="3">
        <v>5</v>
      </c>
      <c r="G343" s="3">
        <v>1840</v>
      </c>
      <c r="H343" s="3">
        <v>30.46</v>
      </c>
      <c r="I343" s="3">
        <v>945</v>
      </c>
      <c r="J343" s="3">
        <v>1</v>
      </c>
      <c r="K343" s="4">
        <f t="shared" si="21"/>
        <v>30.476190476190474</v>
      </c>
      <c r="L343" s="3">
        <v>360</v>
      </c>
      <c r="M343" s="1">
        <v>60.5</v>
      </c>
      <c r="N343" s="1">
        <v>62</v>
      </c>
      <c r="O343" s="2">
        <f t="shared" si="22"/>
        <v>62</v>
      </c>
      <c r="P343" s="1">
        <v>160</v>
      </c>
      <c r="Q343" s="1">
        <v>10.5</v>
      </c>
      <c r="R343" s="1" t="s">
        <v>92</v>
      </c>
      <c r="S343" s="1" t="s">
        <v>1533</v>
      </c>
      <c r="T343" s="17" t="s">
        <v>215</v>
      </c>
      <c r="U343" s="1" t="s">
        <v>141</v>
      </c>
      <c r="V343" s="14">
        <v>0.02</v>
      </c>
      <c r="W343" s="1" t="s">
        <v>103</v>
      </c>
      <c r="X343" s="1"/>
      <c r="Y343" s="1"/>
      <c r="Z343" s="1"/>
    </row>
    <row r="344" spans="1:26" ht="25.2" customHeight="1" x14ac:dyDescent="0.3">
      <c r="A344" s="3" t="s">
        <v>631</v>
      </c>
      <c r="B344" s="3" t="s">
        <v>1579</v>
      </c>
      <c r="C344" s="5">
        <v>46281</v>
      </c>
      <c r="D344" s="5">
        <v>46281</v>
      </c>
      <c r="E344" s="3" t="s">
        <v>1575</v>
      </c>
      <c r="F344" s="3">
        <v>5</v>
      </c>
      <c r="G344" s="3">
        <v>960</v>
      </c>
      <c r="H344" s="3">
        <v>30.46</v>
      </c>
      <c r="I344" s="3">
        <v>945</v>
      </c>
      <c r="J344" s="3">
        <v>1</v>
      </c>
      <c r="K344" s="4">
        <f t="shared" si="21"/>
        <v>30.476190476190474</v>
      </c>
      <c r="L344" s="3">
        <v>20</v>
      </c>
      <c r="M344" s="1">
        <v>61.5</v>
      </c>
      <c r="N344" s="1">
        <v>63</v>
      </c>
      <c r="O344" s="2">
        <f t="shared" si="22"/>
        <v>63</v>
      </c>
      <c r="P344" s="1">
        <v>160</v>
      </c>
      <c r="Q344" s="1">
        <v>10.5</v>
      </c>
      <c r="R344" s="1" t="s">
        <v>92</v>
      </c>
      <c r="S344" s="1" t="s">
        <v>1534</v>
      </c>
      <c r="T344" s="17" t="s">
        <v>215</v>
      </c>
      <c r="U344" s="1" t="s">
        <v>254</v>
      </c>
      <c r="V344" s="14">
        <v>0.02</v>
      </c>
      <c r="W344" s="1"/>
      <c r="X344" s="1"/>
      <c r="Y344" s="1"/>
      <c r="Z344" s="1"/>
    </row>
    <row r="345" spans="1:26" ht="25.2" customHeight="1" x14ac:dyDescent="0.3">
      <c r="A345" s="3" t="s">
        <v>632</v>
      </c>
      <c r="B345" s="3" t="s">
        <v>1587</v>
      </c>
      <c r="C345" s="5">
        <v>46282</v>
      </c>
      <c r="D345" s="5">
        <v>46282</v>
      </c>
      <c r="E345" s="3" t="s">
        <v>1575</v>
      </c>
      <c r="F345" s="3">
        <v>5</v>
      </c>
      <c r="G345" s="3">
        <v>960</v>
      </c>
      <c r="H345" s="3">
        <v>30.81</v>
      </c>
      <c r="I345" s="3">
        <v>934</v>
      </c>
      <c r="J345" s="3">
        <v>1</v>
      </c>
      <c r="K345" s="4">
        <f t="shared" si="21"/>
        <v>30.83511777301927</v>
      </c>
      <c r="L345" s="3">
        <v>20</v>
      </c>
      <c r="M345" s="1">
        <v>61.3</v>
      </c>
      <c r="N345" s="1">
        <v>62.8</v>
      </c>
      <c r="O345" s="2">
        <f t="shared" si="22"/>
        <v>62.8</v>
      </c>
      <c r="P345" s="1">
        <v>160</v>
      </c>
      <c r="Q345" s="1">
        <v>10.5</v>
      </c>
      <c r="R345" s="1" t="s">
        <v>92</v>
      </c>
      <c r="S345" s="1" t="s">
        <v>1528</v>
      </c>
      <c r="T345" s="17" t="s">
        <v>215</v>
      </c>
      <c r="U345" s="36" t="s">
        <v>1580</v>
      </c>
      <c r="V345" s="14">
        <v>0.03</v>
      </c>
      <c r="W345" s="1"/>
      <c r="X345" s="1"/>
      <c r="Y345" s="1"/>
      <c r="Z345" s="1"/>
    </row>
    <row r="346" spans="1:26" ht="25.2" customHeight="1" x14ac:dyDescent="0.3">
      <c r="A346" s="3" t="s">
        <v>633</v>
      </c>
      <c r="B346" s="3" t="s">
        <v>1588</v>
      </c>
      <c r="C346" s="5">
        <v>46282</v>
      </c>
      <c r="D346" s="5">
        <v>46283</v>
      </c>
      <c r="E346" s="3" t="s">
        <v>1575</v>
      </c>
      <c r="F346" s="3">
        <v>5</v>
      </c>
      <c r="G346" s="3">
        <v>1005</v>
      </c>
      <c r="H346" s="3">
        <v>30.46</v>
      </c>
      <c r="I346" s="3">
        <v>945</v>
      </c>
      <c r="J346" s="3">
        <v>1</v>
      </c>
      <c r="K346" s="4">
        <f t="shared" si="21"/>
        <v>30.476190476190474</v>
      </c>
      <c r="L346" s="3">
        <v>101</v>
      </c>
      <c r="M346" s="1">
        <v>61.7</v>
      </c>
      <c r="N346" s="1">
        <v>63.2</v>
      </c>
      <c r="O346" s="2">
        <f t="shared" si="22"/>
        <v>63.2</v>
      </c>
      <c r="P346" s="1">
        <v>160</v>
      </c>
      <c r="Q346" s="1">
        <v>10.5</v>
      </c>
      <c r="R346" s="1" t="s">
        <v>92</v>
      </c>
      <c r="S346" s="1" t="s">
        <v>1527</v>
      </c>
      <c r="T346" s="17" t="s">
        <v>215</v>
      </c>
      <c r="U346" s="1" t="s">
        <v>1589</v>
      </c>
      <c r="V346" s="14">
        <v>0.02</v>
      </c>
      <c r="W346" s="1"/>
      <c r="X346" s="1"/>
      <c r="Y346" s="1"/>
      <c r="Z346" s="1"/>
    </row>
    <row r="347" spans="1:26" ht="25.2" customHeight="1" x14ac:dyDescent="0.3">
      <c r="A347" s="3" t="s">
        <v>634</v>
      </c>
      <c r="B347" s="3" t="s">
        <v>1698</v>
      </c>
      <c r="C347" s="5">
        <v>46283</v>
      </c>
      <c r="D347" s="5">
        <v>46283</v>
      </c>
      <c r="E347" s="3" t="s">
        <v>1575</v>
      </c>
      <c r="F347" s="3">
        <v>5</v>
      </c>
      <c r="G347" s="3">
        <v>480</v>
      </c>
      <c r="H347" s="3">
        <v>30.73</v>
      </c>
      <c r="I347" s="3">
        <v>937</v>
      </c>
      <c r="J347" s="3">
        <v>1</v>
      </c>
      <c r="K347" s="4">
        <f t="shared" si="21"/>
        <v>30.736392742796159</v>
      </c>
      <c r="L347" s="3">
        <v>64</v>
      </c>
      <c r="M347" s="1">
        <v>61.5</v>
      </c>
      <c r="N347" s="1">
        <v>63.1</v>
      </c>
      <c r="O347" s="2">
        <f t="shared" si="22"/>
        <v>63.1</v>
      </c>
      <c r="P347" s="1">
        <v>160</v>
      </c>
      <c r="Q347" s="1">
        <v>10.5</v>
      </c>
      <c r="R347" s="1" t="s">
        <v>92</v>
      </c>
      <c r="S347" s="1" t="s">
        <v>1585</v>
      </c>
      <c r="T347" s="17" t="s">
        <v>215</v>
      </c>
      <c r="U347" s="1" t="s">
        <v>1699</v>
      </c>
      <c r="V347" s="14">
        <v>0.02</v>
      </c>
      <c r="W347" s="1"/>
      <c r="X347" s="1"/>
      <c r="Y347" s="1"/>
      <c r="Z347" s="1"/>
    </row>
    <row r="348" spans="1:26" ht="25.2" customHeight="1" x14ac:dyDescent="0.3">
      <c r="A348" s="3" t="s">
        <v>635</v>
      </c>
      <c r="B348" s="3" t="s">
        <v>308</v>
      </c>
      <c r="C348" s="5">
        <v>46283</v>
      </c>
      <c r="D348" s="5">
        <v>46283</v>
      </c>
      <c r="E348" s="3" t="s">
        <v>1575</v>
      </c>
      <c r="F348" s="3">
        <v>5</v>
      </c>
      <c r="G348" s="3">
        <v>640</v>
      </c>
      <c r="H348" s="3">
        <v>30.73</v>
      </c>
      <c r="I348" s="3">
        <v>937</v>
      </c>
      <c r="J348" s="3">
        <v>1</v>
      </c>
      <c r="K348" s="4">
        <f t="shared" si="21"/>
        <v>30.736392742796159</v>
      </c>
      <c r="L348" s="3">
        <v>103</v>
      </c>
      <c r="M348" s="1">
        <v>61.2</v>
      </c>
      <c r="N348" s="1">
        <v>63.5</v>
      </c>
      <c r="O348" s="2">
        <f t="shared" si="22"/>
        <v>63.5</v>
      </c>
      <c r="P348" s="1">
        <v>160</v>
      </c>
      <c r="Q348" s="1">
        <v>10.5</v>
      </c>
      <c r="R348" s="1" t="s">
        <v>92</v>
      </c>
      <c r="S348" s="1" t="s">
        <v>1540</v>
      </c>
      <c r="T348" s="17" t="s">
        <v>215</v>
      </c>
      <c r="U348" s="1" t="s">
        <v>263</v>
      </c>
      <c r="V348" s="14">
        <v>0.02</v>
      </c>
      <c r="W348" s="1"/>
      <c r="X348" s="1"/>
      <c r="Y348" s="1"/>
      <c r="Z348" s="1"/>
    </row>
    <row r="349" spans="1:26" ht="25.2" customHeight="1" x14ac:dyDescent="0.3">
      <c r="A349" s="3" t="s">
        <v>636</v>
      </c>
      <c r="B349" s="3" t="s">
        <v>277</v>
      </c>
      <c r="C349" s="5">
        <v>46286</v>
      </c>
      <c r="D349" s="5">
        <v>46287</v>
      </c>
      <c r="E349" s="3" t="s">
        <v>1575</v>
      </c>
      <c r="F349" s="3">
        <v>5</v>
      </c>
      <c r="G349" s="3">
        <v>1440</v>
      </c>
      <c r="H349" s="3">
        <v>34.200000000000003</v>
      </c>
      <c r="I349" s="3">
        <v>840</v>
      </c>
      <c r="J349" s="3">
        <v>1</v>
      </c>
      <c r="K349" s="4">
        <f t="shared" si="21"/>
        <v>34.285714285714285</v>
      </c>
      <c r="L349" s="3">
        <v>400</v>
      </c>
      <c r="M349" s="1">
        <v>63.5</v>
      </c>
      <c r="N349" s="1">
        <v>65</v>
      </c>
      <c r="O349" s="2">
        <f t="shared" si="22"/>
        <v>65</v>
      </c>
      <c r="P349" s="1">
        <v>160</v>
      </c>
      <c r="Q349" s="1">
        <v>10.5</v>
      </c>
      <c r="R349" s="1" t="s">
        <v>92</v>
      </c>
      <c r="S349" s="1" t="s">
        <v>1543</v>
      </c>
      <c r="T349" s="17" t="s">
        <v>215</v>
      </c>
      <c r="U349" s="1" t="s">
        <v>216</v>
      </c>
      <c r="V349" s="14">
        <v>0.03</v>
      </c>
      <c r="W349" s="1"/>
      <c r="X349" s="1" t="s">
        <v>94</v>
      </c>
      <c r="Y349" s="1" t="s">
        <v>120</v>
      </c>
      <c r="Z349" s="1"/>
    </row>
    <row r="350" spans="1:26" ht="25.2" customHeight="1" x14ac:dyDescent="0.3">
      <c r="A350" s="3" t="s">
        <v>637</v>
      </c>
      <c r="B350" s="3" t="s">
        <v>961</v>
      </c>
      <c r="C350" s="5">
        <v>46280</v>
      </c>
      <c r="D350" s="5">
        <v>46281</v>
      </c>
      <c r="E350" s="3" t="s">
        <v>1581</v>
      </c>
      <c r="F350" s="3">
        <v>7</v>
      </c>
      <c r="G350" s="3">
        <v>3055</v>
      </c>
      <c r="H350" s="3">
        <v>41.6</v>
      </c>
      <c r="I350" s="3">
        <v>173</v>
      </c>
      <c r="J350" s="3">
        <v>2</v>
      </c>
      <c r="K350" s="4">
        <f t="shared" si="21"/>
        <v>332.94797687861274</v>
      </c>
      <c r="L350" s="3"/>
      <c r="M350" s="1">
        <v>108</v>
      </c>
      <c r="N350" s="1">
        <v>216.6</v>
      </c>
      <c r="O350" s="2">
        <f t="shared" si="22"/>
        <v>108.3</v>
      </c>
      <c r="P350" s="1">
        <v>100</v>
      </c>
      <c r="Q350" s="1">
        <v>11.5</v>
      </c>
      <c r="R350" s="1" t="s">
        <v>92</v>
      </c>
      <c r="S350" s="1" t="s">
        <v>1533</v>
      </c>
      <c r="T350" s="25" t="s">
        <v>1058</v>
      </c>
      <c r="U350" s="1" t="s">
        <v>342</v>
      </c>
      <c r="V350" s="14">
        <v>0.04</v>
      </c>
      <c r="W350" s="1" t="s">
        <v>94</v>
      </c>
      <c r="X350" s="1" t="s">
        <v>94</v>
      </c>
      <c r="Y350" s="1" t="s">
        <v>120</v>
      </c>
      <c r="Z350" s="1"/>
    </row>
    <row r="351" spans="1:26" ht="25.2" customHeight="1" x14ac:dyDescent="0.3">
      <c r="A351" s="3" t="s">
        <v>638</v>
      </c>
      <c r="B351" s="3" t="s">
        <v>907</v>
      </c>
      <c r="C351" s="5">
        <v>46282</v>
      </c>
      <c r="D351" s="5">
        <v>46283</v>
      </c>
      <c r="E351" s="3" t="s">
        <v>1583</v>
      </c>
      <c r="F351" s="3">
        <v>3</v>
      </c>
      <c r="G351" s="3">
        <v>1036</v>
      </c>
      <c r="H351" s="3">
        <v>50.4</v>
      </c>
      <c r="I351" s="3">
        <v>570</v>
      </c>
      <c r="J351" s="3">
        <v>1</v>
      </c>
      <c r="K351" s="4">
        <f t="shared" si="21"/>
        <v>50.526315789473685</v>
      </c>
      <c r="L351" s="3"/>
      <c r="M351" s="1">
        <v>107.3</v>
      </c>
      <c r="N351" s="1">
        <v>107.7</v>
      </c>
      <c r="O351" s="2">
        <f t="shared" si="22"/>
        <v>107.7</v>
      </c>
      <c r="P351" s="1">
        <v>44</v>
      </c>
      <c r="Q351" s="1">
        <v>5.3</v>
      </c>
      <c r="R351" s="1" t="s">
        <v>168</v>
      </c>
      <c r="S351" s="1" t="s">
        <v>1533</v>
      </c>
      <c r="T351" s="20" t="s">
        <v>1548</v>
      </c>
      <c r="U351" s="1" t="s">
        <v>184</v>
      </c>
      <c r="V351" s="14">
        <v>0.02</v>
      </c>
      <c r="W351" s="1" t="s">
        <v>678</v>
      </c>
      <c r="X351" s="1"/>
      <c r="Y351" s="1"/>
      <c r="Z351" s="1"/>
    </row>
    <row r="352" spans="1:26" ht="25.2" customHeight="1" x14ac:dyDescent="0.3">
      <c r="A352" s="3" t="s">
        <v>639</v>
      </c>
      <c r="B352" s="3" t="s">
        <v>926</v>
      </c>
      <c r="C352" s="5">
        <v>46283</v>
      </c>
      <c r="D352" s="5">
        <v>46283</v>
      </c>
      <c r="E352" s="3" t="s">
        <v>1583</v>
      </c>
      <c r="F352" s="3">
        <v>3</v>
      </c>
      <c r="G352" s="3">
        <v>660</v>
      </c>
      <c r="H352" s="3">
        <v>50.4</v>
      </c>
      <c r="I352" s="3">
        <v>570</v>
      </c>
      <c r="J352" s="3">
        <v>1</v>
      </c>
      <c r="K352" s="4">
        <f t="shared" si="21"/>
        <v>50.526315789473685</v>
      </c>
      <c r="L352" s="3"/>
      <c r="M352" s="1">
        <v>106.5</v>
      </c>
      <c r="N352" s="1">
        <v>107</v>
      </c>
      <c r="O352" s="2">
        <f t="shared" si="22"/>
        <v>107</v>
      </c>
      <c r="P352" s="1">
        <v>44</v>
      </c>
      <c r="Q352" s="1">
        <v>5.3</v>
      </c>
      <c r="R352" s="1" t="s">
        <v>168</v>
      </c>
      <c r="S352" s="1" t="s">
        <v>1534</v>
      </c>
      <c r="T352" s="20" t="s">
        <v>1548</v>
      </c>
      <c r="U352" s="1" t="s">
        <v>878</v>
      </c>
      <c r="V352" s="14">
        <v>0.02</v>
      </c>
      <c r="W352" s="1"/>
      <c r="X352" s="1"/>
      <c r="Y352" s="1"/>
      <c r="Z352" s="1"/>
    </row>
    <row r="353" spans="1:26" ht="25.2" customHeight="1" x14ac:dyDescent="0.3">
      <c r="A353" s="3" t="s">
        <v>640</v>
      </c>
      <c r="B353" s="3" t="s">
        <v>923</v>
      </c>
      <c r="C353" s="5">
        <v>46283</v>
      </c>
      <c r="D353" s="5">
        <v>46286</v>
      </c>
      <c r="E353" s="3" t="s">
        <v>1583</v>
      </c>
      <c r="F353" s="3">
        <v>3</v>
      </c>
      <c r="G353" s="3">
        <v>890</v>
      </c>
      <c r="H353" s="3">
        <v>50.4</v>
      </c>
      <c r="I353" s="3">
        <v>570</v>
      </c>
      <c r="J353" s="3">
        <v>1</v>
      </c>
      <c r="K353" s="4">
        <f t="shared" si="21"/>
        <v>50.526315789473685</v>
      </c>
      <c r="L353" s="3">
        <v>26</v>
      </c>
      <c r="M353" s="1">
        <v>106</v>
      </c>
      <c r="N353" s="1">
        <v>106.8</v>
      </c>
      <c r="O353" s="2">
        <f t="shared" si="22"/>
        <v>106.8</v>
      </c>
      <c r="P353" s="1">
        <v>44</v>
      </c>
      <c r="Q353" s="1">
        <v>5.3</v>
      </c>
      <c r="R353" s="1" t="s">
        <v>168</v>
      </c>
      <c r="S353" s="1" t="s">
        <v>1528</v>
      </c>
      <c r="T353" s="20" t="s">
        <v>1695</v>
      </c>
      <c r="U353" s="1" t="s">
        <v>925</v>
      </c>
      <c r="V353" s="14">
        <v>0.02</v>
      </c>
      <c r="W353" s="1"/>
      <c r="X353" s="1"/>
      <c r="Y353" s="1"/>
      <c r="Z353" s="1"/>
    </row>
    <row r="354" spans="1:26" ht="25.2" customHeight="1" x14ac:dyDescent="0.3">
      <c r="A354" s="3" t="s">
        <v>641</v>
      </c>
      <c r="B354" s="3" t="s">
        <v>917</v>
      </c>
      <c r="C354" s="5">
        <v>46286</v>
      </c>
      <c r="D354" s="5">
        <v>46287</v>
      </c>
      <c r="E354" s="3" t="s">
        <v>1583</v>
      </c>
      <c r="F354" s="3">
        <v>3</v>
      </c>
      <c r="G354" s="3">
        <v>862</v>
      </c>
      <c r="H354" s="3">
        <v>50.4</v>
      </c>
      <c r="I354" s="3">
        <v>570</v>
      </c>
      <c r="J354" s="3">
        <v>1</v>
      </c>
      <c r="K354" s="4">
        <f t="shared" si="21"/>
        <v>50.526315789473685</v>
      </c>
      <c r="L354" s="3"/>
      <c r="M354" s="1">
        <v>106.2</v>
      </c>
      <c r="N354" s="1">
        <v>106.9</v>
      </c>
      <c r="O354" s="2">
        <f t="shared" si="22"/>
        <v>106.9</v>
      </c>
      <c r="P354" s="1">
        <v>44</v>
      </c>
      <c r="Q354" s="1">
        <v>5.3</v>
      </c>
      <c r="R354" s="1" t="s">
        <v>168</v>
      </c>
      <c r="S354" s="1" t="s">
        <v>1527</v>
      </c>
      <c r="T354" s="20" t="s">
        <v>1548</v>
      </c>
      <c r="U354" s="1" t="s">
        <v>1706</v>
      </c>
      <c r="V354" s="14">
        <v>0.02</v>
      </c>
      <c r="W354" s="1"/>
      <c r="X354" s="1"/>
      <c r="Y354" s="1"/>
      <c r="Z354" s="1"/>
    </row>
    <row r="355" spans="1:26" ht="25.2" customHeight="1" x14ac:dyDescent="0.3">
      <c r="A355" s="3" t="s">
        <v>642</v>
      </c>
      <c r="B355" s="3" t="s">
        <v>902</v>
      </c>
      <c r="C355" s="5">
        <v>46287</v>
      </c>
      <c r="D355" s="5">
        <v>46287</v>
      </c>
      <c r="E355" s="3" t="s">
        <v>1583</v>
      </c>
      <c r="F355" s="3">
        <v>3</v>
      </c>
      <c r="G355" s="3">
        <v>836</v>
      </c>
      <c r="H355" s="3">
        <v>50.4</v>
      </c>
      <c r="I355" s="3">
        <v>570</v>
      </c>
      <c r="J355" s="3">
        <v>1</v>
      </c>
      <c r="K355" s="4">
        <f t="shared" si="21"/>
        <v>50.526315789473685</v>
      </c>
      <c r="L355" s="3"/>
      <c r="M355" s="1">
        <v>106</v>
      </c>
      <c r="N355" s="1">
        <v>106.9</v>
      </c>
      <c r="O355" s="2">
        <f t="shared" si="22"/>
        <v>106.9</v>
      </c>
      <c r="P355" s="1">
        <v>44</v>
      </c>
      <c r="Q355" s="1">
        <v>5.3</v>
      </c>
      <c r="R355" s="1" t="s">
        <v>168</v>
      </c>
      <c r="S355" s="1" t="s">
        <v>1585</v>
      </c>
      <c r="T355" s="20" t="s">
        <v>1548</v>
      </c>
      <c r="U355" s="1" t="s">
        <v>211</v>
      </c>
      <c r="V355" s="14">
        <v>0.02</v>
      </c>
      <c r="W355" s="1"/>
      <c r="X355" s="1"/>
      <c r="Y355" s="1"/>
      <c r="Z355" s="1"/>
    </row>
    <row r="356" spans="1:26" ht="25.2" customHeight="1" x14ac:dyDescent="0.3">
      <c r="A356" s="3" t="s">
        <v>643</v>
      </c>
      <c r="B356" s="3" t="s">
        <v>899</v>
      </c>
      <c r="C356" s="5">
        <v>46288</v>
      </c>
      <c r="D356" s="5">
        <v>46289</v>
      </c>
      <c r="E356" s="3" t="s">
        <v>1583</v>
      </c>
      <c r="F356" s="3">
        <v>3</v>
      </c>
      <c r="G356" s="3">
        <v>836</v>
      </c>
      <c r="H356" s="3">
        <v>50.4</v>
      </c>
      <c r="I356" s="3">
        <v>570</v>
      </c>
      <c r="J356" s="3">
        <v>1</v>
      </c>
      <c r="K356" s="4">
        <f t="shared" si="21"/>
        <v>50.526315789473685</v>
      </c>
      <c r="L356" s="3"/>
      <c r="M356" s="1">
        <v>106</v>
      </c>
      <c r="N356" s="1">
        <v>106.9</v>
      </c>
      <c r="O356" s="2">
        <f t="shared" si="22"/>
        <v>106.9</v>
      </c>
      <c r="P356" s="1">
        <v>44</v>
      </c>
      <c r="Q356" s="1">
        <v>5.3</v>
      </c>
      <c r="R356" s="1" t="s">
        <v>168</v>
      </c>
      <c r="S356" s="1" t="s">
        <v>1540</v>
      </c>
      <c r="T356" s="20" t="s">
        <v>1548</v>
      </c>
      <c r="U356" s="1" t="s">
        <v>1326</v>
      </c>
      <c r="V356" s="14">
        <v>0.02</v>
      </c>
      <c r="W356" s="1"/>
      <c r="X356" s="1"/>
      <c r="Y356" s="1"/>
      <c r="Z356" s="1"/>
    </row>
    <row r="357" spans="1:26" ht="25.2" customHeight="1" x14ac:dyDescent="0.3">
      <c r="A357" s="3" t="s">
        <v>644</v>
      </c>
      <c r="B357" s="3" t="s">
        <v>916</v>
      </c>
      <c r="C357" s="5">
        <v>46289</v>
      </c>
      <c r="D357" s="5">
        <v>46289</v>
      </c>
      <c r="E357" s="3" t="s">
        <v>1583</v>
      </c>
      <c r="F357" s="3">
        <v>3</v>
      </c>
      <c r="G357" s="3">
        <v>704</v>
      </c>
      <c r="H357" s="3">
        <v>50.4</v>
      </c>
      <c r="I357" s="3">
        <v>570</v>
      </c>
      <c r="J357" s="3">
        <v>1</v>
      </c>
      <c r="K357" s="4">
        <f t="shared" si="21"/>
        <v>50.526315789473685</v>
      </c>
      <c r="L357" s="3"/>
      <c r="M357" s="1">
        <v>106.2</v>
      </c>
      <c r="N357" s="1">
        <v>107</v>
      </c>
      <c r="O357" s="2">
        <f t="shared" si="22"/>
        <v>107</v>
      </c>
      <c r="P357" s="1">
        <v>44</v>
      </c>
      <c r="Q357" s="1">
        <v>5.3</v>
      </c>
      <c r="R357" s="1" t="s">
        <v>168</v>
      </c>
      <c r="S357" s="1" t="s">
        <v>1543</v>
      </c>
      <c r="T357" s="20" t="s">
        <v>1548</v>
      </c>
      <c r="U357" s="1" t="s">
        <v>141</v>
      </c>
      <c r="V357" s="14">
        <v>0.02</v>
      </c>
      <c r="W357" s="1"/>
      <c r="X357" s="1"/>
      <c r="Y357" s="1"/>
      <c r="Z357" s="1"/>
    </row>
    <row r="358" spans="1:26" ht="25.2" customHeight="1" x14ac:dyDescent="0.3">
      <c r="A358" s="3" t="s">
        <v>1595</v>
      </c>
      <c r="B358" s="3" t="s">
        <v>909</v>
      </c>
      <c r="C358" s="5">
        <v>46289</v>
      </c>
      <c r="D358" s="5">
        <v>46290</v>
      </c>
      <c r="E358" s="3" t="s">
        <v>1583</v>
      </c>
      <c r="F358" s="3">
        <v>3</v>
      </c>
      <c r="G358" s="3">
        <v>616</v>
      </c>
      <c r="H358" s="3">
        <v>50.4</v>
      </c>
      <c r="I358" s="3">
        <v>570</v>
      </c>
      <c r="J358" s="3">
        <v>1</v>
      </c>
      <c r="K358" s="4">
        <f t="shared" ref="K358:K421" si="23">(3600/(I358/8))*J358</f>
        <v>50.526315789473685</v>
      </c>
      <c r="L358" s="3"/>
      <c r="M358" s="1">
        <v>106</v>
      </c>
      <c r="N358" s="1">
        <v>107</v>
      </c>
      <c r="O358" s="2">
        <f t="shared" ref="O358:O421" si="24">N358/J358</f>
        <v>107</v>
      </c>
      <c r="P358" s="1">
        <v>44</v>
      </c>
      <c r="Q358" s="1">
        <v>5.3</v>
      </c>
      <c r="R358" s="1" t="s">
        <v>168</v>
      </c>
      <c r="S358" s="1" t="s">
        <v>1724</v>
      </c>
      <c r="T358" s="20" t="s">
        <v>1548</v>
      </c>
      <c r="U358" s="1" t="s">
        <v>149</v>
      </c>
      <c r="V358" s="14">
        <v>0.02</v>
      </c>
      <c r="W358" s="1"/>
      <c r="X358" s="1" t="s">
        <v>94</v>
      </c>
      <c r="Y358" s="1" t="s">
        <v>120</v>
      </c>
      <c r="Z358" s="1"/>
    </row>
    <row r="359" spans="1:26" ht="25.2" customHeight="1" x14ac:dyDescent="0.3">
      <c r="A359" s="3" t="s">
        <v>1596</v>
      </c>
      <c r="B359" s="3" t="s">
        <v>1690</v>
      </c>
      <c r="C359" s="5">
        <v>46282</v>
      </c>
      <c r="D359" s="5">
        <v>46286</v>
      </c>
      <c r="E359" s="3" t="s">
        <v>1691</v>
      </c>
      <c r="F359" s="3">
        <v>2</v>
      </c>
      <c r="G359" s="3">
        <v>3104</v>
      </c>
      <c r="H359" s="3">
        <v>35.9</v>
      </c>
      <c r="I359" s="3">
        <v>800</v>
      </c>
      <c r="J359" s="3">
        <v>1</v>
      </c>
      <c r="K359" s="4">
        <f t="shared" si="23"/>
        <v>36</v>
      </c>
      <c r="L359" s="3">
        <v>25</v>
      </c>
      <c r="M359" s="1">
        <v>121</v>
      </c>
      <c r="N359" s="1">
        <v>126.6</v>
      </c>
      <c r="O359" s="2">
        <f t="shared" si="24"/>
        <v>126.6</v>
      </c>
      <c r="P359" s="1">
        <v>32</v>
      </c>
      <c r="Q359" s="1">
        <v>4.6500000000000004</v>
      </c>
      <c r="R359" s="1" t="s">
        <v>92</v>
      </c>
      <c r="S359" s="1" t="s">
        <v>1533</v>
      </c>
      <c r="T359" s="23" t="s">
        <v>1692</v>
      </c>
      <c r="U359" s="1" t="s">
        <v>342</v>
      </c>
      <c r="V359" s="14">
        <v>0.04</v>
      </c>
      <c r="W359" s="1" t="s">
        <v>94</v>
      </c>
      <c r="X359" s="1"/>
      <c r="Y359" s="1"/>
      <c r="Z359" s="1"/>
    </row>
    <row r="360" spans="1:26" ht="25.2" customHeight="1" x14ac:dyDescent="0.3">
      <c r="A360" s="3" t="s">
        <v>1597</v>
      </c>
      <c r="B360" s="3" t="s">
        <v>739</v>
      </c>
      <c r="C360" s="5">
        <v>46286</v>
      </c>
      <c r="D360" s="5">
        <v>46287</v>
      </c>
      <c r="E360" s="3" t="s">
        <v>1691</v>
      </c>
      <c r="F360" s="3">
        <v>2</v>
      </c>
      <c r="G360" s="3">
        <v>1049</v>
      </c>
      <c r="H360" s="3">
        <v>35.9</v>
      </c>
      <c r="I360" s="3">
        <v>800</v>
      </c>
      <c r="J360" s="3">
        <v>1</v>
      </c>
      <c r="K360" s="4">
        <f t="shared" si="23"/>
        <v>36</v>
      </c>
      <c r="L360" s="3">
        <v>37</v>
      </c>
      <c r="M360" s="1">
        <v>120.6</v>
      </c>
      <c r="N360" s="1">
        <v>126.4</v>
      </c>
      <c r="O360" s="2">
        <f t="shared" si="24"/>
        <v>126.4</v>
      </c>
      <c r="P360" s="1">
        <v>32</v>
      </c>
      <c r="Q360" s="1">
        <v>4.6500000000000004</v>
      </c>
      <c r="R360" s="1" t="s">
        <v>92</v>
      </c>
      <c r="S360" s="1" t="s">
        <v>1534</v>
      </c>
      <c r="T360" s="23" t="s">
        <v>1692</v>
      </c>
      <c r="U360" s="1" t="s">
        <v>652</v>
      </c>
      <c r="V360" s="14">
        <v>0.03</v>
      </c>
      <c r="W360" s="1"/>
      <c r="X360" s="1" t="s">
        <v>156</v>
      </c>
      <c r="Y360" s="1" t="s">
        <v>120</v>
      </c>
      <c r="Z360" s="1"/>
    </row>
    <row r="361" spans="1:26" ht="25.2" customHeight="1" x14ac:dyDescent="0.3">
      <c r="A361" s="3" t="s">
        <v>1598</v>
      </c>
      <c r="B361" s="3" t="s">
        <v>1696</v>
      </c>
      <c r="C361" s="5">
        <v>46283</v>
      </c>
      <c r="D361" s="5">
        <v>46288</v>
      </c>
      <c r="E361" s="3" t="s">
        <v>1697</v>
      </c>
      <c r="F361" s="3">
        <v>4</v>
      </c>
      <c r="G361" s="3">
        <v>3500</v>
      </c>
      <c r="H361" s="3">
        <v>29.8</v>
      </c>
      <c r="I361" s="3">
        <v>1930</v>
      </c>
      <c r="J361" s="3">
        <v>2</v>
      </c>
      <c r="K361" s="4">
        <f t="shared" si="23"/>
        <v>29.844559585492227</v>
      </c>
      <c r="L361" s="3">
        <v>42</v>
      </c>
      <c r="M361" s="1">
        <v>54</v>
      </c>
      <c r="N361" s="1">
        <v>109.4</v>
      </c>
      <c r="O361" s="2">
        <f t="shared" si="24"/>
        <v>54.7</v>
      </c>
      <c r="P361" s="1">
        <v>250</v>
      </c>
      <c r="Q361" s="1">
        <v>14</v>
      </c>
      <c r="R361" s="1" t="s">
        <v>92</v>
      </c>
      <c r="S361" s="1" t="s">
        <v>1533</v>
      </c>
      <c r="T361" s="18" t="s">
        <v>133</v>
      </c>
      <c r="U361" s="1" t="s">
        <v>342</v>
      </c>
      <c r="V361" s="14">
        <v>0.04</v>
      </c>
      <c r="W361" s="1" t="s">
        <v>94</v>
      </c>
      <c r="X361" s="1"/>
      <c r="Y361" s="1"/>
      <c r="Z361" s="1"/>
    </row>
    <row r="362" spans="1:26" ht="25.2" customHeight="1" x14ac:dyDescent="0.3">
      <c r="A362" s="3" t="s">
        <v>1599</v>
      </c>
      <c r="B362" s="3" t="s">
        <v>332</v>
      </c>
      <c r="C362" s="5">
        <v>46286</v>
      </c>
      <c r="D362" s="5">
        <v>46287</v>
      </c>
      <c r="E362" s="3" t="s">
        <v>1697</v>
      </c>
      <c r="F362" s="3">
        <v>4</v>
      </c>
      <c r="G362" s="3">
        <v>1040</v>
      </c>
      <c r="H362" s="3">
        <v>29.8</v>
      </c>
      <c r="I362" s="3">
        <v>1930</v>
      </c>
      <c r="J362" s="3">
        <v>2</v>
      </c>
      <c r="K362" s="4">
        <f t="shared" si="23"/>
        <v>29.844559585492227</v>
      </c>
      <c r="L362" s="3">
        <v>25</v>
      </c>
      <c r="M362" s="1">
        <v>54</v>
      </c>
      <c r="N362" s="1">
        <v>109</v>
      </c>
      <c r="O362" s="2">
        <f t="shared" si="24"/>
        <v>54.5</v>
      </c>
      <c r="P362" s="1">
        <v>250</v>
      </c>
      <c r="Q362" s="1">
        <v>14</v>
      </c>
      <c r="R362" s="1" t="s">
        <v>92</v>
      </c>
      <c r="S362" s="1" t="s">
        <v>1534</v>
      </c>
      <c r="T362" s="17" t="s">
        <v>133</v>
      </c>
      <c r="U362" s="1" t="s">
        <v>334</v>
      </c>
      <c r="V362" s="14">
        <v>0.04</v>
      </c>
      <c r="W362" s="1"/>
      <c r="X362" s="1"/>
      <c r="Y362" s="1"/>
      <c r="Z362" s="1"/>
    </row>
    <row r="363" spans="1:26" ht="25.2" customHeight="1" x14ac:dyDescent="0.3">
      <c r="A363" s="3" t="s">
        <v>1600</v>
      </c>
      <c r="B363" s="3" t="s">
        <v>343</v>
      </c>
      <c r="C363" s="5">
        <v>46287</v>
      </c>
      <c r="D363" s="5">
        <v>46287</v>
      </c>
      <c r="E363" s="3" t="s">
        <v>1697</v>
      </c>
      <c r="F363" s="3">
        <v>4</v>
      </c>
      <c r="G363" s="3">
        <v>1286</v>
      </c>
      <c r="H363" s="3">
        <v>29.8</v>
      </c>
      <c r="I363" s="3">
        <v>1930</v>
      </c>
      <c r="J363" s="3">
        <v>2</v>
      </c>
      <c r="K363" s="4">
        <f t="shared" si="23"/>
        <v>29.844559585492227</v>
      </c>
      <c r="L363" s="3">
        <v>31</v>
      </c>
      <c r="M363" s="1">
        <v>54.3</v>
      </c>
      <c r="N363" s="1">
        <v>110.3</v>
      </c>
      <c r="O363" s="2">
        <f t="shared" si="24"/>
        <v>55.15</v>
      </c>
      <c r="P363" s="1">
        <v>250</v>
      </c>
      <c r="Q363" s="1">
        <v>14</v>
      </c>
      <c r="R363" s="1" t="s">
        <v>92</v>
      </c>
      <c r="S363" s="1" t="s">
        <v>1528</v>
      </c>
      <c r="T363" s="17" t="s">
        <v>206</v>
      </c>
      <c r="U363" s="1" t="s">
        <v>344</v>
      </c>
      <c r="V363" s="14">
        <v>0.03</v>
      </c>
      <c r="W363" s="1"/>
      <c r="X363" s="1"/>
      <c r="Y363" s="1"/>
      <c r="Z363" s="1"/>
    </row>
    <row r="364" spans="1:26" ht="25.2" customHeight="1" x14ac:dyDescent="0.3">
      <c r="A364" s="3" t="s">
        <v>1601</v>
      </c>
      <c r="B364" s="3" t="s">
        <v>651</v>
      </c>
      <c r="C364" s="5">
        <v>46287</v>
      </c>
      <c r="D364" s="5">
        <v>46288</v>
      </c>
      <c r="E364" s="3" t="s">
        <v>1697</v>
      </c>
      <c r="F364" s="3">
        <v>4</v>
      </c>
      <c r="G364" s="3">
        <v>1570</v>
      </c>
      <c r="H364" s="3">
        <v>29.8</v>
      </c>
      <c r="I364" s="3">
        <v>1930</v>
      </c>
      <c r="J364" s="3">
        <v>2</v>
      </c>
      <c r="K364" s="4">
        <f t="shared" si="23"/>
        <v>29.844559585492227</v>
      </c>
      <c r="L364" s="3">
        <v>24</v>
      </c>
      <c r="M364" s="1">
        <v>54.5</v>
      </c>
      <c r="N364" s="1">
        <v>110.3</v>
      </c>
      <c r="O364" s="2">
        <f t="shared" si="24"/>
        <v>55.15</v>
      </c>
      <c r="P364" s="1">
        <v>250</v>
      </c>
      <c r="Q364" s="1">
        <v>14</v>
      </c>
      <c r="R364" s="1" t="s">
        <v>92</v>
      </c>
      <c r="S364" s="1" t="s">
        <v>1527</v>
      </c>
      <c r="T364" s="17" t="s">
        <v>133</v>
      </c>
      <c r="U364" s="1" t="s">
        <v>652</v>
      </c>
      <c r="V364" s="14">
        <v>0.03</v>
      </c>
      <c r="W364" s="1"/>
      <c r="X364" s="1"/>
      <c r="Y364" s="1"/>
      <c r="Z364" s="1"/>
    </row>
    <row r="365" spans="1:26" ht="25.2" customHeight="1" x14ac:dyDescent="0.3">
      <c r="A365" s="3" t="s">
        <v>1602</v>
      </c>
      <c r="B365" s="3" t="s">
        <v>646</v>
      </c>
      <c r="C365" s="5">
        <v>46288</v>
      </c>
      <c r="D365" s="5">
        <v>46288</v>
      </c>
      <c r="E365" s="3" t="s">
        <v>1697</v>
      </c>
      <c r="F365" s="3">
        <v>4</v>
      </c>
      <c r="G365" s="3">
        <v>559</v>
      </c>
      <c r="H365" s="3">
        <v>29.8</v>
      </c>
      <c r="I365" s="3">
        <v>1930</v>
      </c>
      <c r="J365" s="3">
        <v>2</v>
      </c>
      <c r="K365" s="4">
        <f t="shared" si="23"/>
        <v>29.844559585492227</v>
      </c>
      <c r="L365" s="3"/>
      <c r="M365" s="1">
        <v>54.7</v>
      </c>
      <c r="N365" s="1">
        <v>110.7</v>
      </c>
      <c r="O365" s="2">
        <f t="shared" si="24"/>
        <v>55.35</v>
      </c>
      <c r="P365" s="1">
        <v>250</v>
      </c>
      <c r="Q365" s="1">
        <v>14</v>
      </c>
      <c r="R365" s="1" t="s">
        <v>92</v>
      </c>
      <c r="S365" s="1" t="s">
        <v>1585</v>
      </c>
      <c r="T365" s="17" t="s">
        <v>133</v>
      </c>
      <c r="U365" s="1" t="s">
        <v>647</v>
      </c>
      <c r="V365" s="14">
        <v>0.03</v>
      </c>
      <c r="W365" s="1"/>
      <c r="X365" s="1"/>
      <c r="Y365" s="1"/>
      <c r="Z365" s="1"/>
    </row>
    <row r="366" spans="1:26" ht="25.2" customHeight="1" x14ac:dyDescent="0.3">
      <c r="A366" s="3" t="s">
        <v>1603</v>
      </c>
      <c r="B366" s="3" t="s">
        <v>1700</v>
      </c>
      <c r="C366" s="5">
        <v>46283</v>
      </c>
      <c r="D366" s="5">
        <v>46286</v>
      </c>
      <c r="E366" s="3" t="s">
        <v>1701</v>
      </c>
      <c r="F366" s="3">
        <v>9</v>
      </c>
      <c r="G366" s="3">
        <v>801</v>
      </c>
      <c r="H366" s="3">
        <v>40.9</v>
      </c>
      <c r="I366" s="3">
        <v>704</v>
      </c>
      <c r="J366" s="3">
        <v>1</v>
      </c>
      <c r="K366" s="4">
        <f t="shared" si="23"/>
        <v>40.909090909090907</v>
      </c>
      <c r="L366" s="3">
        <v>48</v>
      </c>
      <c r="M366" s="1">
        <v>223</v>
      </c>
      <c r="N366" s="1">
        <v>223.6</v>
      </c>
      <c r="O366" s="2">
        <f t="shared" si="24"/>
        <v>223.6</v>
      </c>
      <c r="P366" s="1">
        <v>20</v>
      </c>
      <c r="Q366" s="1">
        <v>5</v>
      </c>
      <c r="R366" s="1" t="s">
        <v>168</v>
      </c>
      <c r="S366" s="1" t="s">
        <v>1533</v>
      </c>
      <c r="T366" s="11" t="s">
        <v>1702</v>
      </c>
      <c r="U366" s="1" t="s">
        <v>342</v>
      </c>
      <c r="V366" s="14">
        <v>0.04</v>
      </c>
      <c r="W366" s="1" t="s">
        <v>1068</v>
      </c>
      <c r="X366" s="1"/>
      <c r="Y366" s="1"/>
      <c r="Z366" s="1"/>
    </row>
    <row r="367" spans="1:26" ht="25.2" customHeight="1" x14ac:dyDescent="0.3">
      <c r="A367" s="3" t="s">
        <v>1604</v>
      </c>
      <c r="B367" s="3" t="s">
        <v>1709</v>
      </c>
      <c r="C367" s="5">
        <v>46286</v>
      </c>
      <c r="D367" s="5">
        <v>46286</v>
      </c>
      <c r="E367" s="3" t="s">
        <v>1701</v>
      </c>
      <c r="F367" s="3">
        <v>9</v>
      </c>
      <c r="G367" s="3">
        <v>813</v>
      </c>
      <c r="H367" s="3">
        <v>40.9</v>
      </c>
      <c r="I367" s="3">
        <v>704</v>
      </c>
      <c r="J367" s="3">
        <v>1</v>
      </c>
      <c r="K367" s="4">
        <f t="shared" si="23"/>
        <v>40.909090909090907</v>
      </c>
      <c r="L367" s="3">
        <v>25</v>
      </c>
      <c r="M367" s="1">
        <v>227</v>
      </c>
      <c r="N367" s="1">
        <v>227.9</v>
      </c>
      <c r="O367" s="2">
        <f t="shared" si="24"/>
        <v>227.9</v>
      </c>
      <c r="P367" s="1">
        <v>20</v>
      </c>
      <c r="Q367" s="1">
        <v>5</v>
      </c>
      <c r="R367" s="1" t="s">
        <v>168</v>
      </c>
      <c r="S367" s="1" t="s">
        <v>1534</v>
      </c>
      <c r="T367" s="11" t="s">
        <v>1702</v>
      </c>
      <c r="U367" s="1" t="s">
        <v>211</v>
      </c>
      <c r="V367" s="14">
        <v>0.03</v>
      </c>
      <c r="W367" s="1"/>
      <c r="X367" s="1"/>
      <c r="Y367" s="1"/>
      <c r="Z367" s="1"/>
    </row>
    <row r="368" spans="1:26" ht="25.2" customHeight="1" x14ac:dyDescent="0.3">
      <c r="A368" s="3" t="s">
        <v>1605</v>
      </c>
      <c r="B368" s="3" t="s">
        <v>1710</v>
      </c>
      <c r="C368" s="5">
        <v>46286</v>
      </c>
      <c r="D368" s="5">
        <v>46286</v>
      </c>
      <c r="E368" s="3" t="s">
        <v>1701</v>
      </c>
      <c r="F368" s="3">
        <v>9</v>
      </c>
      <c r="G368" s="3">
        <v>737</v>
      </c>
      <c r="H368" s="3">
        <v>40.9</v>
      </c>
      <c r="I368" s="3">
        <v>704</v>
      </c>
      <c r="J368" s="3">
        <v>1</v>
      </c>
      <c r="K368" s="4">
        <f t="shared" si="23"/>
        <v>40.909090909090907</v>
      </c>
      <c r="L368" s="3">
        <v>22</v>
      </c>
      <c r="M368" s="1">
        <v>226.3</v>
      </c>
      <c r="N368" s="1">
        <v>227.8</v>
      </c>
      <c r="O368" s="2">
        <f t="shared" si="24"/>
        <v>227.8</v>
      </c>
      <c r="P368" s="1">
        <v>20</v>
      </c>
      <c r="Q368" s="1">
        <v>5</v>
      </c>
      <c r="R368" s="1" t="s">
        <v>168</v>
      </c>
      <c r="S368" s="1" t="s">
        <v>1528</v>
      </c>
      <c r="T368" s="11" t="s">
        <v>1702</v>
      </c>
      <c r="U368" s="1" t="s">
        <v>344</v>
      </c>
      <c r="V368" s="14">
        <v>0.03</v>
      </c>
      <c r="W368" s="1"/>
      <c r="X368" s="1"/>
      <c r="Y368" s="1"/>
      <c r="Z368" s="1"/>
    </row>
    <row r="369" spans="1:26" ht="25.2" customHeight="1" x14ac:dyDescent="0.3">
      <c r="A369" s="3" t="s">
        <v>1606</v>
      </c>
      <c r="B369" s="3" t="s">
        <v>1721</v>
      </c>
      <c r="C369" s="5">
        <v>46287</v>
      </c>
      <c r="D369" s="5">
        <v>46288</v>
      </c>
      <c r="E369" s="3" t="s">
        <v>1701</v>
      </c>
      <c r="F369" s="3">
        <v>9</v>
      </c>
      <c r="G369" s="3">
        <v>740</v>
      </c>
      <c r="H369" s="3">
        <v>40.9</v>
      </c>
      <c r="I369" s="3">
        <v>704</v>
      </c>
      <c r="J369" s="3">
        <v>1</v>
      </c>
      <c r="K369" s="4">
        <f t="shared" si="23"/>
        <v>40.909090909090907</v>
      </c>
      <c r="L369" s="3"/>
      <c r="M369" s="1">
        <v>226</v>
      </c>
      <c r="N369" s="1">
        <v>227.9</v>
      </c>
      <c r="O369" s="2">
        <f t="shared" si="24"/>
        <v>227.9</v>
      </c>
      <c r="P369" s="1">
        <v>20</v>
      </c>
      <c r="Q369" s="1">
        <v>5</v>
      </c>
      <c r="R369" s="1" t="s">
        <v>168</v>
      </c>
      <c r="S369" s="1" t="s">
        <v>1527</v>
      </c>
      <c r="T369" s="11" t="s">
        <v>1702</v>
      </c>
      <c r="U369" s="1" t="s">
        <v>652</v>
      </c>
      <c r="V369" s="14">
        <v>0.03</v>
      </c>
      <c r="W369" s="1"/>
      <c r="X369" s="1"/>
      <c r="Y369" s="1"/>
      <c r="Z369" s="1"/>
    </row>
    <row r="370" spans="1:26" ht="25.2" customHeight="1" x14ac:dyDescent="0.3">
      <c r="A370" s="3" t="s">
        <v>1607</v>
      </c>
      <c r="B370" s="3" t="s">
        <v>1722</v>
      </c>
      <c r="C370" s="5">
        <v>46288</v>
      </c>
      <c r="D370" s="5">
        <v>46289</v>
      </c>
      <c r="E370" s="3" t="s">
        <v>1701</v>
      </c>
      <c r="F370" s="3">
        <v>9</v>
      </c>
      <c r="G370" s="3">
        <v>813</v>
      </c>
      <c r="H370" s="3">
        <v>40.9</v>
      </c>
      <c r="I370" s="3">
        <v>704</v>
      </c>
      <c r="J370" s="3">
        <v>1</v>
      </c>
      <c r="K370" s="4">
        <f t="shared" si="23"/>
        <v>40.909090909090907</v>
      </c>
      <c r="L370" s="3"/>
      <c r="M370" s="1">
        <v>226</v>
      </c>
      <c r="N370" s="1">
        <v>227.9</v>
      </c>
      <c r="O370" s="2">
        <f t="shared" si="24"/>
        <v>227.9</v>
      </c>
      <c r="P370" s="1">
        <v>20</v>
      </c>
      <c r="Q370" s="1">
        <v>5</v>
      </c>
      <c r="R370" s="1" t="s">
        <v>168</v>
      </c>
      <c r="S370" s="1" t="s">
        <v>1585</v>
      </c>
      <c r="T370" s="11" t="s">
        <v>1702</v>
      </c>
      <c r="U370" s="1" t="s">
        <v>652</v>
      </c>
      <c r="V370" s="14">
        <v>0.03</v>
      </c>
      <c r="W370" s="1"/>
      <c r="X370" s="1"/>
      <c r="Y370" s="1"/>
      <c r="Z370" s="1"/>
    </row>
    <row r="371" spans="1:26" ht="25.2" customHeight="1" x14ac:dyDescent="0.3">
      <c r="A371" s="3" t="s">
        <v>1608</v>
      </c>
      <c r="B371" s="3" t="s">
        <v>1723</v>
      </c>
      <c r="C371" s="5">
        <v>46289</v>
      </c>
      <c r="D371" s="5">
        <v>46289</v>
      </c>
      <c r="E371" s="3" t="s">
        <v>1701</v>
      </c>
      <c r="F371" s="3">
        <v>9</v>
      </c>
      <c r="G371" s="3">
        <v>815</v>
      </c>
      <c r="H371" s="3">
        <v>40.9</v>
      </c>
      <c r="I371" s="3">
        <v>704</v>
      </c>
      <c r="J371" s="3">
        <v>1</v>
      </c>
      <c r="K371" s="4">
        <f t="shared" si="23"/>
        <v>40.909090909090907</v>
      </c>
      <c r="L371" s="3"/>
      <c r="M371" s="1">
        <v>224</v>
      </c>
      <c r="N371" s="1">
        <v>225.9</v>
      </c>
      <c r="O371" s="2">
        <f t="shared" si="24"/>
        <v>225.9</v>
      </c>
      <c r="P371" s="1">
        <v>20</v>
      </c>
      <c r="Q371" s="1">
        <v>5</v>
      </c>
      <c r="R371" s="1" t="s">
        <v>168</v>
      </c>
      <c r="S371" s="1" t="s">
        <v>1540</v>
      </c>
      <c r="T371" s="11" t="s">
        <v>1702</v>
      </c>
      <c r="U371" s="1" t="s">
        <v>334</v>
      </c>
      <c r="V371" s="14">
        <v>0.04</v>
      </c>
      <c r="W371" s="1"/>
      <c r="X371" s="1" t="s">
        <v>678</v>
      </c>
      <c r="Y371" s="1" t="s">
        <v>120</v>
      </c>
      <c r="Z371" s="1"/>
    </row>
    <row r="372" spans="1:26" ht="25.2" customHeight="1" x14ac:dyDescent="0.3">
      <c r="A372" s="3" t="s">
        <v>1609</v>
      </c>
      <c r="B372" s="3" t="s">
        <v>834</v>
      </c>
      <c r="C372" s="5">
        <v>46287</v>
      </c>
      <c r="D372" s="5">
        <v>46288</v>
      </c>
      <c r="E372" s="3" t="s">
        <v>1716</v>
      </c>
      <c r="F372" s="3">
        <v>5</v>
      </c>
      <c r="G372" s="3">
        <v>1130</v>
      </c>
      <c r="H372" s="3">
        <v>31.25</v>
      </c>
      <c r="I372" s="3">
        <v>920</v>
      </c>
      <c r="J372" s="3">
        <v>1</v>
      </c>
      <c r="K372" s="4">
        <f t="shared" si="23"/>
        <v>31.304347826086957</v>
      </c>
      <c r="L372" s="3"/>
      <c r="M372" s="1">
        <v>53.4</v>
      </c>
      <c r="N372" s="1">
        <v>57.4</v>
      </c>
      <c r="O372" s="2">
        <f t="shared" si="24"/>
        <v>57.4</v>
      </c>
      <c r="P372" s="1">
        <v>60</v>
      </c>
      <c r="Q372" s="1">
        <v>3.5</v>
      </c>
      <c r="R372" s="1" t="s">
        <v>168</v>
      </c>
      <c r="S372" s="1" t="s">
        <v>1533</v>
      </c>
      <c r="T372" s="23" t="s">
        <v>1692</v>
      </c>
      <c r="U372" s="1" t="s">
        <v>342</v>
      </c>
      <c r="V372" s="14">
        <v>0.04</v>
      </c>
      <c r="W372" s="1" t="s">
        <v>826</v>
      </c>
      <c r="X372" s="1"/>
      <c r="Y372" s="1"/>
      <c r="Z372" s="1"/>
    </row>
    <row r="373" spans="1:26" ht="25.2" customHeight="1" x14ac:dyDescent="0.3">
      <c r="A373" s="3" t="s">
        <v>1610</v>
      </c>
      <c r="B373" s="3" t="s">
        <v>845</v>
      </c>
      <c r="C373" s="5">
        <v>46288</v>
      </c>
      <c r="D373" s="5">
        <v>46288</v>
      </c>
      <c r="E373" s="3" t="s">
        <v>1716</v>
      </c>
      <c r="F373" s="3">
        <v>5</v>
      </c>
      <c r="G373" s="3">
        <v>1033</v>
      </c>
      <c r="H373" s="3">
        <v>30.87</v>
      </c>
      <c r="I373" s="3">
        <v>935</v>
      </c>
      <c r="J373" s="3">
        <v>1</v>
      </c>
      <c r="K373" s="4">
        <f t="shared" si="23"/>
        <v>30.802139037433154</v>
      </c>
      <c r="L373" s="3"/>
      <c r="M373" s="1">
        <v>53</v>
      </c>
      <c r="N373" s="1">
        <v>57.2</v>
      </c>
      <c r="O373" s="2">
        <f t="shared" si="24"/>
        <v>57.2</v>
      </c>
      <c r="P373" s="1">
        <v>60</v>
      </c>
      <c r="Q373" s="1">
        <v>3.5</v>
      </c>
      <c r="R373" s="1" t="s">
        <v>168</v>
      </c>
      <c r="S373" s="1" t="s">
        <v>1534</v>
      </c>
      <c r="T373" s="23" t="s">
        <v>1692</v>
      </c>
      <c r="U373" s="1" t="s">
        <v>732</v>
      </c>
      <c r="V373" s="14">
        <v>0.04</v>
      </c>
      <c r="W373" s="1"/>
      <c r="X373" s="1"/>
      <c r="Y373" s="1"/>
      <c r="Z373" s="1"/>
    </row>
    <row r="374" spans="1:26" ht="25.2" customHeight="1" x14ac:dyDescent="0.3">
      <c r="A374" s="3" t="s">
        <v>1611</v>
      </c>
      <c r="B374" s="3" t="s">
        <v>835</v>
      </c>
      <c r="C374" s="5">
        <v>46288</v>
      </c>
      <c r="D374" s="5">
        <v>46289</v>
      </c>
      <c r="E374" s="3" t="s">
        <v>1716</v>
      </c>
      <c r="F374" s="3">
        <v>5</v>
      </c>
      <c r="G374" s="3">
        <v>800</v>
      </c>
      <c r="H374" s="3">
        <v>31.5</v>
      </c>
      <c r="I374" s="3">
        <v>915</v>
      </c>
      <c r="J374" s="3">
        <v>1</v>
      </c>
      <c r="K374" s="4">
        <f t="shared" si="23"/>
        <v>31.475409836065573</v>
      </c>
      <c r="L374" s="3"/>
      <c r="M374" s="1">
        <v>53</v>
      </c>
      <c r="N374" s="1">
        <v>57.2</v>
      </c>
      <c r="O374" s="2">
        <f t="shared" si="24"/>
        <v>57.2</v>
      </c>
      <c r="P374" s="1">
        <v>60</v>
      </c>
      <c r="Q374" s="1">
        <v>3.5</v>
      </c>
      <c r="R374" s="1" t="s">
        <v>168</v>
      </c>
      <c r="S374" s="1" t="s">
        <v>1528</v>
      </c>
      <c r="T374" s="23" t="s">
        <v>1692</v>
      </c>
      <c r="U374" s="1" t="s">
        <v>344</v>
      </c>
      <c r="V374" s="14">
        <v>0.03</v>
      </c>
      <c r="W374" s="1"/>
      <c r="X374" s="1"/>
      <c r="Y374" s="1"/>
      <c r="Z374" s="1"/>
    </row>
    <row r="375" spans="1:26" ht="25.2" customHeight="1" x14ac:dyDescent="0.3">
      <c r="A375" s="3" t="s">
        <v>1612</v>
      </c>
      <c r="B375" s="3" t="s">
        <v>1725</v>
      </c>
      <c r="C375" s="5">
        <v>46289</v>
      </c>
      <c r="D375" s="5">
        <v>46289</v>
      </c>
      <c r="E375" s="3" t="s">
        <v>1716</v>
      </c>
      <c r="F375" s="3">
        <v>5</v>
      </c>
      <c r="G375" s="3">
        <v>852</v>
      </c>
      <c r="H375" s="3">
        <v>31.5</v>
      </c>
      <c r="I375" s="3">
        <v>915</v>
      </c>
      <c r="J375" s="3">
        <v>1</v>
      </c>
      <c r="K375" s="4">
        <f t="shared" si="23"/>
        <v>31.475409836065573</v>
      </c>
      <c r="L375" s="3"/>
      <c r="M375" s="1">
        <v>53.3</v>
      </c>
      <c r="N375" s="1">
        <v>57.3</v>
      </c>
      <c r="O375" s="2">
        <f t="shared" si="24"/>
        <v>57.3</v>
      </c>
      <c r="P375" s="1">
        <v>60</v>
      </c>
      <c r="Q375" s="1">
        <v>3.5</v>
      </c>
      <c r="R375" s="1" t="s">
        <v>168</v>
      </c>
      <c r="S375" s="1" t="s">
        <v>1527</v>
      </c>
      <c r="T375" s="23" t="s">
        <v>1692</v>
      </c>
      <c r="U375" s="1" t="s">
        <v>647</v>
      </c>
      <c r="V375" s="14">
        <v>0.03</v>
      </c>
      <c r="W375" s="1"/>
      <c r="X375" s="1"/>
      <c r="Y375" s="1"/>
      <c r="Z375" s="1"/>
    </row>
    <row r="376" spans="1:26" ht="25.2" customHeight="1" x14ac:dyDescent="0.3">
      <c r="A376" s="3" t="s">
        <v>1613</v>
      </c>
      <c r="B376" s="3" t="s">
        <v>824</v>
      </c>
      <c r="C376" s="5">
        <v>46290</v>
      </c>
      <c r="D376" s="5">
        <v>46290</v>
      </c>
      <c r="E376" s="3" t="s">
        <v>1716</v>
      </c>
      <c r="F376" s="3">
        <v>5</v>
      </c>
      <c r="G376" s="3">
        <v>1020</v>
      </c>
      <c r="H376" s="3">
        <v>31.5</v>
      </c>
      <c r="I376" s="3">
        <v>915</v>
      </c>
      <c r="J376" s="3">
        <v>1</v>
      </c>
      <c r="K376" s="4">
        <f t="shared" si="23"/>
        <v>31.475409836065573</v>
      </c>
      <c r="L376" s="3"/>
      <c r="M376" s="1">
        <v>53.2</v>
      </c>
      <c r="N376" s="1">
        <v>57.3</v>
      </c>
      <c r="O376" s="2">
        <f t="shared" si="24"/>
        <v>57.3</v>
      </c>
      <c r="P376" s="1">
        <v>60</v>
      </c>
      <c r="Q376" s="1">
        <v>3.5</v>
      </c>
      <c r="R376" s="1" t="s">
        <v>168</v>
      </c>
      <c r="S376" s="1" t="s">
        <v>1585</v>
      </c>
      <c r="T376" s="23" t="s">
        <v>1692</v>
      </c>
      <c r="U376" s="1" t="s">
        <v>652</v>
      </c>
      <c r="V376" s="14">
        <v>0.03</v>
      </c>
      <c r="W376" s="1"/>
      <c r="X376" s="1" t="s">
        <v>94</v>
      </c>
      <c r="Y376" s="1" t="s">
        <v>120</v>
      </c>
      <c r="Z376" s="1"/>
    </row>
    <row r="377" spans="1:26" ht="25.2" customHeight="1" x14ac:dyDescent="0.3">
      <c r="A377" s="3" t="s">
        <v>1614</v>
      </c>
      <c r="B377" s="3" t="s">
        <v>1726</v>
      </c>
      <c r="C377" s="5">
        <v>46288</v>
      </c>
      <c r="D377" s="5">
        <v>46290</v>
      </c>
      <c r="E377" s="3" t="s">
        <v>1727</v>
      </c>
      <c r="F377" s="3">
        <v>4</v>
      </c>
      <c r="G377" s="3">
        <v>3000</v>
      </c>
      <c r="H377" s="3">
        <v>61.2</v>
      </c>
      <c r="I377" s="3">
        <v>940</v>
      </c>
      <c r="J377" s="3">
        <v>2</v>
      </c>
      <c r="K377" s="4">
        <f t="shared" si="23"/>
        <v>61.276595744680854</v>
      </c>
      <c r="L377" s="3"/>
      <c r="M377" s="1">
        <v>55.3</v>
      </c>
      <c r="N377" s="1">
        <v>111.3</v>
      </c>
      <c r="O377" s="2">
        <f t="shared" si="24"/>
        <v>55.65</v>
      </c>
      <c r="P377" s="1">
        <v>120</v>
      </c>
      <c r="Q377" s="1">
        <v>6.9</v>
      </c>
      <c r="R377" s="1" t="s">
        <v>87</v>
      </c>
      <c r="S377" s="1" t="s">
        <v>1533</v>
      </c>
      <c r="T377" s="20" t="s">
        <v>1393</v>
      </c>
      <c r="U377" s="1" t="s">
        <v>1063</v>
      </c>
      <c r="V377" s="14">
        <v>0.02</v>
      </c>
      <c r="W377" s="1" t="s">
        <v>678</v>
      </c>
      <c r="X377" s="1" t="s">
        <v>678</v>
      </c>
      <c r="Y377" s="1"/>
      <c r="Z377" s="1"/>
    </row>
    <row r="378" spans="1:26" ht="25.2" customHeight="1" x14ac:dyDescent="0.3">
      <c r="A378" s="3" t="s">
        <v>1615</v>
      </c>
      <c r="B378" s="3" t="s">
        <v>1728</v>
      </c>
      <c r="C378" s="5">
        <v>46290</v>
      </c>
      <c r="D378" s="5">
        <v>46296</v>
      </c>
      <c r="E378" s="3" t="s">
        <v>1729</v>
      </c>
      <c r="F378" s="3">
        <v>4</v>
      </c>
      <c r="G378" s="3">
        <v>5273</v>
      </c>
      <c r="H378" s="3">
        <v>71.5</v>
      </c>
      <c r="I378" s="3">
        <v>800</v>
      </c>
      <c r="J378" s="3">
        <v>2</v>
      </c>
      <c r="K378" s="4">
        <f t="shared" si="23"/>
        <v>72</v>
      </c>
      <c r="L378" s="3"/>
      <c r="M378" s="1">
        <v>55.6</v>
      </c>
      <c r="N378" s="1">
        <v>111.3</v>
      </c>
      <c r="O378" s="2">
        <f t="shared" si="24"/>
        <v>55.65</v>
      </c>
      <c r="P378" s="1">
        <v>84</v>
      </c>
      <c r="Q378" s="1"/>
      <c r="R378" s="1" t="s">
        <v>87</v>
      </c>
      <c r="S378" s="1" t="s">
        <v>1533</v>
      </c>
      <c r="T378" s="20" t="s">
        <v>1730</v>
      </c>
      <c r="U378" s="1" t="s">
        <v>878</v>
      </c>
      <c r="V378" s="14">
        <v>0.02</v>
      </c>
      <c r="W378" s="1"/>
      <c r="X378" s="1" t="s">
        <v>678</v>
      </c>
      <c r="Y378" s="1" t="s">
        <v>120</v>
      </c>
      <c r="Z378" s="1"/>
    </row>
    <row r="379" spans="1:26" ht="25.2" customHeight="1" x14ac:dyDescent="0.3">
      <c r="A379" s="3" t="s">
        <v>1616</v>
      </c>
      <c r="B379" s="3" t="s">
        <v>1740</v>
      </c>
      <c r="C379" s="5">
        <v>46289</v>
      </c>
      <c r="D379" s="5">
        <v>46290</v>
      </c>
      <c r="E379" s="3" t="s">
        <v>1741</v>
      </c>
      <c r="F379" s="3">
        <v>9</v>
      </c>
      <c r="G379" s="3">
        <v>720</v>
      </c>
      <c r="H379" s="3">
        <v>48.6</v>
      </c>
      <c r="I379" s="3">
        <v>592</v>
      </c>
      <c r="J379" s="3">
        <v>1</v>
      </c>
      <c r="K379" s="4">
        <f t="shared" si="23"/>
        <v>48.648648648648646</v>
      </c>
      <c r="L379" s="3"/>
      <c r="M379" s="1">
        <v>202.5</v>
      </c>
      <c r="N379" s="1">
        <v>202.5</v>
      </c>
      <c r="O379" s="2">
        <f t="shared" si="24"/>
        <v>202.5</v>
      </c>
      <c r="P379" s="1">
        <v>20</v>
      </c>
      <c r="Q379" s="1">
        <v>4.8</v>
      </c>
      <c r="R379" s="1" t="s">
        <v>168</v>
      </c>
      <c r="S379" s="1" t="s">
        <v>1533</v>
      </c>
      <c r="T379" s="17" t="s">
        <v>133</v>
      </c>
      <c r="U379" s="1" t="s">
        <v>1086</v>
      </c>
      <c r="V379" s="14">
        <v>0.02</v>
      </c>
      <c r="W379" s="1" t="s">
        <v>678</v>
      </c>
      <c r="X379" s="1"/>
      <c r="Y379" s="1"/>
      <c r="Z379" s="1"/>
    </row>
    <row r="380" spans="1:26" ht="25.2" customHeight="1" x14ac:dyDescent="0.3">
      <c r="A380" s="3" t="s">
        <v>1617</v>
      </c>
      <c r="B380" s="3" t="s">
        <v>1742</v>
      </c>
      <c r="C380" s="5">
        <v>46290</v>
      </c>
      <c r="D380" s="5">
        <v>46290</v>
      </c>
      <c r="E380" s="3" t="s">
        <v>1741</v>
      </c>
      <c r="F380" s="3">
        <v>9</v>
      </c>
      <c r="G380" s="3">
        <v>711</v>
      </c>
      <c r="H380" s="3">
        <v>48.6</v>
      </c>
      <c r="I380" s="3">
        <v>592</v>
      </c>
      <c r="J380" s="3">
        <v>1</v>
      </c>
      <c r="K380" s="4">
        <f t="shared" si="23"/>
        <v>48.648648648648646</v>
      </c>
      <c r="L380" s="3"/>
      <c r="M380" s="1">
        <v>212.3</v>
      </c>
      <c r="N380" s="1">
        <v>212.3</v>
      </c>
      <c r="O380" s="2">
        <f t="shared" si="24"/>
        <v>212.3</v>
      </c>
      <c r="P380" s="1">
        <v>20</v>
      </c>
      <c r="Q380" s="1">
        <v>4.8</v>
      </c>
      <c r="R380" s="1" t="s">
        <v>168</v>
      </c>
      <c r="S380" s="1" t="s">
        <v>1534</v>
      </c>
      <c r="T380" s="17" t="s">
        <v>206</v>
      </c>
      <c r="U380" s="1" t="s">
        <v>1558</v>
      </c>
      <c r="V380" s="14">
        <v>0.02</v>
      </c>
      <c r="W380" s="1"/>
      <c r="X380" s="1"/>
      <c r="Y380" s="1"/>
      <c r="Z380" s="1"/>
    </row>
    <row r="381" spans="1:26" ht="25.2" customHeight="1" x14ac:dyDescent="0.3">
      <c r="A381" s="3" t="s">
        <v>1618</v>
      </c>
      <c r="B381" s="3" t="s">
        <v>1743</v>
      </c>
      <c r="C381" s="5">
        <v>46293</v>
      </c>
      <c r="D381" s="5">
        <v>46293</v>
      </c>
      <c r="E381" s="3" t="s">
        <v>1741</v>
      </c>
      <c r="F381" s="3">
        <v>9</v>
      </c>
      <c r="G381" s="3">
        <v>700</v>
      </c>
      <c r="H381" s="3">
        <v>48.6</v>
      </c>
      <c r="I381" s="3">
        <v>592</v>
      </c>
      <c r="J381" s="3">
        <v>1</v>
      </c>
      <c r="K381" s="4">
        <f t="shared" si="23"/>
        <v>48.648648648648646</v>
      </c>
      <c r="L381" s="3"/>
      <c r="M381" s="1">
        <v>203</v>
      </c>
      <c r="N381" s="1">
        <v>203</v>
      </c>
      <c r="O381" s="2">
        <f t="shared" si="24"/>
        <v>203</v>
      </c>
      <c r="P381" s="1">
        <v>20</v>
      </c>
      <c r="Q381" s="1">
        <v>4.8</v>
      </c>
      <c r="R381" s="1" t="s">
        <v>168</v>
      </c>
      <c r="S381" s="1" t="s">
        <v>1528</v>
      </c>
      <c r="T381" s="17" t="s">
        <v>133</v>
      </c>
      <c r="U381" s="1" t="s">
        <v>1096</v>
      </c>
      <c r="V381" s="14">
        <v>0.02</v>
      </c>
      <c r="W381" s="1"/>
      <c r="X381" s="1"/>
      <c r="Y381" s="1"/>
      <c r="Z381" s="1"/>
    </row>
    <row r="382" spans="1:26" ht="25.2" customHeight="1" x14ac:dyDescent="0.3">
      <c r="A382" s="3" t="s">
        <v>1619</v>
      </c>
      <c r="B382" s="3" t="s">
        <v>1744</v>
      </c>
      <c r="C382" s="5">
        <v>46293</v>
      </c>
      <c r="D382" s="5">
        <v>46294</v>
      </c>
      <c r="E382" s="3" t="s">
        <v>1741</v>
      </c>
      <c r="F382" s="3">
        <v>9</v>
      </c>
      <c r="G382" s="3">
        <v>700</v>
      </c>
      <c r="H382" s="3">
        <v>48.6</v>
      </c>
      <c r="I382" s="3">
        <v>592</v>
      </c>
      <c r="J382" s="3">
        <v>1</v>
      </c>
      <c r="K382" s="4">
        <f t="shared" si="23"/>
        <v>48.648648648648646</v>
      </c>
      <c r="L382" s="3"/>
      <c r="M382" s="1">
        <v>201.3</v>
      </c>
      <c r="N382" s="1">
        <v>201.3</v>
      </c>
      <c r="O382" s="2">
        <f t="shared" si="24"/>
        <v>201.3</v>
      </c>
      <c r="P382" s="1">
        <v>20</v>
      </c>
      <c r="Q382" s="1">
        <v>4.8</v>
      </c>
      <c r="R382" s="1" t="s">
        <v>168</v>
      </c>
      <c r="S382" s="1" t="s">
        <v>1527</v>
      </c>
      <c r="T382" s="17" t="s">
        <v>133</v>
      </c>
      <c r="U382" s="1" t="s">
        <v>1067</v>
      </c>
      <c r="V382" s="14">
        <v>0.02</v>
      </c>
      <c r="W382" s="1"/>
      <c r="X382" s="1" t="s">
        <v>94</v>
      </c>
      <c r="Y382" s="1"/>
      <c r="Z382" s="1"/>
    </row>
    <row r="383" spans="1:26" ht="25.2" customHeight="1" x14ac:dyDescent="0.3">
      <c r="A383" s="3" t="s">
        <v>1620</v>
      </c>
      <c r="B383" s="3" t="s">
        <v>1753</v>
      </c>
      <c r="C383" s="5">
        <v>46296</v>
      </c>
      <c r="D383" s="5">
        <v>46297</v>
      </c>
      <c r="E383" s="3" t="s">
        <v>1754</v>
      </c>
      <c r="F383" s="3">
        <v>4</v>
      </c>
      <c r="G383" s="3">
        <v>1077</v>
      </c>
      <c r="H383" s="3">
        <v>45.4</v>
      </c>
      <c r="I383" s="3">
        <v>635</v>
      </c>
      <c r="J383" s="3">
        <v>1</v>
      </c>
      <c r="K383" s="4">
        <f t="shared" si="23"/>
        <v>45.354330708661415</v>
      </c>
      <c r="L383" s="3"/>
      <c r="M383" s="1">
        <v>115</v>
      </c>
      <c r="N383" s="1">
        <v>115.3</v>
      </c>
      <c r="O383" s="2">
        <f t="shared" si="24"/>
        <v>115.3</v>
      </c>
      <c r="P383" s="1">
        <v>58</v>
      </c>
      <c r="Q383" s="1">
        <v>7.1</v>
      </c>
      <c r="R383" s="1" t="s">
        <v>669</v>
      </c>
      <c r="S383" s="1" t="s">
        <v>1739</v>
      </c>
      <c r="T383" s="20" t="s">
        <v>1755</v>
      </c>
      <c r="U383" s="1" t="s">
        <v>1326</v>
      </c>
      <c r="V383" s="14">
        <v>0.02</v>
      </c>
      <c r="W383" s="1" t="s">
        <v>678</v>
      </c>
      <c r="X383" s="1"/>
      <c r="Y383" s="1"/>
      <c r="Z383" s="1"/>
    </row>
    <row r="384" spans="1:26" ht="25.2" customHeight="1" x14ac:dyDescent="0.3">
      <c r="A384" s="3" t="s">
        <v>1621</v>
      </c>
      <c r="B384" s="3" t="s">
        <v>1756</v>
      </c>
      <c r="C384" s="5">
        <v>46297</v>
      </c>
      <c r="D384" s="5">
        <v>46297</v>
      </c>
      <c r="E384" s="3" t="s">
        <v>1754</v>
      </c>
      <c r="F384" s="3">
        <v>4</v>
      </c>
      <c r="G384" s="3">
        <v>522</v>
      </c>
      <c r="H384" s="3">
        <v>54.4</v>
      </c>
      <c r="I384" s="3">
        <v>635</v>
      </c>
      <c r="J384" s="3">
        <v>1</v>
      </c>
      <c r="K384" s="4">
        <f t="shared" si="23"/>
        <v>45.354330708661415</v>
      </c>
      <c r="L384" s="3"/>
      <c r="M384" s="1">
        <v>114.6</v>
      </c>
      <c r="N384" s="1">
        <v>115.2</v>
      </c>
      <c r="O384" s="2">
        <f t="shared" si="24"/>
        <v>115.2</v>
      </c>
      <c r="P384" s="1">
        <v>58</v>
      </c>
      <c r="Q384" s="1">
        <v>7.1</v>
      </c>
      <c r="R384" s="1" t="s">
        <v>669</v>
      </c>
      <c r="S384" s="1" t="s">
        <v>1757</v>
      </c>
      <c r="T384" s="20" t="s">
        <v>1758</v>
      </c>
      <c r="U384" s="1" t="s">
        <v>149</v>
      </c>
      <c r="V384" s="14">
        <v>0.02</v>
      </c>
      <c r="W384" s="1"/>
      <c r="X384" s="1"/>
      <c r="Y384" s="1"/>
      <c r="Z384" s="1"/>
    </row>
    <row r="385" spans="1:26" ht="25.2" customHeight="1" x14ac:dyDescent="0.3">
      <c r="A385" s="3" t="s">
        <v>1622</v>
      </c>
      <c r="B385" s="3" t="s">
        <v>1759</v>
      </c>
      <c r="C385" s="5">
        <v>46297</v>
      </c>
      <c r="D385" s="5">
        <v>46300</v>
      </c>
      <c r="E385" s="3" t="s">
        <v>1754</v>
      </c>
      <c r="F385" s="3">
        <v>4</v>
      </c>
      <c r="G385" s="3">
        <v>764</v>
      </c>
      <c r="H385" s="3">
        <v>54.4</v>
      </c>
      <c r="I385" s="3">
        <v>635</v>
      </c>
      <c r="J385" s="3">
        <v>1</v>
      </c>
      <c r="K385" s="4">
        <f t="shared" si="23"/>
        <v>45.354330708661415</v>
      </c>
      <c r="L385" s="3"/>
      <c r="M385" s="1">
        <v>117</v>
      </c>
      <c r="N385" s="1">
        <v>117.5</v>
      </c>
      <c r="O385" s="2">
        <f t="shared" si="24"/>
        <v>117.5</v>
      </c>
      <c r="P385" s="1">
        <v>58</v>
      </c>
      <c r="Q385" s="1">
        <v>7.1</v>
      </c>
      <c r="R385" s="1" t="s">
        <v>669</v>
      </c>
      <c r="S385" s="1" t="s">
        <v>1760</v>
      </c>
      <c r="T385" s="20" t="s">
        <v>1755</v>
      </c>
      <c r="U385" s="1" t="s">
        <v>1761</v>
      </c>
      <c r="V385" s="14">
        <v>0.02</v>
      </c>
      <c r="W385" s="1"/>
      <c r="X385" s="1"/>
      <c r="Y385" s="1"/>
      <c r="Z385" s="1"/>
    </row>
    <row r="386" spans="1:26" ht="25.2" customHeight="1" x14ac:dyDescent="0.3">
      <c r="A386" s="3" t="s">
        <v>1623</v>
      </c>
      <c r="B386" s="3" t="s">
        <v>1762</v>
      </c>
      <c r="C386" s="5">
        <v>46300</v>
      </c>
      <c r="D386" s="5">
        <v>46301</v>
      </c>
      <c r="E386" s="3" t="s">
        <v>1754</v>
      </c>
      <c r="F386" s="3">
        <v>4</v>
      </c>
      <c r="G386" s="3">
        <v>740</v>
      </c>
      <c r="H386" s="3">
        <v>54.4</v>
      </c>
      <c r="I386" s="3">
        <v>635</v>
      </c>
      <c r="J386" s="3">
        <v>1</v>
      </c>
      <c r="K386" s="4">
        <f t="shared" si="23"/>
        <v>45.354330708661415</v>
      </c>
      <c r="L386" s="3">
        <v>56</v>
      </c>
      <c r="M386" s="1">
        <v>155.19999999999999</v>
      </c>
      <c r="N386" s="1">
        <v>115.6</v>
      </c>
      <c r="O386" s="2">
        <f t="shared" si="24"/>
        <v>115.6</v>
      </c>
      <c r="P386" s="1">
        <v>58</v>
      </c>
      <c r="Q386" s="1">
        <v>7.1</v>
      </c>
      <c r="R386" s="1" t="s">
        <v>669</v>
      </c>
      <c r="S386" s="1" t="s">
        <v>1763</v>
      </c>
      <c r="T386" s="20" t="s">
        <v>1755</v>
      </c>
      <c r="U386" s="1" t="s">
        <v>211</v>
      </c>
      <c r="V386" s="14">
        <v>0.02</v>
      </c>
      <c r="W386" s="1"/>
      <c r="X386" s="1"/>
      <c r="Y386" s="1"/>
      <c r="Z386" s="1"/>
    </row>
    <row r="387" spans="1:26" ht="25.2" customHeight="1" x14ac:dyDescent="0.3">
      <c r="A387" s="3" t="s">
        <v>1624</v>
      </c>
      <c r="B387" s="3" t="s">
        <v>1775</v>
      </c>
      <c r="C387" s="5">
        <v>46295</v>
      </c>
      <c r="D387" s="5">
        <v>46301</v>
      </c>
      <c r="E387" s="3" t="s">
        <v>1776</v>
      </c>
      <c r="F387" s="3">
        <v>9</v>
      </c>
      <c r="G387" s="3">
        <v>5280</v>
      </c>
      <c r="H387" s="3">
        <v>75.8</v>
      </c>
      <c r="I387" s="3">
        <v>760</v>
      </c>
      <c r="J387" s="3">
        <v>2</v>
      </c>
      <c r="K387" s="4">
        <f t="shared" si="23"/>
        <v>75.78947368421052</v>
      </c>
      <c r="L387" s="3"/>
      <c r="M387" s="1">
        <v>80.900000000000006</v>
      </c>
      <c r="N387" s="1">
        <v>164.3</v>
      </c>
      <c r="O387" s="2">
        <f t="shared" si="24"/>
        <v>82.15</v>
      </c>
      <c r="P387" s="1">
        <v>80</v>
      </c>
      <c r="Q387" s="1">
        <v>7.2</v>
      </c>
      <c r="R387" s="1" t="s">
        <v>92</v>
      </c>
      <c r="S387" s="1" t="s">
        <v>1739</v>
      </c>
      <c r="T387" s="20" t="s">
        <v>787</v>
      </c>
      <c r="U387" s="1" t="s">
        <v>1777</v>
      </c>
      <c r="V387" s="14">
        <v>0.02</v>
      </c>
      <c r="W387" s="1" t="s">
        <v>94</v>
      </c>
      <c r="X387" s="1"/>
      <c r="Y387" s="1"/>
      <c r="Z387" s="1"/>
    </row>
    <row r="388" spans="1:26" ht="25.2" customHeight="1" x14ac:dyDescent="0.3">
      <c r="A388" s="3" t="s">
        <v>1625</v>
      </c>
      <c r="B388" s="3" t="s">
        <v>1801</v>
      </c>
      <c r="C388" s="5">
        <v>46301</v>
      </c>
      <c r="D388" s="5">
        <v>46307</v>
      </c>
      <c r="E388" s="3" t="s">
        <v>1802</v>
      </c>
      <c r="F388" s="3">
        <v>9</v>
      </c>
      <c r="G388" s="3">
        <v>5200</v>
      </c>
      <c r="H388" s="3">
        <v>41.7</v>
      </c>
      <c r="I388" s="3">
        <v>690</v>
      </c>
      <c r="J388" s="3">
        <v>1</v>
      </c>
      <c r="K388" s="4">
        <f t="shared" si="23"/>
        <v>41.739130434782609</v>
      </c>
      <c r="L388" s="3">
        <v>65</v>
      </c>
      <c r="M388" s="1">
        <v>154</v>
      </c>
      <c r="N388" s="1">
        <v>154.6</v>
      </c>
      <c r="O388" s="2">
        <f t="shared" si="24"/>
        <v>154.6</v>
      </c>
      <c r="P388" s="1">
        <v>40</v>
      </c>
      <c r="Q388" s="1">
        <v>6.6</v>
      </c>
      <c r="R388" s="1" t="s">
        <v>92</v>
      </c>
      <c r="S388" s="1" t="s">
        <v>1739</v>
      </c>
      <c r="T388" s="19" t="s">
        <v>1365</v>
      </c>
      <c r="U388" s="1" t="s">
        <v>1777</v>
      </c>
      <c r="V388" s="14">
        <v>0.02</v>
      </c>
      <c r="W388" s="1" t="s">
        <v>678</v>
      </c>
      <c r="X388" s="1" t="s">
        <v>94</v>
      </c>
      <c r="Y388" s="1"/>
      <c r="Z388" s="1"/>
    </row>
    <row r="389" spans="1:26" ht="25.2" customHeight="1" x14ac:dyDescent="0.3">
      <c r="A389" s="3" t="s">
        <v>1626</v>
      </c>
      <c r="B389" s="3" t="s">
        <v>1807</v>
      </c>
      <c r="C389" s="5">
        <v>46303</v>
      </c>
      <c r="D389" s="5">
        <v>46304</v>
      </c>
      <c r="E389" s="3" t="s">
        <v>1808</v>
      </c>
      <c r="F389" s="3">
        <v>3</v>
      </c>
      <c r="G389" s="3">
        <v>520</v>
      </c>
      <c r="H389" s="3">
        <v>39.4</v>
      </c>
      <c r="I389" s="3">
        <v>730</v>
      </c>
      <c r="J389" s="3">
        <v>1</v>
      </c>
      <c r="K389" s="4">
        <f t="shared" si="23"/>
        <v>39.452054794520549</v>
      </c>
      <c r="L389" s="3">
        <v>15</v>
      </c>
      <c r="M389" s="1">
        <v>61</v>
      </c>
      <c r="N389" s="1">
        <v>61.7</v>
      </c>
      <c r="O389" s="2">
        <f t="shared" si="24"/>
        <v>61.7</v>
      </c>
      <c r="P389" s="1">
        <v>75</v>
      </c>
      <c r="Q389" s="1">
        <v>4.75</v>
      </c>
      <c r="R389" s="1" t="s">
        <v>87</v>
      </c>
      <c r="S389" s="1" t="s">
        <v>1739</v>
      </c>
      <c r="T389" s="17" t="s">
        <v>206</v>
      </c>
      <c r="U389" s="1" t="s">
        <v>1809</v>
      </c>
      <c r="V389" s="14">
        <v>0.02</v>
      </c>
      <c r="W389" s="1" t="s">
        <v>678</v>
      </c>
      <c r="X389" s="1"/>
      <c r="Y389" s="1"/>
      <c r="Z389" s="1"/>
    </row>
    <row r="390" spans="1:26" ht="25.2" customHeight="1" x14ac:dyDescent="0.3">
      <c r="A390" s="3" t="s">
        <v>1627</v>
      </c>
      <c r="B390" s="3" t="s">
        <v>872</v>
      </c>
      <c r="C390" s="5">
        <v>46304</v>
      </c>
      <c r="D390" s="5">
        <v>46307</v>
      </c>
      <c r="E390" s="3" t="s">
        <v>1808</v>
      </c>
      <c r="F390" s="3">
        <v>3</v>
      </c>
      <c r="G390" s="3">
        <v>1097</v>
      </c>
      <c r="H390" s="3">
        <v>39.799999999999997</v>
      </c>
      <c r="I390" s="3">
        <v>723</v>
      </c>
      <c r="J390" s="3">
        <v>1</v>
      </c>
      <c r="K390" s="4">
        <f t="shared" si="23"/>
        <v>39.834024896265561</v>
      </c>
      <c r="L390" s="3">
        <v>23</v>
      </c>
      <c r="M390" s="1">
        <v>61.9</v>
      </c>
      <c r="N390" s="1">
        <v>62.4</v>
      </c>
      <c r="O390" s="2">
        <f t="shared" si="24"/>
        <v>62.4</v>
      </c>
      <c r="P390" s="1">
        <v>75</v>
      </c>
      <c r="Q390" s="1">
        <v>4.75</v>
      </c>
      <c r="R390" s="1" t="s">
        <v>87</v>
      </c>
      <c r="S390" s="1" t="s">
        <v>1757</v>
      </c>
      <c r="T390" s="17" t="s">
        <v>206</v>
      </c>
      <c r="U390" s="1" t="s">
        <v>874</v>
      </c>
      <c r="V390" s="14">
        <v>0.02</v>
      </c>
      <c r="W390" s="1" t="s">
        <v>1811</v>
      </c>
      <c r="X390" s="1"/>
      <c r="Y390" s="1"/>
      <c r="Z390" s="1"/>
    </row>
    <row r="391" spans="1:26" ht="25.2" customHeight="1" x14ac:dyDescent="0.3">
      <c r="A391" s="3" t="s">
        <v>1628</v>
      </c>
      <c r="B391" s="3" t="s">
        <v>875</v>
      </c>
      <c r="C391" s="5">
        <v>46307</v>
      </c>
      <c r="D391" s="5">
        <v>46307</v>
      </c>
      <c r="E391" s="3" t="s">
        <v>1808</v>
      </c>
      <c r="F391" s="3">
        <v>3</v>
      </c>
      <c r="G391" s="3">
        <v>1039</v>
      </c>
      <c r="H391" s="3">
        <v>39.799999999999997</v>
      </c>
      <c r="I391" s="3">
        <v>720</v>
      </c>
      <c r="J391" s="3">
        <v>1</v>
      </c>
      <c r="K391" s="4">
        <f t="shared" si="23"/>
        <v>40</v>
      </c>
      <c r="L391" s="3">
        <v>35</v>
      </c>
      <c r="M391" s="1">
        <v>60.9</v>
      </c>
      <c r="N391" s="1">
        <v>61.4</v>
      </c>
      <c r="O391" s="2">
        <f t="shared" si="24"/>
        <v>61.4</v>
      </c>
      <c r="P391" s="1">
        <v>75</v>
      </c>
      <c r="Q391" s="1">
        <v>4.75</v>
      </c>
      <c r="R391" s="1" t="s">
        <v>87</v>
      </c>
      <c r="S391" s="1" t="s">
        <v>1760</v>
      </c>
      <c r="T391" s="17" t="s">
        <v>133</v>
      </c>
      <c r="U391" s="1" t="s">
        <v>876</v>
      </c>
      <c r="V391" s="14">
        <v>0.02</v>
      </c>
      <c r="W391" s="1" t="s">
        <v>1816</v>
      </c>
      <c r="X391" s="1"/>
      <c r="Y391" s="1"/>
      <c r="Z391" s="1"/>
    </row>
    <row r="392" spans="1:26" ht="25.2" customHeight="1" x14ac:dyDescent="0.3">
      <c r="A392" s="3" t="s">
        <v>1629</v>
      </c>
      <c r="B392" s="3" t="s">
        <v>1819</v>
      </c>
      <c r="C392" s="5">
        <v>46308</v>
      </c>
      <c r="D392" s="3"/>
      <c r="E392" s="3" t="s">
        <v>1808</v>
      </c>
      <c r="F392" s="3">
        <v>3</v>
      </c>
      <c r="G392" s="3"/>
      <c r="H392" s="3"/>
      <c r="I392" s="3"/>
      <c r="J392" s="3">
        <v>1</v>
      </c>
      <c r="K392" s="4" t="e">
        <f t="shared" si="23"/>
        <v>#DIV/0!</v>
      </c>
      <c r="L392" s="3"/>
      <c r="M392" s="1">
        <v>61</v>
      </c>
      <c r="N392" s="1">
        <v>61.6</v>
      </c>
      <c r="O392" s="2">
        <f t="shared" si="24"/>
        <v>61.6</v>
      </c>
      <c r="P392" s="1">
        <v>75</v>
      </c>
      <c r="Q392" s="1">
        <v>4.75</v>
      </c>
      <c r="R392" s="1" t="s">
        <v>87</v>
      </c>
      <c r="S392" s="1" t="s">
        <v>1763</v>
      </c>
      <c r="T392" s="17" t="s">
        <v>206</v>
      </c>
      <c r="U392" s="1" t="s">
        <v>207</v>
      </c>
      <c r="V392" s="14">
        <v>0.02</v>
      </c>
      <c r="W392" s="1" t="s">
        <v>103</v>
      </c>
      <c r="X392" s="1"/>
      <c r="Y392" s="1"/>
      <c r="Z392" s="1"/>
    </row>
    <row r="393" spans="1:26" ht="25.2" customHeight="1" x14ac:dyDescent="0.3">
      <c r="A393" s="3" t="s">
        <v>1630</v>
      </c>
      <c r="B393" s="3"/>
      <c r="C393" s="3"/>
      <c r="D393" s="3"/>
      <c r="E393" s="3"/>
      <c r="F393" s="3"/>
      <c r="G393" s="3"/>
      <c r="H393" s="3"/>
      <c r="I393" s="3"/>
      <c r="J393" s="3"/>
      <c r="K393" s="4" t="e">
        <f t="shared" si="23"/>
        <v>#DIV/0!</v>
      </c>
      <c r="L393" s="3"/>
      <c r="M393" s="1"/>
      <c r="N393" s="1"/>
      <c r="O393" s="2" t="e">
        <f t="shared" si="24"/>
        <v>#DIV/0!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2" customHeight="1" x14ac:dyDescent="0.3">
      <c r="A394" s="3" t="s">
        <v>1631</v>
      </c>
      <c r="B394" s="3" t="s">
        <v>1820</v>
      </c>
      <c r="C394" s="5">
        <v>46308</v>
      </c>
      <c r="D394" s="3"/>
      <c r="E394" s="3" t="s">
        <v>1821</v>
      </c>
      <c r="F394" s="3">
        <v>9</v>
      </c>
      <c r="G394" s="3"/>
      <c r="H394" s="3"/>
      <c r="I394" s="3"/>
      <c r="J394" s="3">
        <v>1</v>
      </c>
      <c r="K394" s="4" t="e">
        <f t="shared" si="23"/>
        <v>#DIV/0!</v>
      </c>
      <c r="L394" s="3"/>
      <c r="M394" s="1">
        <v>154</v>
      </c>
      <c r="N394" s="1">
        <v>154.69999999999999</v>
      </c>
      <c r="O394" s="2">
        <f t="shared" si="24"/>
        <v>154.69999999999999</v>
      </c>
      <c r="P394" s="1">
        <v>40</v>
      </c>
      <c r="Q394" s="1">
        <v>6.6</v>
      </c>
      <c r="R394" s="1" t="s">
        <v>92</v>
      </c>
      <c r="S394" s="1" t="s">
        <v>1739</v>
      </c>
      <c r="T394" s="11" t="s">
        <v>346</v>
      </c>
      <c r="U394" s="1" t="s">
        <v>1822</v>
      </c>
      <c r="V394" s="14">
        <v>0.02</v>
      </c>
      <c r="W394" s="1" t="s">
        <v>94</v>
      </c>
      <c r="X394" s="1"/>
      <c r="Y394" s="1"/>
      <c r="Z394" s="1"/>
    </row>
    <row r="395" spans="1:26" ht="25.2" customHeight="1" x14ac:dyDescent="0.3">
      <c r="A395" s="3" t="s">
        <v>1632</v>
      </c>
      <c r="B395" s="3"/>
      <c r="C395" s="3"/>
      <c r="D395" s="3"/>
      <c r="E395" s="3"/>
      <c r="F395" s="3"/>
      <c r="G395" s="3"/>
      <c r="H395" s="3"/>
      <c r="I395" s="3"/>
      <c r="J395" s="3"/>
      <c r="K395" s="4" t="e">
        <f t="shared" si="23"/>
        <v>#DIV/0!</v>
      </c>
      <c r="L395" s="3"/>
      <c r="M395" s="1"/>
      <c r="N395" s="1"/>
      <c r="O395" s="2" t="e">
        <f t="shared" si="24"/>
        <v>#DIV/0!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2" customHeight="1" x14ac:dyDescent="0.3">
      <c r="A396" s="3" t="s">
        <v>1633</v>
      </c>
      <c r="B396" s="3"/>
      <c r="C396" s="3"/>
      <c r="D396" s="3"/>
      <c r="E396" s="3"/>
      <c r="F396" s="3"/>
      <c r="G396" s="3"/>
      <c r="H396" s="3"/>
      <c r="I396" s="3"/>
      <c r="J396" s="3"/>
      <c r="K396" s="4" t="e">
        <f t="shared" si="23"/>
        <v>#DIV/0!</v>
      </c>
      <c r="L396" s="3"/>
      <c r="M396" s="1"/>
      <c r="N396" s="1"/>
      <c r="O396" s="2" t="e">
        <f t="shared" si="24"/>
        <v>#DIV/0!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2" customHeight="1" x14ac:dyDescent="0.3">
      <c r="A397" s="3" t="s">
        <v>1634</v>
      </c>
      <c r="B397" s="3"/>
      <c r="C397" s="3"/>
      <c r="D397" s="3"/>
      <c r="E397" s="3"/>
      <c r="F397" s="3"/>
      <c r="G397" s="3"/>
      <c r="H397" s="3"/>
      <c r="I397" s="3"/>
      <c r="J397" s="3"/>
      <c r="K397" s="4" t="e">
        <f t="shared" si="23"/>
        <v>#DIV/0!</v>
      </c>
      <c r="L397" s="3"/>
      <c r="M397" s="1"/>
      <c r="N397" s="1"/>
      <c r="O397" s="2" t="e">
        <f t="shared" si="24"/>
        <v>#DIV/0!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2" customHeight="1" x14ac:dyDescent="0.3">
      <c r="A398" s="3" t="s">
        <v>1635</v>
      </c>
      <c r="B398" s="3"/>
      <c r="C398" s="3"/>
      <c r="D398" s="3"/>
      <c r="E398" s="3"/>
      <c r="F398" s="3"/>
      <c r="G398" s="3"/>
      <c r="H398" s="3"/>
      <c r="I398" s="3"/>
      <c r="J398" s="3"/>
      <c r="K398" s="4" t="e">
        <f t="shared" si="23"/>
        <v>#DIV/0!</v>
      </c>
      <c r="L398" s="3"/>
      <c r="M398" s="1"/>
      <c r="N398" s="1"/>
      <c r="O398" s="2" t="e">
        <f t="shared" si="24"/>
        <v>#DIV/0!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2" customHeight="1" x14ac:dyDescent="0.3">
      <c r="A399" s="3" t="s">
        <v>1636</v>
      </c>
      <c r="B399" s="3"/>
      <c r="C399" s="3"/>
      <c r="D399" s="3"/>
      <c r="E399" s="3"/>
      <c r="F399" s="3"/>
      <c r="G399" s="3"/>
      <c r="H399" s="3"/>
      <c r="I399" s="3"/>
      <c r="J399" s="3"/>
      <c r="K399" s="4" t="e">
        <f t="shared" si="23"/>
        <v>#DIV/0!</v>
      </c>
      <c r="L399" s="3"/>
      <c r="M399" s="1"/>
      <c r="N399" s="1"/>
      <c r="O399" s="2" t="e">
        <f t="shared" si="24"/>
        <v>#DIV/0!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2" customHeight="1" x14ac:dyDescent="0.3">
      <c r="A400" s="3" t="s">
        <v>1637</v>
      </c>
      <c r="B400" s="3"/>
      <c r="C400" s="3"/>
      <c r="D400" s="3"/>
      <c r="E400" s="3"/>
      <c r="F400" s="3"/>
      <c r="G400" s="3"/>
      <c r="H400" s="3"/>
      <c r="I400" s="3"/>
      <c r="J400" s="3"/>
      <c r="K400" s="4" t="e">
        <f t="shared" si="23"/>
        <v>#DIV/0!</v>
      </c>
      <c r="L400" s="3"/>
      <c r="M400" s="1"/>
      <c r="N400" s="1"/>
      <c r="O400" s="2" t="e">
        <f t="shared" si="24"/>
        <v>#DIV/0!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2" customHeight="1" x14ac:dyDescent="0.3">
      <c r="A401" s="3" t="s">
        <v>1638</v>
      </c>
      <c r="B401" s="3"/>
      <c r="C401" s="3"/>
      <c r="D401" s="3"/>
      <c r="E401" s="3"/>
      <c r="F401" s="3"/>
      <c r="G401" s="3"/>
      <c r="H401" s="3"/>
      <c r="I401" s="3"/>
      <c r="J401" s="3"/>
      <c r="K401" s="4" t="e">
        <f t="shared" si="23"/>
        <v>#DIV/0!</v>
      </c>
      <c r="L401" s="3"/>
      <c r="M401" s="1"/>
      <c r="N401" s="1"/>
      <c r="O401" s="2" t="e">
        <f t="shared" si="24"/>
        <v>#DIV/0!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2" customHeight="1" x14ac:dyDescent="0.3">
      <c r="A402" s="3" t="s">
        <v>1639</v>
      </c>
      <c r="B402" s="3"/>
      <c r="C402" s="3"/>
      <c r="D402" s="3"/>
      <c r="E402" s="3"/>
      <c r="F402" s="3"/>
      <c r="G402" s="3"/>
      <c r="H402" s="3"/>
      <c r="I402" s="3"/>
      <c r="J402" s="3"/>
      <c r="K402" s="4" t="e">
        <f t="shared" si="23"/>
        <v>#DIV/0!</v>
      </c>
      <c r="L402" s="3"/>
      <c r="M402" s="1"/>
      <c r="N402" s="1"/>
      <c r="O402" s="2" t="e">
        <f t="shared" si="24"/>
        <v>#DIV/0!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2" customHeight="1" x14ac:dyDescent="0.3">
      <c r="A403" s="3" t="s">
        <v>1640</v>
      </c>
      <c r="B403" s="3"/>
      <c r="C403" s="3"/>
      <c r="D403" s="3"/>
      <c r="E403" s="3"/>
      <c r="F403" s="3"/>
      <c r="G403" s="3"/>
      <c r="H403" s="3"/>
      <c r="I403" s="3"/>
      <c r="J403" s="3"/>
      <c r="K403" s="4" t="e">
        <f t="shared" si="23"/>
        <v>#DIV/0!</v>
      </c>
      <c r="L403" s="3"/>
      <c r="M403" s="1"/>
      <c r="N403" s="1"/>
      <c r="O403" s="2" t="e">
        <f t="shared" si="24"/>
        <v>#DIV/0!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2" customHeight="1" x14ac:dyDescent="0.3">
      <c r="A404" s="3" t="s">
        <v>1641</v>
      </c>
      <c r="B404" s="3"/>
      <c r="C404" s="3"/>
      <c r="D404" s="3"/>
      <c r="E404" s="3"/>
      <c r="F404" s="3"/>
      <c r="G404" s="3"/>
      <c r="H404" s="3"/>
      <c r="I404" s="3"/>
      <c r="J404" s="3"/>
      <c r="K404" s="4" t="e">
        <f t="shared" si="23"/>
        <v>#DIV/0!</v>
      </c>
      <c r="L404" s="3"/>
      <c r="M404" s="1"/>
      <c r="N404" s="1"/>
      <c r="O404" s="2" t="e">
        <f t="shared" si="24"/>
        <v>#DIV/0!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2" customHeight="1" x14ac:dyDescent="0.3">
      <c r="A405" s="3" t="s">
        <v>1642</v>
      </c>
      <c r="B405" s="3"/>
      <c r="C405" s="3"/>
      <c r="D405" s="3"/>
      <c r="E405" s="3"/>
      <c r="F405" s="3"/>
      <c r="G405" s="3"/>
      <c r="H405" s="3"/>
      <c r="I405" s="3"/>
      <c r="J405" s="3"/>
      <c r="K405" s="4" t="e">
        <f t="shared" si="23"/>
        <v>#DIV/0!</v>
      </c>
      <c r="L405" s="3"/>
      <c r="M405" s="1"/>
      <c r="N405" s="1"/>
      <c r="O405" s="2" t="e">
        <f t="shared" si="24"/>
        <v>#DIV/0!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2" customHeight="1" x14ac:dyDescent="0.3">
      <c r="A406" s="3" t="s">
        <v>1643</v>
      </c>
      <c r="B406" s="3"/>
      <c r="C406" s="3"/>
      <c r="D406" s="3"/>
      <c r="E406" s="3"/>
      <c r="F406" s="3"/>
      <c r="G406" s="3"/>
      <c r="H406" s="3"/>
      <c r="I406" s="3"/>
      <c r="J406" s="3"/>
      <c r="K406" s="4" t="e">
        <f t="shared" si="23"/>
        <v>#DIV/0!</v>
      </c>
      <c r="L406" s="3"/>
      <c r="M406" s="1"/>
      <c r="N406" s="1"/>
      <c r="O406" s="2" t="e">
        <f t="shared" si="24"/>
        <v>#DIV/0!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2" customHeight="1" x14ac:dyDescent="0.3">
      <c r="A407" s="3" t="s">
        <v>1644</v>
      </c>
      <c r="B407" s="3"/>
      <c r="C407" s="3"/>
      <c r="D407" s="3"/>
      <c r="E407" s="3"/>
      <c r="F407" s="3"/>
      <c r="G407" s="3"/>
      <c r="H407" s="3"/>
      <c r="I407" s="3"/>
      <c r="J407" s="3"/>
      <c r="K407" s="4" t="e">
        <f t="shared" si="23"/>
        <v>#DIV/0!</v>
      </c>
      <c r="L407" s="3"/>
      <c r="M407" s="1"/>
      <c r="N407" s="1"/>
      <c r="O407" s="2" t="e">
        <f t="shared" si="24"/>
        <v>#DIV/0!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2" customHeight="1" x14ac:dyDescent="0.3">
      <c r="A408" s="3" t="s">
        <v>1645</v>
      </c>
      <c r="B408" s="3"/>
      <c r="C408" s="3"/>
      <c r="D408" s="3"/>
      <c r="E408" s="3"/>
      <c r="F408" s="3"/>
      <c r="G408" s="3"/>
      <c r="H408" s="3"/>
      <c r="I408" s="3"/>
      <c r="J408" s="3"/>
      <c r="K408" s="4" t="e">
        <f t="shared" si="23"/>
        <v>#DIV/0!</v>
      </c>
      <c r="L408" s="3"/>
      <c r="M408" s="1"/>
      <c r="N408" s="1"/>
      <c r="O408" s="2" t="e">
        <f t="shared" si="24"/>
        <v>#DIV/0!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2" customHeight="1" x14ac:dyDescent="0.3">
      <c r="A409" s="3" t="s">
        <v>1646</v>
      </c>
      <c r="B409" s="3"/>
      <c r="C409" s="3"/>
      <c r="D409" s="3"/>
      <c r="E409" s="3"/>
      <c r="F409" s="3"/>
      <c r="G409" s="3"/>
      <c r="H409" s="3"/>
      <c r="I409" s="3"/>
      <c r="J409" s="3"/>
      <c r="K409" s="4" t="e">
        <f t="shared" si="23"/>
        <v>#DIV/0!</v>
      </c>
      <c r="L409" s="3"/>
      <c r="M409" s="1"/>
      <c r="N409" s="1"/>
      <c r="O409" s="2" t="e">
        <f t="shared" si="24"/>
        <v>#DIV/0!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2" customHeight="1" x14ac:dyDescent="0.3">
      <c r="A410" s="3" t="s">
        <v>1647</v>
      </c>
      <c r="B410" s="3"/>
      <c r="C410" s="3"/>
      <c r="D410" s="3"/>
      <c r="E410" s="3"/>
      <c r="F410" s="3"/>
      <c r="G410" s="3"/>
      <c r="H410" s="3"/>
      <c r="I410" s="3"/>
      <c r="J410" s="3"/>
      <c r="K410" s="4" t="e">
        <f t="shared" si="23"/>
        <v>#DIV/0!</v>
      </c>
      <c r="L410" s="3"/>
      <c r="M410" s="1"/>
      <c r="N410" s="1"/>
      <c r="O410" s="2" t="e">
        <f t="shared" si="24"/>
        <v>#DIV/0!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2" customHeight="1" x14ac:dyDescent="0.3">
      <c r="A411" s="3" t="s">
        <v>1648</v>
      </c>
      <c r="B411" s="3"/>
      <c r="C411" s="3"/>
      <c r="D411" s="3"/>
      <c r="E411" s="3"/>
      <c r="F411" s="3"/>
      <c r="G411" s="3"/>
      <c r="H411" s="3"/>
      <c r="I411" s="3"/>
      <c r="J411" s="3"/>
      <c r="K411" s="4" t="e">
        <f t="shared" si="23"/>
        <v>#DIV/0!</v>
      </c>
      <c r="L411" s="3"/>
      <c r="M411" s="1"/>
      <c r="N411" s="1"/>
      <c r="O411" s="2" t="e">
        <f t="shared" si="24"/>
        <v>#DIV/0!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2" customHeight="1" x14ac:dyDescent="0.3">
      <c r="A412" s="3" t="s">
        <v>1649</v>
      </c>
      <c r="B412" s="3"/>
      <c r="C412" s="3"/>
      <c r="D412" s="3"/>
      <c r="E412" s="3"/>
      <c r="F412" s="3"/>
      <c r="G412" s="3"/>
      <c r="H412" s="3"/>
      <c r="I412" s="3"/>
      <c r="J412" s="3"/>
      <c r="K412" s="4" t="e">
        <f t="shared" si="23"/>
        <v>#DIV/0!</v>
      </c>
      <c r="L412" s="3"/>
      <c r="M412" s="1"/>
      <c r="N412" s="1"/>
      <c r="O412" s="2" t="e">
        <f t="shared" si="24"/>
        <v>#DIV/0!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2" customHeight="1" x14ac:dyDescent="0.3">
      <c r="A413" s="3" t="s">
        <v>1650</v>
      </c>
      <c r="B413" s="3"/>
      <c r="C413" s="3"/>
      <c r="D413" s="3"/>
      <c r="E413" s="3"/>
      <c r="F413" s="3"/>
      <c r="G413" s="3"/>
      <c r="H413" s="3"/>
      <c r="I413" s="3"/>
      <c r="J413" s="3"/>
      <c r="K413" s="4" t="e">
        <f t="shared" si="23"/>
        <v>#DIV/0!</v>
      </c>
      <c r="L413" s="3"/>
      <c r="M413" s="1"/>
      <c r="N413" s="1"/>
      <c r="O413" s="2" t="e">
        <f t="shared" si="24"/>
        <v>#DIV/0!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2" customHeight="1" x14ac:dyDescent="0.3">
      <c r="A414" s="3" t="s">
        <v>1651</v>
      </c>
      <c r="B414" s="3"/>
      <c r="C414" s="3"/>
      <c r="D414" s="3"/>
      <c r="E414" s="3"/>
      <c r="F414" s="3"/>
      <c r="G414" s="3"/>
      <c r="H414" s="3"/>
      <c r="I414" s="3"/>
      <c r="J414" s="3"/>
      <c r="K414" s="4" t="e">
        <f t="shared" si="23"/>
        <v>#DIV/0!</v>
      </c>
      <c r="L414" s="3"/>
      <c r="M414" s="1"/>
      <c r="N414" s="1"/>
      <c r="O414" s="2" t="e">
        <f t="shared" si="24"/>
        <v>#DIV/0!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2" customHeight="1" x14ac:dyDescent="0.3">
      <c r="A415" s="3" t="s">
        <v>1652</v>
      </c>
      <c r="B415" s="3"/>
      <c r="C415" s="3"/>
      <c r="D415" s="3"/>
      <c r="E415" s="3"/>
      <c r="F415" s="3"/>
      <c r="G415" s="3"/>
      <c r="H415" s="3"/>
      <c r="I415" s="3"/>
      <c r="J415" s="3"/>
      <c r="K415" s="4" t="e">
        <f t="shared" si="23"/>
        <v>#DIV/0!</v>
      </c>
      <c r="L415" s="3"/>
      <c r="M415" s="1"/>
      <c r="N415" s="1"/>
      <c r="O415" s="2" t="e">
        <f t="shared" si="24"/>
        <v>#DIV/0!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2" customHeight="1" x14ac:dyDescent="0.3">
      <c r="A416" s="3" t="s">
        <v>1653</v>
      </c>
      <c r="B416" s="3"/>
      <c r="C416" s="3"/>
      <c r="D416" s="3"/>
      <c r="E416" s="3"/>
      <c r="F416" s="3"/>
      <c r="G416" s="3"/>
      <c r="H416" s="3"/>
      <c r="I416" s="3"/>
      <c r="J416" s="3"/>
      <c r="K416" s="4" t="e">
        <f t="shared" si="23"/>
        <v>#DIV/0!</v>
      </c>
      <c r="L416" s="3"/>
      <c r="M416" s="1"/>
      <c r="N416" s="1"/>
      <c r="O416" s="2" t="e">
        <f t="shared" si="24"/>
        <v>#DIV/0!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2" customHeight="1" x14ac:dyDescent="0.3">
      <c r="A417" s="3" t="s">
        <v>1654</v>
      </c>
      <c r="B417" s="3"/>
      <c r="C417" s="3"/>
      <c r="D417" s="3"/>
      <c r="E417" s="3"/>
      <c r="F417" s="3"/>
      <c r="G417" s="3"/>
      <c r="H417" s="3"/>
      <c r="I417" s="3"/>
      <c r="J417" s="3"/>
      <c r="K417" s="4" t="e">
        <f t="shared" si="23"/>
        <v>#DIV/0!</v>
      </c>
      <c r="L417" s="3"/>
      <c r="M417" s="1"/>
      <c r="N417" s="1"/>
      <c r="O417" s="2" t="e">
        <f t="shared" si="24"/>
        <v>#DIV/0!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2" customHeight="1" x14ac:dyDescent="0.3">
      <c r="A418" s="3" t="s">
        <v>1655</v>
      </c>
      <c r="B418" s="3"/>
      <c r="C418" s="3"/>
      <c r="D418" s="3"/>
      <c r="E418" s="3"/>
      <c r="F418" s="3"/>
      <c r="G418" s="3"/>
      <c r="H418" s="3"/>
      <c r="I418" s="3"/>
      <c r="J418" s="3"/>
      <c r="K418" s="4" t="e">
        <f t="shared" si="23"/>
        <v>#DIV/0!</v>
      </c>
      <c r="L418" s="3"/>
      <c r="M418" s="1"/>
      <c r="N418" s="1"/>
      <c r="O418" s="2" t="e">
        <f t="shared" si="24"/>
        <v>#DIV/0!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2" customHeight="1" x14ac:dyDescent="0.3">
      <c r="A419" s="3" t="s">
        <v>1656</v>
      </c>
      <c r="B419" s="3"/>
      <c r="C419" s="3"/>
      <c r="D419" s="3"/>
      <c r="E419" s="3"/>
      <c r="F419" s="3"/>
      <c r="G419" s="3"/>
      <c r="H419" s="3"/>
      <c r="I419" s="3"/>
      <c r="J419" s="3"/>
      <c r="K419" s="4" t="e">
        <f t="shared" si="23"/>
        <v>#DIV/0!</v>
      </c>
      <c r="L419" s="3"/>
      <c r="M419" s="1"/>
      <c r="N419" s="1"/>
      <c r="O419" s="2" t="e">
        <f t="shared" si="24"/>
        <v>#DIV/0!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2" customHeight="1" x14ac:dyDescent="0.3">
      <c r="A420" s="3" t="s">
        <v>1657</v>
      </c>
      <c r="B420" s="3"/>
      <c r="C420" s="3"/>
      <c r="D420" s="3"/>
      <c r="E420" s="3"/>
      <c r="F420" s="3"/>
      <c r="G420" s="3"/>
      <c r="H420" s="3"/>
      <c r="I420" s="3"/>
      <c r="J420" s="3"/>
      <c r="K420" s="4" t="e">
        <f t="shared" si="23"/>
        <v>#DIV/0!</v>
      </c>
      <c r="L420" s="3"/>
      <c r="M420" s="1"/>
      <c r="N420" s="1"/>
      <c r="O420" s="2" t="e">
        <f t="shared" si="24"/>
        <v>#DIV/0!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2" customHeight="1" x14ac:dyDescent="0.3">
      <c r="A421" s="3" t="s">
        <v>1658</v>
      </c>
      <c r="B421" s="3"/>
      <c r="C421" s="3"/>
      <c r="D421" s="3"/>
      <c r="E421" s="3"/>
      <c r="F421" s="3"/>
      <c r="G421" s="3"/>
      <c r="H421" s="3"/>
      <c r="I421" s="3"/>
      <c r="J421" s="3"/>
      <c r="K421" s="4" t="e">
        <f t="shared" si="23"/>
        <v>#DIV/0!</v>
      </c>
      <c r="L421" s="3"/>
      <c r="M421" s="1"/>
      <c r="N421" s="1"/>
      <c r="O421" s="2" t="e">
        <f t="shared" si="24"/>
        <v>#DIV/0!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2" customHeight="1" x14ac:dyDescent="0.3">
      <c r="A422" s="3" t="s">
        <v>1659</v>
      </c>
      <c r="B422" s="3"/>
      <c r="C422" s="3"/>
      <c r="D422" s="3"/>
      <c r="E422" s="3"/>
      <c r="F422" s="3"/>
      <c r="G422" s="3"/>
      <c r="H422" s="3"/>
      <c r="I422" s="3"/>
      <c r="J422" s="3"/>
      <c r="K422" s="4" t="e">
        <f t="shared" ref="K422:K452" si="25">(3600/(I422/8))*J422</f>
        <v>#DIV/0!</v>
      </c>
      <c r="L422" s="3"/>
      <c r="M422" s="1"/>
      <c r="N422" s="1"/>
      <c r="O422" s="2" t="e">
        <f t="shared" ref="O422:O452" si="26">N422/J422</f>
        <v>#DIV/0!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2" customHeight="1" x14ac:dyDescent="0.3">
      <c r="A423" s="3" t="s">
        <v>1660</v>
      </c>
      <c r="B423" s="3"/>
      <c r="C423" s="3"/>
      <c r="D423" s="3"/>
      <c r="E423" s="3"/>
      <c r="F423" s="3"/>
      <c r="G423" s="3"/>
      <c r="H423" s="3"/>
      <c r="I423" s="3"/>
      <c r="J423" s="3"/>
      <c r="K423" s="4" t="e">
        <f t="shared" si="25"/>
        <v>#DIV/0!</v>
      </c>
      <c r="L423" s="3"/>
      <c r="M423" s="1"/>
      <c r="N423" s="1"/>
      <c r="O423" s="2" t="e">
        <f t="shared" si="26"/>
        <v>#DIV/0!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2" customHeight="1" x14ac:dyDescent="0.3">
      <c r="A424" s="3" t="s">
        <v>1661</v>
      </c>
      <c r="B424" s="3"/>
      <c r="C424" s="3"/>
      <c r="D424" s="3"/>
      <c r="E424" s="3"/>
      <c r="F424" s="3"/>
      <c r="G424" s="3"/>
      <c r="H424" s="3"/>
      <c r="I424" s="3"/>
      <c r="J424" s="3"/>
      <c r="K424" s="4" t="e">
        <f t="shared" si="25"/>
        <v>#DIV/0!</v>
      </c>
      <c r="L424" s="3"/>
      <c r="M424" s="1"/>
      <c r="N424" s="1"/>
      <c r="O424" s="2" t="e">
        <f t="shared" si="26"/>
        <v>#DIV/0!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2" customHeight="1" x14ac:dyDescent="0.3">
      <c r="A425" s="3" t="s">
        <v>1662</v>
      </c>
      <c r="B425" s="3"/>
      <c r="C425" s="3"/>
      <c r="D425" s="3"/>
      <c r="E425" s="3"/>
      <c r="F425" s="3"/>
      <c r="G425" s="3"/>
      <c r="H425" s="3"/>
      <c r="I425" s="3"/>
      <c r="J425" s="3"/>
      <c r="K425" s="4" t="e">
        <f t="shared" si="25"/>
        <v>#DIV/0!</v>
      </c>
      <c r="L425" s="3"/>
      <c r="M425" s="1"/>
      <c r="N425" s="1"/>
      <c r="O425" s="2" t="e">
        <f t="shared" si="26"/>
        <v>#DIV/0!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2" customHeight="1" x14ac:dyDescent="0.3">
      <c r="A426" s="3" t="s">
        <v>1663</v>
      </c>
      <c r="B426" s="3"/>
      <c r="C426" s="3"/>
      <c r="D426" s="3"/>
      <c r="E426" s="3"/>
      <c r="F426" s="3"/>
      <c r="G426" s="3"/>
      <c r="H426" s="3"/>
      <c r="I426" s="3"/>
      <c r="J426" s="3"/>
      <c r="K426" s="4" t="e">
        <f t="shared" si="25"/>
        <v>#DIV/0!</v>
      </c>
      <c r="L426" s="3"/>
      <c r="M426" s="1"/>
      <c r="N426" s="1"/>
      <c r="O426" s="2" t="e">
        <f t="shared" si="26"/>
        <v>#DIV/0!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2" customHeight="1" x14ac:dyDescent="0.3">
      <c r="A427" s="3" t="s">
        <v>1664</v>
      </c>
      <c r="B427" s="3"/>
      <c r="C427" s="3"/>
      <c r="D427" s="3"/>
      <c r="E427" s="3"/>
      <c r="F427" s="3"/>
      <c r="G427" s="3"/>
      <c r="H427" s="3"/>
      <c r="I427" s="3"/>
      <c r="J427" s="3"/>
      <c r="K427" s="4" t="e">
        <f t="shared" si="25"/>
        <v>#DIV/0!</v>
      </c>
      <c r="L427" s="3"/>
      <c r="M427" s="1"/>
      <c r="N427" s="1"/>
      <c r="O427" s="2" t="e">
        <f t="shared" si="26"/>
        <v>#DIV/0!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2" customHeight="1" x14ac:dyDescent="0.3">
      <c r="A428" s="3" t="s">
        <v>1665</v>
      </c>
      <c r="B428" s="3"/>
      <c r="C428" s="3"/>
      <c r="D428" s="3"/>
      <c r="E428" s="3"/>
      <c r="F428" s="3"/>
      <c r="G428" s="3"/>
      <c r="H428" s="3"/>
      <c r="I428" s="3"/>
      <c r="J428" s="3"/>
      <c r="K428" s="4" t="e">
        <f t="shared" si="25"/>
        <v>#DIV/0!</v>
      </c>
      <c r="L428" s="3"/>
      <c r="M428" s="1"/>
      <c r="N428" s="1"/>
      <c r="O428" s="2" t="e">
        <f t="shared" si="26"/>
        <v>#DIV/0!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2" customHeight="1" x14ac:dyDescent="0.3">
      <c r="A429" s="3" t="s">
        <v>1666</v>
      </c>
      <c r="B429" s="3"/>
      <c r="C429" s="3"/>
      <c r="D429" s="3"/>
      <c r="E429" s="3"/>
      <c r="F429" s="3"/>
      <c r="G429" s="3"/>
      <c r="H429" s="3"/>
      <c r="I429" s="3"/>
      <c r="J429" s="3"/>
      <c r="K429" s="4" t="e">
        <f t="shared" si="25"/>
        <v>#DIV/0!</v>
      </c>
      <c r="L429" s="3"/>
      <c r="M429" s="1"/>
      <c r="N429" s="1"/>
      <c r="O429" s="2" t="e">
        <f t="shared" si="26"/>
        <v>#DIV/0!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2" customHeight="1" x14ac:dyDescent="0.3">
      <c r="A430" s="3" t="s">
        <v>1667</v>
      </c>
      <c r="B430" s="3"/>
      <c r="C430" s="3"/>
      <c r="D430" s="3"/>
      <c r="E430" s="3"/>
      <c r="F430" s="3"/>
      <c r="G430" s="3"/>
      <c r="H430" s="3"/>
      <c r="I430" s="3"/>
      <c r="J430" s="3"/>
      <c r="K430" s="4" t="e">
        <f t="shared" si="25"/>
        <v>#DIV/0!</v>
      </c>
      <c r="L430" s="3"/>
      <c r="M430" s="1"/>
      <c r="N430" s="1"/>
      <c r="O430" s="2" t="e">
        <f t="shared" si="26"/>
        <v>#DIV/0!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2" customHeight="1" x14ac:dyDescent="0.3">
      <c r="A431" s="3" t="s">
        <v>1668</v>
      </c>
      <c r="B431" s="3"/>
      <c r="C431" s="3"/>
      <c r="D431" s="3"/>
      <c r="E431" s="3"/>
      <c r="F431" s="3"/>
      <c r="G431" s="3"/>
      <c r="H431" s="3"/>
      <c r="I431" s="3"/>
      <c r="J431" s="3"/>
      <c r="K431" s="4" t="e">
        <f t="shared" si="25"/>
        <v>#DIV/0!</v>
      </c>
      <c r="L431" s="3"/>
      <c r="M431" s="1"/>
      <c r="N431" s="1"/>
      <c r="O431" s="2" t="e">
        <f t="shared" si="26"/>
        <v>#DIV/0!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2" customHeight="1" x14ac:dyDescent="0.3">
      <c r="A432" s="3" t="s">
        <v>1669</v>
      </c>
      <c r="B432" s="3"/>
      <c r="C432" s="3"/>
      <c r="D432" s="3"/>
      <c r="E432" s="3"/>
      <c r="F432" s="3"/>
      <c r="G432" s="3"/>
      <c r="H432" s="3"/>
      <c r="I432" s="3"/>
      <c r="J432" s="3"/>
      <c r="K432" s="4" t="e">
        <f t="shared" si="25"/>
        <v>#DIV/0!</v>
      </c>
      <c r="L432" s="3"/>
      <c r="M432" s="1"/>
      <c r="N432" s="1"/>
      <c r="O432" s="2" t="e">
        <f t="shared" si="26"/>
        <v>#DIV/0!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2" customHeight="1" x14ac:dyDescent="0.3">
      <c r="A433" s="3" t="s">
        <v>1670</v>
      </c>
      <c r="B433" s="3"/>
      <c r="C433" s="3"/>
      <c r="D433" s="3"/>
      <c r="E433" s="3"/>
      <c r="F433" s="3"/>
      <c r="G433" s="3"/>
      <c r="H433" s="3"/>
      <c r="I433" s="3"/>
      <c r="J433" s="3"/>
      <c r="K433" s="4" t="e">
        <f t="shared" si="25"/>
        <v>#DIV/0!</v>
      </c>
      <c r="L433" s="3"/>
      <c r="M433" s="1"/>
      <c r="N433" s="1"/>
      <c r="O433" s="2" t="e">
        <f t="shared" si="26"/>
        <v>#DIV/0!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2" customHeight="1" x14ac:dyDescent="0.3">
      <c r="A434" s="3" t="s">
        <v>1671</v>
      </c>
      <c r="B434" s="3"/>
      <c r="C434" s="3"/>
      <c r="D434" s="3"/>
      <c r="E434" s="3"/>
      <c r="F434" s="3"/>
      <c r="G434" s="3"/>
      <c r="H434" s="3"/>
      <c r="I434" s="3"/>
      <c r="J434" s="3"/>
      <c r="K434" s="4" t="e">
        <f t="shared" si="25"/>
        <v>#DIV/0!</v>
      </c>
      <c r="L434" s="3"/>
      <c r="M434" s="1"/>
      <c r="N434" s="1"/>
      <c r="O434" s="2" t="e">
        <f t="shared" si="26"/>
        <v>#DIV/0!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2" customHeight="1" x14ac:dyDescent="0.3">
      <c r="A435" s="3" t="s">
        <v>1672</v>
      </c>
      <c r="B435" s="3"/>
      <c r="C435" s="3"/>
      <c r="D435" s="3"/>
      <c r="E435" s="3"/>
      <c r="F435" s="3"/>
      <c r="G435" s="3"/>
      <c r="H435" s="3"/>
      <c r="I435" s="3"/>
      <c r="J435" s="3"/>
      <c r="K435" s="4" t="e">
        <f t="shared" si="25"/>
        <v>#DIV/0!</v>
      </c>
      <c r="L435" s="3"/>
      <c r="M435" s="1"/>
      <c r="N435" s="1"/>
      <c r="O435" s="2" t="e">
        <f t="shared" si="26"/>
        <v>#DIV/0!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2" customHeight="1" x14ac:dyDescent="0.3">
      <c r="A436" s="3" t="s">
        <v>1673</v>
      </c>
      <c r="B436" s="3"/>
      <c r="C436" s="3"/>
      <c r="D436" s="3"/>
      <c r="E436" s="3"/>
      <c r="F436" s="3"/>
      <c r="G436" s="3"/>
      <c r="H436" s="3"/>
      <c r="I436" s="3"/>
      <c r="J436" s="3"/>
      <c r="K436" s="4" t="e">
        <f t="shared" si="25"/>
        <v>#DIV/0!</v>
      </c>
      <c r="L436" s="3"/>
      <c r="M436" s="1"/>
      <c r="N436" s="1"/>
      <c r="O436" s="2" t="e">
        <f t="shared" si="26"/>
        <v>#DIV/0!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2" customHeight="1" x14ac:dyDescent="0.3">
      <c r="A437" s="3" t="s">
        <v>1674</v>
      </c>
      <c r="B437" s="3"/>
      <c r="C437" s="3"/>
      <c r="D437" s="3"/>
      <c r="E437" s="3"/>
      <c r="F437" s="3"/>
      <c r="G437" s="3"/>
      <c r="H437" s="3"/>
      <c r="I437" s="3"/>
      <c r="J437" s="3"/>
      <c r="K437" s="4" t="e">
        <f t="shared" si="25"/>
        <v>#DIV/0!</v>
      </c>
      <c r="L437" s="3"/>
      <c r="M437" s="1"/>
      <c r="N437" s="1"/>
      <c r="O437" s="2" t="e">
        <f t="shared" si="26"/>
        <v>#DIV/0!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2" customHeight="1" x14ac:dyDescent="0.3">
      <c r="A438" s="3" t="s">
        <v>1675</v>
      </c>
      <c r="B438" s="3"/>
      <c r="C438" s="3"/>
      <c r="D438" s="3"/>
      <c r="E438" s="3"/>
      <c r="F438" s="3"/>
      <c r="G438" s="3"/>
      <c r="H438" s="3"/>
      <c r="I438" s="3"/>
      <c r="J438" s="3"/>
      <c r="K438" s="4" t="e">
        <f t="shared" si="25"/>
        <v>#DIV/0!</v>
      </c>
      <c r="L438" s="3"/>
      <c r="M438" s="1"/>
      <c r="N438" s="1"/>
      <c r="O438" s="2" t="e">
        <f t="shared" si="26"/>
        <v>#DIV/0!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2" customHeight="1" x14ac:dyDescent="0.3">
      <c r="A439" s="3" t="s">
        <v>1676</v>
      </c>
      <c r="B439" s="3"/>
      <c r="C439" s="3"/>
      <c r="D439" s="3"/>
      <c r="E439" s="3"/>
      <c r="F439" s="3"/>
      <c r="G439" s="3"/>
      <c r="H439" s="3"/>
      <c r="I439" s="3"/>
      <c r="J439" s="3"/>
      <c r="K439" s="4" t="e">
        <f t="shared" si="25"/>
        <v>#DIV/0!</v>
      </c>
      <c r="L439" s="3"/>
      <c r="M439" s="1"/>
      <c r="N439" s="1"/>
      <c r="O439" s="2" t="e">
        <f t="shared" si="26"/>
        <v>#DIV/0!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2" customHeight="1" x14ac:dyDescent="0.3">
      <c r="A440" s="3" t="s">
        <v>1677</v>
      </c>
      <c r="B440" s="3"/>
      <c r="C440" s="3"/>
      <c r="D440" s="3"/>
      <c r="E440" s="3"/>
      <c r="F440" s="3"/>
      <c r="G440" s="3"/>
      <c r="H440" s="3"/>
      <c r="I440" s="3"/>
      <c r="J440" s="3"/>
      <c r="K440" s="4" t="e">
        <f t="shared" si="25"/>
        <v>#DIV/0!</v>
      </c>
      <c r="L440" s="3"/>
      <c r="M440" s="1"/>
      <c r="N440" s="1"/>
      <c r="O440" s="2" t="e">
        <f t="shared" si="26"/>
        <v>#DIV/0!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2" customHeight="1" x14ac:dyDescent="0.3">
      <c r="A441" s="3" t="s">
        <v>1678</v>
      </c>
      <c r="B441" s="3"/>
      <c r="C441" s="3"/>
      <c r="D441" s="3"/>
      <c r="E441" s="3"/>
      <c r="F441" s="3"/>
      <c r="G441" s="3"/>
      <c r="H441" s="3"/>
      <c r="I441" s="3"/>
      <c r="J441" s="3"/>
      <c r="K441" s="4" t="e">
        <f t="shared" si="25"/>
        <v>#DIV/0!</v>
      </c>
      <c r="L441" s="3"/>
      <c r="M441" s="1"/>
      <c r="N441" s="1"/>
      <c r="O441" s="2" t="e">
        <f t="shared" si="26"/>
        <v>#DIV/0!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2" customHeight="1" x14ac:dyDescent="0.3">
      <c r="A442" s="3" t="s">
        <v>1679</v>
      </c>
      <c r="B442" s="3"/>
      <c r="C442" s="3"/>
      <c r="D442" s="3"/>
      <c r="E442" s="3"/>
      <c r="F442" s="3"/>
      <c r="G442" s="3"/>
      <c r="H442" s="3"/>
      <c r="I442" s="3"/>
      <c r="J442" s="3"/>
      <c r="K442" s="4" t="e">
        <f t="shared" si="25"/>
        <v>#DIV/0!</v>
      </c>
      <c r="L442" s="3"/>
      <c r="M442" s="1"/>
      <c r="N442" s="1"/>
      <c r="O442" s="2" t="e">
        <f t="shared" si="26"/>
        <v>#DIV/0!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2" customHeight="1" x14ac:dyDescent="0.3">
      <c r="A443" s="3" t="s">
        <v>1680</v>
      </c>
      <c r="B443" s="3"/>
      <c r="C443" s="3"/>
      <c r="D443" s="3"/>
      <c r="E443" s="3"/>
      <c r="F443" s="3"/>
      <c r="G443" s="3"/>
      <c r="H443" s="3"/>
      <c r="I443" s="3"/>
      <c r="J443" s="3"/>
      <c r="K443" s="4" t="e">
        <f t="shared" si="25"/>
        <v>#DIV/0!</v>
      </c>
      <c r="L443" s="3"/>
      <c r="M443" s="1"/>
      <c r="N443" s="1"/>
      <c r="O443" s="2" t="e">
        <f t="shared" si="26"/>
        <v>#DIV/0!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2" customHeight="1" x14ac:dyDescent="0.3">
      <c r="A444" s="3" t="s">
        <v>1681</v>
      </c>
      <c r="B444" s="3"/>
      <c r="C444" s="3"/>
      <c r="D444" s="3"/>
      <c r="E444" s="3"/>
      <c r="F444" s="3"/>
      <c r="G444" s="3"/>
      <c r="H444" s="3"/>
      <c r="I444" s="3"/>
      <c r="J444" s="3"/>
      <c r="K444" s="4" t="e">
        <f t="shared" si="25"/>
        <v>#DIV/0!</v>
      </c>
      <c r="L444" s="3"/>
      <c r="M444" s="1"/>
      <c r="N444" s="1"/>
      <c r="O444" s="2" t="e">
        <f t="shared" si="26"/>
        <v>#DIV/0!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2" customHeight="1" x14ac:dyDescent="0.3">
      <c r="A445" s="3" t="s">
        <v>1682</v>
      </c>
      <c r="B445" s="3"/>
      <c r="C445" s="3"/>
      <c r="D445" s="3"/>
      <c r="E445" s="3"/>
      <c r="F445" s="3"/>
      <c r="G445" s="3"/>
      <c r="H445" s="3"/>
      <c r="I445" s="3"/>
      <c r="J445" s="3"/>
      <c r="K445" s="4" t="e">
        <f t="shared" si="25"/>
        <v>#DIV/0!</v>
      </c>
      <c r="L445" s="3"/>
      <c r="M445" s="1"/>
      <c r="N445" s="1"/>
      <c r="O445" s="2" t="e">
        <f t="shared" si="26"/>
        <v>#DIV/0!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2" customHeight="1" x14ac:dyDescent="0.3">
      <c r="A446" s="3" t="s">
        <v>1683</v>
      </c>
      <c r="B446" s="3"/>
      <c r="C446" s="3"/>
      <c r="D446" s="3"/>
      <c r="E446" s="3"/>
      <c r="F446" s="3"/>
      <c r="G446" s="3"/>
      <c r="H446" s="3"/>
      <c r="I446" s="3"/>
      <c r="J446" s="3"/>
      <c r="K446" s="4" t="e">
        <f t="shared" si="25"/>
        <v>#DIV/0!</v>
      </c>
      <c r="L446" s="3"/>
      <c r="M446" s="1"/>
      <c r="N446" s="1"/>
      <c r="O446" s="2" t="e">
        <f t="shared" si="26"/>
        <v>#DIV/0!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2" customHeight="1" x14ac:dyDescent="0.3">
      <c r="A447" s="3" t="s">
        <v>1684</v>
      </c>
      <c r="B447" s="3"/>
      <c r="C447" s="3"/>
      <c r="D447" s="3"/>
      <c r="E447" s="3"/>
      <c r="F447" s="3"/>
      <c r="G447" s="3"/>
      <c r="H447" s="3"/>
      <c r="I447" s="3"/>
      <c r="J447" s="3"/>
      <c r="K447" s="4" t="e">
        <f t="shared" si="25"/>
        <v>#DIV/0!</v>
      </c>
      <c r="L447" s="3"/>
      <c r="M447" s="1"/>
      <c r="N447" s="1"/>
      <c r="O447" s="2" t="e">
        <f t="shared" si="26"/>
        <v>#DIV/0!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2" customHeight="1" x14ac:dyDescent="0.3">
      <c r="A448" s="3" t="s">
        <v>1685</v>
      </c>
      <c r="B448" s="3"/>
      <c r="C448" s="3"/>
      <c r="D448" s="3"/>
      <c r="E448" s="3"/>
      <c r="F448" s="3"/>
      <c r="G448" s="3"/>
      <c r="H448" s="3"/>
      <c r="I448" s="3"/>
      <c r="J448" s="3"/>
      <c r="K448" s="4" t="e">
        <f t="shared" si="25"/>
        <v>#DIV/0!</v>
      </c>
      <c r="L448" s="3"/>
      <c r="M448" s="1"/>
      <c r="N448" s="1"/>
      <c r="O448" s="2" t="e">
        <f t="shared" si="26"/>
        <v>#DIV/0!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2" customHeight="1" x14ac:dyDescent="0.3">
      <c r="A449" s="3" t="s">
        <v>1686</v>
      </c>
      <c r="B449" s="3"/>
      <c r="C449" s="3"/>
      <c r="D449" s="3"/>
      <c r="E449" s="3"/>
      <c r="F449" s="3"/>
      <c r="G449" s="3"/>
      <c r="H449" s="3"/>
      <c r="I449" s="3"/>
      <c r="J449" s="3"/>
      <c r="K449" s="4" t="e">
        <f t="shared" si="25"/>
        <v>#DIV/0!</v>
      </c>
      <c r="L449" s="3"/>
      <c r="M449" s="1"/>
      <c r="N449" s="1"/>
      <c r="O449" s="2" t="e">
        <f t="shared" si="26"/>
        <v>#DIV/0!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2" customHeight="1" x14ac:dyDescent="0.3">
      <c r="A450" s="3" t="s">
        <v>1687</v>
      </c>
      <c r="B450" s="3"/>
      <c r="C450" s="3"/>
      <c r="D450" s="3"/>
      <c r="E450" s="3"/>
      <c r="F450" s="3"/>
      <c r="G450" s="3"/>
      <c r="H450" s="3"/>
      <c r="I450" s="3"/>
      <c r="J450" s="3"/>
      <c r="K450" s="4" t="e">
        <f t="shared" si="25"/>
        <v>#DIV/0!</v>
      </c>
      <c r="L450" s="3"/>
      <c r="M450" s="1"/>
      <c r="N450" s="1"/>
      <c r="O450" s="2" t="e">
        <f t="shared" si="26"/>
        <v>#DIV/0!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2" customHeight="1" x14ac:dyDescent="0.3">
      <c r="A451" s="3" t="s">
        <v>1688</v>
      </c>
      <c r="B451" s="3"/>
      <c r="C451" s="3"/>
      <c r="D451" s="3"/>
      <c r="E451" s="3"/>
      <c r="F451" s="3"/>
      <c r="G451" s="3"/>
      <c r="H451" s="3"/>
      <c r="I451" s="3"/>
      <c r="J451" s="3"/>
      <c r="K451" s="4" t="e">
        <f t="shared" si="25"/>
        <v>#DIV/0!</v>
      </c>
      <c r="L451" s="3"/>
      <c r="M451" s="1"/>
      <c r="N451" s="1"/>
      <c r="O451" s="2" t="e">
        <f t="shared" si="26"/>
        <v>#DIV/0!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2" customHeight="1" x14ac:dyDescent="0.3">
      <c r="A452" s="3" t="s">
        <v>1689</v>
      </c>
      <c r="B452" s="3"/>
      <c r="C452" s="3"/>
      <c r="D452" s="3"/>
      <c r="E452" s="3"/>
      <c r="F452" s="3"/>
      <c r="G452" s="3"/>
      <c r="H452" s="3"/>
      <c r="I452" s="3"/>
      <c r="J452" s="3"/>
      <c r="K452" s="4" t="e">
        <f t="shared" si="25"/>
        <v>#DIV/0!</v>
      </c>
      <c r="L452" s="3"/>
      <c r="M452" s="1"/>
      <c r="N452" s="1"/>
      <c r="O452" s="2" t="e">
        <f t="shared" si="26"/>
        <v>#DIV/0!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</sheetData>
  <mergeCells count="2">
    <mergeCell ref="A1:G1"/>
    <mergeCell ref="H1:L1"/>
  </mergeCells>
  <phoneticPr fontId="11" type="noConversion"/>
  <pageMargins left="0.7" right="0.7" top="0.75" bottom="0.75" header="0.3" footer="0.3"/>
  <pageSetup paperSize="9" scale="37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6620-A5C2-482F-90E7-50E82D8278B3}">
  <sheetPr codeName="Arkusz27"/>
  <dimension ref="A1:Z59"/>
  <sheetViews>
    <sheetView topLeftCell="A13" workbookViewId="0">
      <selection activeCell="S13" sqref="S13"/>
    </sheetView>
  </sheetViews>
  <sheetFormatPr defaultRowHeight="14.4" x14ac:dyDescent="0.3"/>
  <cols>
    <col min="1" max="1" width="5.6640625" customWidth="1"/>
    <col min="2" max="2" width="25.6640625" customWidth="1"/>
    <col min="3" max="5" width="10.6640625" customWidth="1"/>
    <col min="6" max="6" width="8.6640625" customWidth="1"/>
    <col min="7" max="8" width="10.6640625" customWidth="1"/>
    <col min="9" max="9" width="11.6640625" customWidth="1"/>
    <col min="19" max="19" width="9.33203125" bestFit="1" customWidth="1"/>
    <col min="20" max="20" width="17.6640625" customWidth="1"/>
    <col min="21" max="21" width="16.88671875" customWidth="1"/>
    <col min="22" max="22" width="9.6640625" customWidth="1"/>
    <col min="23" max="24" width="16.88671875" customWidth="1"/>
    <col min="26" max="26" width="65" customWidth="1"/>
  </cols>
  <sheetData>
    <row r="1" spans="1:26" ht="55.5" customHeight="1" x14ac:dyDescent="0.3">
      <c r="A1" s="40" t="s">
        <v>0</v>
      </c>
      <c r="B1" s="41"/>
      <c r="C1" s="41"/>
      <c r="D1" s="41"/>
      <c r="E1" s="41"/>
      <c r="F1" s="41"/>
      <c r="G1" s="41"/>
      <c r="H1" s="42" t="s">
        <v>1102</v>
      </c>
      <c r="I1" s="43"/>
      <c r="J1" s="43"/>
      <c r="K1" s="43"/>
      <c r="L1" s="43"/>
    </row>
    <row r="2" spans="1:26" s="10" customFormat="1" ht="80.09999999999999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83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9" t="s">
        <v>18</v>
      </c>
      <c r="T2" s="7" t="s">
        <v>19</v>
      </c>
      <c r="U2" s="7" t="s">
        <v>20</v>
      </c>
      <c r="V2" s="7" t="s">
        <v>82</v>
      </c>
      <c r="W2" s="7" t="s">
        <v>21</v>
      </c>
      <c r="X2" s="7" t="s">
        <v>22</v>
      </c>
      <c r="Y2" s="9" t="s">
        <v>23</v>
      </c>
      <c r="Z2" s="7" t="s">
        <v>24</v>
      </c>
    </row>
    <row r="3" spans="1:26" ht="24.9" customHeight="1" x14ac:dyDescent="0.3">
      <c r="A3" s="3" t="s">
        <v>25</v>
      </c>
      <c r="B3" s="3" t="s">
        <v>1110</v>
      </c>
      <c r="C3" s="5">
        <v>46162</v>
      </c>
      <c r="D3" s="5">
        <v>46169</v>
      </c>
      <c r="E3" s="5" t="s">
        <v>1106</v>
      </c>
      <c r="F3" s="3">
        <v>7</v>
      </c>
      <c r="G3" s="3">
        <v>10250</v>
      </c>
      <c r="H3" s="3">
        <v>35.1</v>
      </c>
      <c r="I3" s="3">
        <v>820</v>
      </c>
      <c r="J3" s="3">
        <v>2</v>
      </c>
      <c r="K3" s="4">
        <f>(3600/(I3/8))*J3</f>
        <v>70.243902439024396</v>
      </c>
      <c r="L3" s="3">
        <v>120</v>
      </c>
      <c r="M3" s="1">
        <v>53.4</v>
      </c>
      <c r="N3" s="1">
        <v>95.9</v>
      </c>
      <c r="O3" s="2">
        <f>N3/J3</f>
        <v>47.95</v>
      </c>
      <c r="P3" s="1">
        <v>500</v>
      </c>
      <c r="Q3" s="1">
        <v>28</v>
      </c>
      <c r="R3" s="1" t="s">
        <v>99</v>
      </c>
      <c r="S3" s="6" t="s">
        <v>1017</v>
      </c>
      <c r="T3" s="20" t="s">
        <v>1107</v>
      </c>
      <c r="U3" s="1" t="s">
        <v>1108</v>
      </c>
      <c r="V3" s="14">
        <v>0.02</v>
      </c>
      <c r="W3" s="1"/>
      <c r="X3" s="1"/>
      <c r="Y3" s="1"/>
      <c r="Z3" s="1"/>
    </row>
    <row r="4" spans="1:26" ht="24.9" customHeight="1" x14ac:dyDescent="0.3">
      <c r="A4" s="3" t="s">
        <v>26</v>
      </c>
      <c r="B4" s="3" t="s">
        <v>1109</v>
      </c>
      <c r="C4" s="5">
        <v>46162</v>
      </c>
      <c r="D4" s="5">
        <v>46169</v>
      </c>
      <c r="E4" s="3" t="s">
        <v>1106</v>
      </c>
      <c r="F4" s="3">
        <v>7</v>
      </c>
      <c r="G4" s="3">
        <v>10250</v>
      </c>
      <c r="H4" s="3">
        <v>35.1</v>
      </c>
      <c r="I4" s="3">
        <v>820</v>
      </c>
      <c r="J4" s="3">
        <v>2</v>
      </c>
      <c r="K4" s="4">
        <f t="shared" ref="K4:K59" si="0">(3600/(I4/8))*J4</f>
        <v>70.243902439024396</v>
      </c>
      <c r="L4" s="3">
        <v>150</v>
      </c>
      <c r="M4" s="1">
        <v>27.1</v>
      </c>
      <c r="N4" s="1">
        <v>95.9</v>
      </c>
      <c r="O4" s="2">
        <f t="shared" ref="O4:O59" si="1">N4/J4</f>
        <v>47.95</v>
      </c>
      <c r="P4" s="1">
        <v>1400</v>
      </c>
      <c r="Q4" s="1">
        <v>39</v>
      </c>
      <c r="R4" s="1" t="s">
        <v>99</v>
      </c>
      <c r="S4" s="6" t="s">
        <v>1017</v>
      </c>
      <c r="T4" s="20" t="s">
        <v>1107</v>
      </c>
      <c r="U4" s="1" t="s">
        <v>1108</v>
      </c>
      <c r="V4" s="14">
        <v>0.02</v>
      </c>
      <c r="W4" s="1"/>
      <c r="X4" s="1"/>
      <c r="Y4" s="1"/>
      <c r="Z4" s="1"/>
    </row>
    <row r="5" spans="1:26" ht="24.9" customHeight="1" x14ac:dyDescent="0.3">
      <c r="A5" s="3" t="s">
        <v>27</v>
      </c>
      <c r="B5" s="3" t="s">
        <v>1115</v>
      </c>
      <c r="C5" s="5">
        <v>46163</v>
      </c>
      <c r="D5" s="5">
        <v>46171</v>
      </c>
      <c r="E5" s="3" t="s">
        <v>1116</v>
      </c>
      <c r="F5" s="3">
        <v>6</v>
      </c>
      <c r="G5" s="3">
        <v>25000</v>
      </c>
      <c r="H5" s="3">
        <v>36.9</v>
      </c>
      <c r="I5" s="3">
        <v>1560</v>
      </c>
      <c r="J5" s="3">
        <v>4</v>
      </c>
      <c r="K5" s="4">
        <f t="shared" si="0"/>
        <v>73.84615384615384</v>
      </c>
      <c r="L5" s="3"/>
      <c r="M5" s="1">
        <v>14.5</v>
      </c>
      <c r="N5" s="1">
        <v>58.3</v>
      </c>
      <c r="O5" s="2">
        <f t="shared" si="1"/>
        <v>14.574999999999999</v>
      </c>
      <c r="P5" s="1">
        <v>900</v>
      </c>
      <c r="Q5" s="1">
        <v>14.05</v>
      </c>
      <c r="R5" s="1" t="s">
        <v>99</v>
      </c>
      <c r="S5" s="1" t="s">
        <v>1017</v>
      </c>
      <c r="T5" s="11" t="s">
        <v>1117</v>
      </c>
      <c r="U5" s="1" t="s">
        <v>1108</v>
      </c>
      <c r="V5" s="14">
        <v>0.02</v>
      </c>
      <c r="W5" s="1" t="s">
        <v>94</v>
      </c>
      <c r="X5" s="1" t="s">
        <v>94</v>
      </c>
      <c r="Y5" s="1"/>
      <c r="Z5" s="1"/>
    </row>
    <row r="6" spans="1:26" ht="24.9" customHeight="1" x14ac:dyDescent="0.3">
      <c r="A6" s="3" t="s">
        <v>28</v>
      </c>
      <c r="B6" s="3" t="s">
        <v>1141</v>
      </c>
      <c r="C6" s="5">
        <v>46169</v>
      </c>
      <c r="D6" s="5">
        <v>46175</v>
      </c>
      <c r="E6" s="3" t="s">
        <v>1106</v>
      </c>
      <c r="F6" s="3">
        <v>7</v>
      </c>
      <c r="G6" s="3">
        <v>10700</v>
      </c>
      <c r="H6" s="3">
        <v>33.4</v>
      </c>
      <c r="I6" s="3">
        <v>862</v>
      </c>
      <c r="J6" s="3">
        <v>2</v>
      </c>
      <c r="K6" s="4">
        <f t="shared" si="0"/>
        <v>66.821345707656619</v>
      </c>
      <c r="L6" s="3"/>
      <c r="M6" s="1">
        <v>52.9</v>
      </c>
      <c r="N6" s="1">
        <v>95.1</v>
      </c>
      <c r="O6" s="2">
        <f t="shared" si="1"/>
        <v>47.55</v>
      </c>
      <c r="P6" s="1">
        <v>500</v>
      </c>
      <c r="Q6" s="1">
        <v>28</v>
      </c>
      <c r="R6" s="1" t="s">
        <v>99</v>
      </c>
      <c r="S6" s="1" t="s">
        <v>1045</v>
      </c>
      <c r="T6" s="20" t="s">
        <v>1107</v>
      </c>
      <c r="U6" s="1" t="s">
        <v>1142</v>
      </c>
      <c r="V6" s="14">
        <v>0.02</v>
      </c>
      <c r="W6" s="1"/>
      <c r="X6" s="1"/>
      <c r="Y6" s="1"/>
      <c r="Z6" s="1"/>
    </row>
    <row r="7" spans="1:26" ht="24.9" customHeight="1" x14ac:dyDescent="0.3">
      <c r="A7" s="3" t="s">
        <v>29</v>
      </c>
      <c r="B7" s="3" t="s">
        <v>1143</v>
      </c>
      <c r="C7" s="5">
        <v>46169</v>
      </c>
      <c r="D7" s="5">
        <v>46175</v>
      </c>
      <c r="E7" s="3" t="s">
        <v>1106</v>
      </c>
      <c r="F7" s="3">
        <v>7</v>
      </c>
      <c r="G7" s="3">
        <v>10700</v>
      </c>
      <c r="H7" s="3">
        <v>33.4</v>
      </c>
      <c r="I7" s="3">
        <v>862</v>
      </c>
      <c r="J7" s="3">
        <v>2</v>
      </c>
      <c r="K7" s="4">
        <f t="shared" si="0"/>
        <v>66.821345707656619</v>
      </c>
      <c r="L7" s="3"/>
      <c r="M7" s="1">
        <v>26.8</v>
      </c>
      <c r="N7" s="1">
        <v>95.1</v>
      </c>
      <c r="O7" s="2">
        <f t="shared" si="1"/>
        <v>47.55</v>
      </c>
      <c r="P7" s="1">
        <v>1400</v>
      </c>
      <c r="Q7" s="1">
        <v>39</v>
      </c>
      <c r="R7" s="1" t="s">
        <v>99</v>
      </c>
      <c r="S7" s="1" t="s">
        <v>1045</v>
      </c>
      <c r="T7" s="20" t="s">
        <v>1107</v>
      </c>
      <c r="U7" s="1" t="s">
        <v>1142</v>
      </c>
      <c r="V7" s="14">
        <v>0.02</v>
      </c>
      <c r="W7" s="1"/>
      <c r="X7" s="1"/>
      <c r="Y7" s="1"/>
      <c r="Z7" s="1"/>
    </row>
    <row r="8" spans="1:26" ht="24.9" customHeight="1" x14ac:dyDescent="0.3">
      <c r="A8" s="3" t="s">
        <v>30</v>
      </c>
      <c r="B8" s="3" t="s">
        <v>1161</v>
      </c>
      <c r="C8" s="5">
        <v>46171</v>
      </c>
      <c r="D8" s="5">
        <v>46185</v>
      </c>
      <c r="E8" s="5" t="s">
        <v>1116</v>
      </c>
      <c r="F8" s="3">
        <v>6</v>
      </c>
      <c r="G8" s="3">
        <v>27800</v>
      </c>
      <c r="H8" s="3">
        <v>36.85</v>
      </c>
      <c r="I8" s="3">
        <v>1563</v>
      </c>
      <c r="J8" s="3">
        <v>4</v>
      </c>
      <c r="K8" s="4">
        <f t="shared" si="0"/>
        <v>73.704414587332053</v>
      </c>
      <c r="L8" s="3"/>
      <c r="M8" s="1">
        <v>14.6</v>
      </c>
      <c r="N8" s="1">
        <v>64.599999999999994</v>
      </c>
      <c r="O8" s="2">
        <f t="shared" ref="O8" si="2">N8/J8</f>
        <v>16.149999999999999</v>
      </c>
      <c r="P8" s="1">
        <v>900</v>
      </c>
      <c r="Q8" s="1">
        <v>14.2</v>
      </c>
      <c r="R8" s="1" t="s">
        <v>99</v>
      </c>
      <c r="S8" s="1" t="s">
        <v>1162</v>
      </c>
      <c r="T8" s="20" t="s">
        <v>1117</v>
      </c>
      <c r="U8" s="1" t="s">
        <v>1142</v>
      </c>
      <c r="V8" s="14">
        <v>0.02</v>
      </c>
      <c r="W8" s="1" t="s">
        <v>94</v>
      </c>
      <c r="X8" s="1"/>
      <c r="Y8" s="1"/>
      <c r="Z8" s="1"/>
    </row>
    <row r="9" spans="1:26" ht="24.9" customHeight="1" x14ac:dyDescent="0.3">
      <c r="A9" s="3" t="s">
        <v>31</v>
      </c>
      <c r="B9" s="3" t="s">
        <v>1172</v>
      </c>
      <c r="C9" s="5">
        <v>46176</v>
      </c>
      <c r="D9" s="5">
        <v>46189</v>
      </c>
      <c r="E9" s="3" t="s">
        <v>1106</v>
      </c>
      <c r="F9" s="3">
        <v>7</v>
      </c>
      <c r="G9" s="3">
        <v>12800</v>
      </c>
      <c r="H9" s="3">
        <v>33.700000000000003</v>
      </c>
      <c r="I9" s="3">
        <v>854</v>
      </c>
      <c r="J9" s="3">
        <v>2</v>
      </c>
      <c r="K9" s="4">
        <f t="shared" si="0"/>
        <v>67.44730679156909</v>
      </c>
      <c r="L9" s="3"/>
      <c r="M9" s="1">
        <v>52.8</v>
      </c>
      <c r="N9" s="1">
        <v>94.8</v>
      </c>
      <c r="O9" s="2">
        <f t="shared" si="1"/>
        <v>47.4</v>
      </c>
      <c r="P9" s="1">
        <v>500</v>
      </c>
      <c r="Q9" s="1">
        <v>27.5</v>
      </c>
      <c r="R9" s="1" t="s">
        <v>99</v>
      </c>
      <c r="S9" s="1" t="s">
        <v>1174</v>
      </c>
      <c r="T9" s="20" t="s">
        <v>1107</v>
      </c>
      <c r="U9" s="1" t="s">
        <v>174</v>
      </c>
      <c r="V9" s="14">
        <v>0.02</v>
      </c>
      <c r="W9" s="1"/>
      <c r="X9" s="1"/>
      <c r="Y9" s="1"/>
      <c r="Z9" s="1"/>
    </row>
    <row r="10" spans="1:26" ht="24.9" customHeight="1" x14ac:dyDescent="0.3">
      <c r="A10" s="3" t="s">
        <v>32</v>
      </c>
      <c r="B10" s="3" t="s">
        <v>1173</v>
      </c>
      <c r="C10" s="5">
        <v>46176</v>
      </c>
      <c r="D10" s="5">
        <v>46189</v>
      </c>
      <c r="E10" s="3" t="s">
        <v>1106</v>
      </c>
      <c r="F10" s="3">
        <v>7</v>
      </c>
      <c r="G10" s="3">
        <v>12800</v>
      </c>
      <c r="H10" s="3">
        <v>33.700000000000003</v>
      </c>
      <c r="I10" s="3">
        <v>854</v>
      </c>
      <c r="J10" s="3">
        <v>2</v>
      </c>
      <c r="K10" s="4">
        <f t="shared" si="0"/>
        <v>67.44730679156909</v>
      </c>
      <c r="L10" s="3"/>
      <c r="M10" s="1">
        <v>26.8</v>
      </c>
      <c r="N10" s="1">
        <v>94.8</v>
      </c>
      <c r="O10" s="2">
        <f t="shared" si="1"/>
        <v>47.4</v>
      </c>
      <c r="P10" s="1">
        <v>1400</v>
      </c>
      <c r="Q10" s="1">
        <v>38.5</v>
      </c>
      <c r="R10" s="1" t="s">
        <v>99</v>
      </c>
      <c r="S10" s="1" t="s">
        <v>1175</v>
      </c>
      <c r="T10" s="20" t="s">
        <v>1107</v>
      </c>
      <c r="U10" s="1" t="s">
        <v>174</v>
      </c>
      <c r="V10" s="14">
        <v>0.02</v>
      </c>
      <c r="W10" s="1"/>
      <c r="X10" s="1"/>
      <c r="Y10" s="1"/>
      <c r="Z10" s="1"/>
    </row>
    <row r="11" spans="1:26" ht="24.9" customHeight="1" x14ac:dyDescent="0.3">
      <c r="A11" s="3" t="s">
        <v>33</v>
      </c>
      <c r="B11" s="3" t="s">
        <v>1202</v>
      </c>
      <c r="C11" s="5">
        <v>46185</v>
      </c>
      <c r="D11" s="5">
        <v>46199</v>
      </c>
      <c r="E11" s="3" t="s">
        <v>1116</v>
      </c>
      <c r="F11" s="3">
        <v>6</v>
      </c>
      <c r="G11" s="11" t="s">
        <v>1239</v>
      </c>
      <c r="H11" s="3">
        <v>36.99</v>
      </c>
      <c r="I11" s="3">
        <v>1557</v>
      </c>
      <c r="J11" s="3">
        <v>4</v>
      </c>
      <c r="K11" s="4">
        <f t="shared" si="0"/>
        <v>73.988439306358387</v>
      </c>
      <c r="L11" s="3"/>
      <c r="M11" s="1">
        <v>14.7</v>
      </c>
      <c r="N11" s="1">
        <v>64.7</v>
      </c>
      <c r="O11" s="2">
        <f t="shared" si="1"/>
        <v>16.175000000000001</v>
      </c>
      <c r="P11" s="1">
        <v>900</v>
      </c>
      <c r="Q11" s="1">
        <v>14.05</v>
      </c>
      <c r="R11" s="1" t="s">
        <v>99</v>
      </c>
      <c r="S11" s="1" t="s">
        <v>1174</v>
      </c>
      <c r="T11" s="20" t="s">
        <v>1117</v>
      </c>
      <c r="U11" s="1" t="s">
        <v>174</v>
      </c>
      <c r="V11" s="14">
        <v>0.02</v>
      </c>
      <c r="W11" s="1"/>
      <c r="X11" s="1"/>
      <c r="Y11" s="1"/>
      <c r="Z11" s="1"/>
    </row>
    <row r="12" spans="1:26" ht="24.9" customHeight="1" x14ac:dyDescent="0.3">
      <c r="A12" s="3" t="s">
        <v>34</v>
      </c>
      <c r="B12" s="3" t="s">
        <v>1430</v>
      </c>
      <c r="C12" s="5">
        <v>46244</v>
      </c>
      <c r="D12" s="5">
        <v>46254</v>
      </c>
      <c r="E12" s="3" t="s">
        <v>1422</v>
      </c>
      <c r="F12" s="3">
        <v>5</v>
      </c>
      <c r="G12" s="3">
        <v>25000</v>
      </c>
      <c r="H12" s="3">
        <v>36.93</v>
      </c>
      <c r="I12" s="3">
        <v>3120</v>
      </c>
      <c r="J12" s="3">
        <v>4</v>
      </c>
      <c r="K12" s="4">
        <f t="shared" si="0"/>
        <v>36.92307692307692</v>
      </c>
      <c r="L12" s="3"/>
      <c r="M12" s="1">
        <v>14.8</v>
      </c>
      <c r="N12" s="1">
        <v>65.400000000000006</v>
      </c>
      <c r="O12" s="2">
        <f t="shared" si="1"/>
        <v>16.350000000000001</v>
      </c>
      <c r="P12" s="1">
        <v>900</v>
      </c>
      <c r="Q12" s="1">
        <v>14.05</v>
      </c>
      <c r="R12" s="1" t="s">
        <v>99</v>
      </c>
      <c r="S12" s="1" t="s">
        <v>1392</v>
      </c>
      <c r="T12" s="20" t="s">
        <v>1117</v>
      </c>
      <c r="U12" s="1" t="s">
        <v>1142</v>
      </c>
      <c r="V12" s="14">
        <v>0.02</v>
      </c>
      <c r="W12" s="1" t="s">
        <v>826</v>
      </c>
      <c r="X12" s="1" t="s">
        <v>94</v>
      </c>
      <c r="Y12" s="1"/>
      <c r="Z12" s="1"/>
    </row>
    <row r="13" spans="1:26" ht="24.9" customHeight="1" x14ac:dyDescent="0.3">
      <c r="A13" s="3" t="s">
        <v>35</v>
      </c>
      <c r="B13" s="3" t="s">
        <v>1172</v>
      </c>
      <c r="C13" s="5">
        <v>46251</v>
      </c>
      <c r="D13" s="5">
        <v>46259</v>
      </c>
      <c r="E13" s="3" t="s">
        <v>1436</v>
      </c>
      <c r="F13" s="3">
        <v>2</v>
      </c>
      <c r="G13" s="3">
        <v>10000</v>
      </c>
      <c r="H13" s="3">
        <v>34.799999999999997</v>
      </c>
      <c r="I13" s="3">
        <v>827</v>
      </c>
      <c r="J13" s="3">
        <v>2</v>
      </c>
      <c r="K13" s="4">
        <f t="shared" si="0"/>
        <v>69.64933494558646</v>
      </c>
      <c r="L13" s="3"/>
      <c r="M13" s="1">
        <v>52.1</v>
      </c>
      <c r="N13" s="1">
        <v>92.5</v>
      </c>
      <c r="O13" s="2">
        <f t="shared" si="1"/>
        <v>46.25</v>
      </c>
      <c r="P13" s="1">
        <v>500</v>
      </c>
      <c r="Q13" s="1">
        <v>27.5</v>
      </c>
      <c r="R13" s="1" t="s">
        <v>99</v>
      </c>
      <c r="S13" s="1" t="s">
        <v>1392</v>
      </c>
      <c r="T13" s="20" t="s">
        <v>1107</v>
      </c>
      <c r="U13" s="1" t="s">
        <v>174</v>
      </c>
      <c r="V13" s="14">
        <v>0.02</v>
      </c>
      <c r="W13" s="1" t="s">
        <v>94</v>
      </c>
      <c r="X13" s="1"/>
      <c r="Y13" s="1"/>
      <c r="Z13" s="1"/>
    </row>
    <row r="14" spans="1:26" ht="24.9" customHeight="1" x14ac:dyDescent="0.3">
      <c r="A14" s="3" t="s">
        <v>36</v>
      </c>
      <c r="B14" s="3" t="s">
        <v>1173</v>
      </c>
      <c r="C14" s="5">
        <v>46251</v>
      </c>
      <c r="D14" s="5">
        <v>46259</v>
      </c>
      <c r="E14" s="3" t="s">
        <v>1436</v>
      </c>
      <c r="F14" s="3">
        <v>2</v>
      </c>
      <c r="G14" s="3">
        <v>10300</v>
      </c>
      <c r="H14" s="3">
        <v>34.799999999999997</v>
      </c>
      <c r="I14" s="3">
        <v>827</v>
      </c>
      <c r="J14" s="3">
        <v>2</v>
      </c>
      <c r="K14" s="4">
        <f t="shared" si="0"/>
        <v>69.64933494558646</v>
      </c>
      <c r="L14" s="3"/>
      <c r="M14" s="1">
        <v>26.4</v>
      </c>
      <c r="N14" s="1">
        <v>92.5</v>
      </c>
      <c r="O14" s="2">
        <f t="shared" si="1"/>
        <v>46.25</v>
      </c>
      <c r="P14" s="1">
        <v>1500</v>
      </c>
      <c r="Q14" s="1">
        <v>40.6</v>
      </c>
      <c r="R14" s="1" t="s">
        <v>99</v>
      </c>
      <c r="S14" s="1" t="s">
        <v>1392</v>
      </c>
      <c r="T14" s="20" t="s">
        <v>1107</v>
      </c>
      <c r="U14" s="1" t="s">
        <v>174</v>
      </c>
      <c r="V14" s="14">
        <v>0.02</v>
      </c>
      <c r="W14" s="1" t="s">
        <v>94</v>
      </c>
      <c r="X14" s="1" t="s">
        <v>103</v>
      </c>
      <c r="Y14" s="1"/>
      <c r="Z14" s="1"/>
    </row>
    <row r="15" spans="1:26" ht="24.9" customHeight="1" x14ac:dyDescent="0.3">
      <c r="A15" s="3" t="s">
        <v>37</v>
      </c>
      <c r="B15" s="3" t="s">
        <v>1491</v>
      </c>
      <c r="C15" s="5">
        <v>46259</v>
      </c>
      <c r="D15" s="5">
        <v>46267</v>
      </c>
      <c r="E15" s="3" t="s">
        <v>1492</v>
      </c>
      <c r="F15" s="3">
        <v>2</v>
      </c>
      <c r="G15" s="3">
        <v>10000</v>
      </c>
      <c r="H15" s="3">
        <v>34.9</v>
      </c>
      <c r="I15" s="3">
        <v>827</v>
      </c>
      <c r="J15" s="3">
        <v>2</v>
      </c>
      <c r="K15" s="4">
        <f t="shared" si="0"/>
        <v>69.64933494558646</v>
      </c>
      <c r="L15" s="3"/>
      <c r="M15" s="1">
        <v>52.4</v>
      </c>
      <c r="N15" s="1">
        <v>94.1</v>
      </c>
      <c r="O15" s="2">
        <f t="shared" si="1"/>
        <v>47.05</v>
      </c>
      <c r="P15" s="1">
        <v>500</v>
      </c>
      <c r="Q15" s="1">
        <v>27.5</v>
      </c>
      <c r="R15" s="1" t="s">
        <v>99</v>
      </c>
      <c r="S15" s="1" t="s">
        <v>1403</v>
      </c>
      <c r="T15" s="20" t="s">
        <v>1107</v>
      </c>
      <c r="U15" s="1" t="s">
        <v>1142</v>
      </c>
      <c r="V15" s="14">
        <v>0.02</v>
      </c>
      <c r="W15" s="1" t="s">
        <v>103</v>
      </c>
      <c r="X15" s="1" t="s">
        <v>94</v>
      </c>
      <c r="Y15" s="1"/>
      <c r="Z15" s="1"/>
    </row>
    <row r="16" spans="1:26" ht="24.9" customHeight="1" x14ac:dyDescent="0.3">
      <c r="A16" s="3" t="s">
        <v>38</v>
      </c>
      <c r="B16" s="3" t="s">
        <v>1493</v>
      </c>
      <c r="C16" s="5">
        <v>46259</v>
      </c>
      <c r="D16" s="5">
        <v>46267</v>
      </c>
      <c r="E16" s="3" t="s">
        <v>1436</v>
      </c>
      <c r="F16" s="3">
        <v>2</v>
      </c>
      <c r="G16" s="3">
        <v>10000</v>
      </c>
      <c r="H16" s="3">
        <v>34.9</v>
      </c>
      <c r="I16" s="3">
        <v>827</v>
      </c>
      <c r="J16" s="3">
        <v>2</v>
      </c>
      <c r="K16" s="4">
        <f t="shared" si="0"/>
        <v>69.64933494558646</v>
      </c>
      <c r="L16" s="3"/>
      <c r="M16" s="1">
        <v>52.5</v>
      </c>
      <c r="N16" s="1">
        <v>94.1</v>
      </c>
      <c r="O16" s="2">
        <f t="shared" si="1"/>
        <v>47.05</v>
      </c>
      <c r="P16" s="1">
        <v>1500</v>
      </c>
      <c r="Q16" s="1">
        <v>40.6</v>
      </c>
      <c r="R16" s="1" t="s">
        <v>99</v>
      </c>
      <c r="S16" s="1" t="s">
        <v>1403</v>
      </c>
      <c r="T16" s="20" t="s">
        <v>1107</v>
      </c>
      <c r="U16" s="1" t="s">
        <v>1142</v>
      </c>
      <c r="V16" s="14">
        <v>0.02</v>
      </c>
      <c r="W16" s="1" t="s">
        <v>103</v>
      </c>
      <c r="X16" s="1" t="s">
        <v>94</v>
      </c>
      <c r="Y16" s="1"/>
      <c r="Z16" s="1"/>
    </row>
    <row r="17" spans="1:26" ht="24.9" customHeight="1" x14ac:dyDescent="0.3">
      <c r="A17" s="3" t="s">
        <v>39</v>
      </c>
      <c r="B17" s="3" t="s">
        <v>1115</v>
      </c>
      <c r="C17" s="5">
        <v>46254</v>
      </c>
      <c r="D17" s="5">
        <v>46262</v>
      </c>
      <c r="E17" s="3" t="s">
        <v>1422</v>
      </c>
      <c r="F17" s="3">
        <v>5</v>
      </c>
      <c r="G17" s="3">
        <v>17500</v>
      </c>
      <c r="H17" s="3">
        <v>36.96</v>
      </c>
      <c r="I17" s="3">
        <v>3120</v>
      </c>
      <c r="J17" s="3">
        <v>4</v>
      </c>
      <c r="K17" s="4">
        <f t="shared" si="0"/>
        <v>36.92307692307692</v>
      </c>
      <c r="L17" s="3">
        <v>150</v>
      </c>
      <c r="M17" s="1">
        <v>14.8</v>
      </c>
      <c r="N17" s="1">
        <v>64.8</v>
      </c>
      <c r="O17" s="2">
        <f t="shared" si="1"/>
        <v>16.2</v>
      </c>
      <c r="P17" s="1">
        <v>900</v>
      </c>
      <c r="Q17" s="1">
        <v>14.05</v>
      </c>
      <c r="R17" s="1" t="s">
        <v>99</v>
      </c>
      <c r="S17" s="1" t="s">
        <v>1403</v>
      </c>
      <c r="T17" s="20" t="s">
        <v>1117</v>
      </c>
      <c r="U17" s="1" t="s">
        <v>1108</v>
      </c>
      <c r="V17" s="14">
        <v>0.02</v>
      </c>
      <c r="W17" s="1" t="s">
        <v>94</v>
      </c>
      <c r="X17" s="1"/>
      <c r="Y17" s="1"/>
      <c r="Z17" s="1"/>
    </row>
    <row r="18" spans="1:26" ht="24.9" customHeight="1" x14ac:dyDescent="0.3">
      <c r="A18" s="3" t="s">
        <v>40</v>
      </c>
      <c r="B18" s="3" t="s">
        <v>1518</v>
      </c>
      <c r="C18" s="5">
        <v>46262</v>
      </c>
      <c r="D18" s="5">
        <v>46267</v>
      </c>
      <c r="E18" s="3" t="s">
        <v>1422</v>
      </c>
      <c r="F18" s="3">
        <v>5</v>
      </c>
      <c r="G18" s="3">
        <v>7500</v>
      </c>
      <c r="H18" s="3">
        <v>36.72</v>
      </c>
      <c r="I18" s="3">
        <v>3130</v>
      </c>
      <c r="J18" s="3">
        <v>4</v>
      </c>
      <c r="K18" s="4">
        <f t="shared" si="0"/>
        <v>36.805111821086264</v>
      </c>
      <c r="L18" s="3">
        <v>1044</v>
      </c>
      <c r="M18" s="1">
        <v>14.8</v>
      </c>
      <c r="N18" s="1">
        <v>65</v>
      </c>
      <c r="O18" s="2">
        <f t="shared" si="1"/>
        <v>16.25</v>
      </c>
      <c r="P18" s="1">
        <v>900</v>
      </c>
      <c r="Q18" s="1">
        <v>14.05</v>
      </c>
      <c r="R18" s="1" t="s">
        <v>99</v>
      </c>
      <c r="S18" s="1" t="s">
        <v>1414</v>
      </c>
      <c r="T18" s="20" t="s">
        <v>1117</v>
      </c>
      <c r="U18" s="1" t="s">
        <v>1519</v>
      </c>
      <c r="V18" s="14">
        <v>0.02</v>
      </c>
      <c r="W18" s="1" t="s">
        <v>1520</v>
      </c>
      <c r="X18" s="1"/>
      <c r="Y18" s="1"/>
      <c r="Z18" s="1"/>
    </row>
    <row r="19" spans="1:26" ht="24.9" customHeight="1" x14ac:dyDescent="0.3">
      <c r="A19" s="3" t="s">
        <v>41</v>
      </c>
      <c r="B19" s="3" t="s">
        <v>1202</v>
      </c>
      <c r="C19" s="5">
        <v>46267</v>
      </c>
      <c r="D19" s="5">
        <v>46279</v>
      </c>
      <c r="E19" s="3" t="s">
        <v>1422</v>
      </c>
      <c r="F19" s="3">
        <v>5</v>
      </c>
      <c r="G19" s="11" t="s">
        <v>1572</v>
      </c>
      <c r="H19" s="3">
        <v>36.72</v>
      </c>
      <c r="I19" s="3">
        <v>3130</v>
      </c>
      <c r="J19" s="3">
        <v>4</v>
      </c>
      <c r="K19" s="4">
        <f t="shared" si="0"/>
        <v>36.805111821086264</v>
      </c>
      <c r="L19" s="3">
        <v>210</v>
      </c>
      <c r="M19" s="1">
        <v>14.8</v>
      </c>
      <c r="N19" s="1">
        <v>65</v>
      </c>
      <c r="O19" s="2">
        <f t="shared" si="1"/>
        <v>16.25</v>
      </c>
      <c r="P19" s="1">
        <v>900</v>
      </c>
      <c r="Q19" s="1">
        <v>14.05</v>
      </c>
      <c r="R19" s="1" t="s">
        <v>99</v>
      </c>
      <c r="S19" s="1" t="s">
        <v>1527</v>
      </c>
      <c r="T19" s="25" t="s">
        <v>1117</v>
      </c>
      <c r="U19" s="1" t="s">
        <v>174</v>
      </c>
      <c r="V19" s="14">
        <v>0.02</v>
      </c>
      <c r="W19" s="1" t="s">
        <v>156</v>
      </c>
      <c r="X19" s="1"/>
      <c r="Y19" s="1"/>
      <c r="Z19" s="1"/>
    </row>
    <row r="20" spans="1:26" ht="24.9" customHeight="1" x14ac:dyDescent="0.3">
      <c r="A20" s="3" t="s">
        <v>42</v>
      </c>
      <c r="B20" s="3" t="s">
        <v>1110</v>
      </c>
      <c r="C20" s="5">
        <v>46267</v>
      </c>
      <c r="D20" s="5">
        <v>46274</v>
      </c>
      <c r="E20" s="3" t="s">
        <v>1436</v>
      </c>
      <c r="F20" s="3">
        <v>2</v>
      </c>
      <c r="G20" s="3">
        <v>7000</v>
      </c>
      <c r="H20" s="3">
        <v>34.6</v>
      </c>
      <c r="I20" s="3">
        <v>832</v>
      </c>
      <c r="J20" s="3">
        <v>2</v>
      </c>
      <c r="K20" s="4">
        <f t="shared" si="0"/>
        <v>69.230769230769226</v>
      </c>
      <c r="L20" s="3">
        <v>95</v>
      </c>
      <c r="M20" s="1">
        <v>52.8</v>
      </c>
      <c r="N20" s="1">
        <v>95</v>
      </c>
      <c r="O20" s="2">
        <f t="shared" si="1"/>
        <v>47.5</v>
      </c>
      <c r="P20" s="1">
        <v>500</v>
      </c>
      <c r="Q20" s="1">
        <v>27.5</v>
      </c>
      <c r="R20" s="1" t="s">
        <v>99</v>
      </c>
      <c r="S20" s="1" t="s">
        <v>1528</v>
      </c>
      <c r="T20" s="20" t="s">
        <v>1107</v>
      </c>
      <c r="U20" s="1" t="s">
        <v>1108</v>
      </c>
      <c r="V20" s="14">
        <v>0.02</v>
      </c>
      <c r="W20" s="1" t="s">
        <v>94</v>
      </c>
      <c r="X20" s="1"/>
      <c r="Y20" s="1"/>
      <c r="Z20" s="1"/>
    </row>
    <row r="21" spans="1:26" ht="24.9" customHeight="1" x14ac:dyDescent="0.3">
      <c r="A21" s="3" t="s">
        <v>43</v>
      </c>
      <c r="B21" s="3" t="s">
        <v>1109</v>
      </c>
      <c r="C21" s="5">
        <v>46267</v>
      </c>
      <c r="D21" s="5">
        <v>46274</v>
      </c>
      <c r="E21" s="3" t="s">
        <v>1436</v>
      </c>
      <c r="F21" s="3">
        <v>2</v>
      </c>
      <c r="G21" s="3">
        <v>7000</v>
      </c>
      <c r="H21" s="3">
        <v>34.6</v>
      </c>
      <c r="I21" s="3">
        <v>832</v>
      </c>
      <c r="J21" s="3">
        <v>2</v>
      </c>
      <c r="K21" s="4">
        <f t="shared" si="0"/>
        <v>69.230769230769226</v>
      </c>
      <c r="L21" s="3">
        <v>95</v>
      </c>
      <c r="M21" s="1">
        <v>26.8</v>
      </c>
      <c r="N21" s="1">
        <v>95</v>
      </c>
      <c r="O21" s="2">
        <f t="shared" si="1"/>
        <v>47.5</v>
      </c>
      <c r="P21" s="1">
        <v>1500</v>
      </c>
      <c r="Q21" s="1">
        <v>41.5</v>
      </c>
      <c r="R21" s="1" t="s">
        <v>99</v>
      </c>
      <c r="S21" s="1" t="s">
        <v>1529</v>
      </c>
      <c r="T21" s="20" t="s">
        <v>1107</v>
      </c>
      <c r="U21" s="1" t="s">
        <v>1108</v>
      </c>
      <c r="V21" s="14">
        <v>0.02</v>
      </c>
      <c r="W21" s="1" t="s">
        <v>94</v>
      </c>
      <c r="X21" s="1"/>
      <c r="Y21" s="1"/>
      <c r="Z21" s="1"/>
    </row>
    <row r="22" spans="1:26" ht="24.9" customHeight="1" x14ac:dyDescent="0.3">
      <c r="A22" s="3" t="s">
        <v>44</v>
      </c>
      <c r="B22" s="3" t="s">
        <v>1551</v>
      </c>
      <c r="C22" s="5">
        <v>46274</v>
      </c>
      <c r="D22" s="5">
        <v>46276</v>
      </c>
      <c r="E22" s="3" t="s">
        <v>1436</v>
      </c>
      <c r="F22" s="3">
        <v>2</v>
      </c>
      <c r="G22" s="3">
        <v>3000</v>
      </c>
      <c r="H22" s="3">
        <v>34.6</v>
      </c>
      <c r="I22" s="3">
        <v>832</v>
      </c>
      <c r="J22" s="3">
        <v>2</v>
      </c>
      <c r="K22" s="4">
        <f t="shared" si="0"/>
        <v>69.230769230769226</v>
      </c>
      <c r="L22" s="3"/>
      <c r="M22" s="1">
        <v>52.5</v>
      </c>
      <c r="N22" s="1">
        <v>94.3</v>
      </c>
      <c r="O22" s="2">
        <f t="shared" si="1"/>
        <v>47.15</v>
      </c>
      <c r="P22" s="1">
        <v>500</v>
      </c>
      <c r="Q22" s="1">
        <v>27.5</v>
      </c>
      <c r="R22" s="1" t="s">
        <v>99</v>
      </c>
      <c r="S22" s="1" t="s">
        <v>1527</v>
      </c>
      <c r="T22" s="11" t="s">
        <v>1555</v>
      </c>
      <c r="U22" s="1" t="s">
        <v>1519</v>
      </c>
      <c r="V22" s="1"/>
      <c r="W22" s="1" t="s">
        <v>103</v>
      </c>
      <c r="X22" s="1" t="s">
        <v>103</v>
      </c>
      <c r="Y22" s="1" t="s">
        <v>120</v>
      </c>
      <c r="Z22" s="1"/>
    </row>
    <row r="23" spans="1:26" ht="24.9" customHeight="1" x14ac:dyDescent="0.3">
      <c r="A23" s="3" t="s">
        <v>45</v>
      </c>
      <c r="B23" s="3" t="s">
        <v>1552</v>
      </c>
      <c r="C23" s="5">
        <v>46274</v>
      </c>
      <c r="D23" s="5">
        <v>46276</v>
      </c>
      <c r="E23" s="3" t="s">
        <v>1436</v>
      </c>
      <c r="F23" s="3">
        <v>2</v>
      </c>
      <c r="G23" s="3">
        <v>3000</v>
      </c>
      <c r="H23" s="3">
        <v>34.6</v>
      </c>
      <c r="I23" s="3">
        <v>832</v>
      </c>
      <c r="J23" s="3">
        <v>2</v>
      </c>
      <c r="K23" s="4">
        <f t="shared" si="0"/>
        <v>69.230769230769226</v>
      </c>
      <c r="L23" s="3"/>
      <c r="M23" s="1">
        <v>26.7</v>
      </c>
      <c r="N23" s="1">
        <v>94.3</v>
      </c>
      <c r="O23" s="2">
        <f t="shared" si="1"/>
        <v>47.15</v>
      </c>
      <c r="P23" s="1">
        <v>1500</v>
      </c>
      <c r="Q23" s="1">
        <v>41.05</v>
      </c>
      <c r="R23" s="1" t="s">
        <v>99</v>
      </c>
      <c r="S23" s="1" t="s">
        <v>1527</v>
      </c>
      <c r="T23" s="11" t="s">
        <v>1556</v>
      </c>
      <c r="U23" s="1" t="s">
        <v>1519</v>
      </c>
      <c r="V23" s="1"/>
      <c r="W23" s="1" t="s">
        <v>103</v>
      </c>
      <c r="X23" s="1" t="s">
        <v>103</v>
      </c>
      <c r="Y23" s="1" t="s">
        <v>120</v>
      </c>
      <c r="Z23" s="1"/>
    </row>
    <row r="24" spans="1:26" ht="24.9" customHeight="1" x14ac:dyDescent="0.3">
      <c r="A24" s="3" t="s">
        <v>46</v>
      </c>
      <c r="B24" s="3"/>
      <c r="C24" s="3"/>
      <c r="D24" s="3"/>
      <c r="E24" s="3"/>
      <c r="F24" s="3"/>
      <c r="G24" s="3"/>
      <c r="H24" s="3"/>
      <c r="I24" s="3"/>
      <c r="J24" s="3"/>
      <c r="K24" s="4" t="e">
        <f t="shared" si="0"/>
        <v>#DIV/0!</v>
      </c>
      <c r="L24" s="3"/>
      <c r="M24" s="1"/>
      <c r="N24" s="1"/>
      <c r="O24" s="2" t="e">
        <f t="shared" si="1"/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9" customHeight="1" x14ac:dyDescent="0.3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4" t="e">
        <f t="shared" si="0"/>
        <v>#DIV/0!</v>
      </c>
      <c r="L25" s="3"/>
      <c r="M25" s="1"/>
      <c r="N25" s="1"/>
      <c r="O25" s="2" t="e">
        <f t="shared" si="1"/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9" customHeight="1" x14ac:dyDescent="0.3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4" t="e">
        <f t="shared" si="0"/>
        <v>#DIV/0!</v>
      </c>
      <c r="L26" s="3"/>
      <c r="M26" s="1"/>
      <c r="N26" s="1"/>
      <c r="O26" s="2" t="e">
        <f t="shared" si="1"/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9" customHeight="1" x14ac:dyDescent="0.3">
      <c r="A27" s="3" t="s">
        <v>49</v>
      </c>
      <c r="B27" s="3"/>
      <c r="C27" s="3"/>
      <c r="D27" s="3"/>
      <c r="E27" s="3"/>
      <c r="F27" s="3"/>
      <c r="G27" s="3"/>
      <c r="H27" s="3"/>
      <c r="I27" s="3"/>
      <c r="J27" s="3"/>
      <c r="K27" s="4" t="e">
        <f t="shared" si="0"/>
        <v>#DIV/0!</v>
      </c>
      <c r="L27" s="3"/>
      <c r="M27" s="1"/>
      <c r="N27" s="1"/>
      <c r="O27" s="2" t="e">
        <f t="shared" si="1"/>
        <v>#DIV/0!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9" customHeight="1" x14ac:dyDescent="0.3">
      <c r="A28" s="3" t="s">
        <v>50</v>
      </c>
      <c r="B28" s="3"/>
      <c r="C28" s="3"/>
      <c r="D28" s="3"/>
      <c r="E28" s="3"/>
      <c r="F28" s="3"/>
      <c r="G28" s="3"/>
      <c r="H28" s="3"/>
      <c r="I28" s="3"/>
      <c r="J28" s="3"/>
      <c r="K28" s="4" t="e">
        <f t="shared" si="0"/>
        <v>#DIV/0!</v>
      </c>
      <c r="L28" s="3"/>
      <c r="M28" s="1"/>
      <c r="N28" s="1"/>
      <c r="O28" s="2" t="e">
        <f t="shared" si="1"/>
        <v>#DIV/0!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9" customHeight="1" x14ac:dyDescent="0.3">
      <c r="A29" s="3" t="s">
        <v>51</v>
      </c>
      <c r="B29" s="3"/>
      <c r="C29" s="3"/>
      <c r="D29" s="3"/>
      <c r="E29" s="3"/>
      <c r="F29" s="3"/>
      <c r="G29" s="3"/>
      <c r="H29" s="3"/>
      <c r="I29" s="3"/>
      <c r="J29" s="3"/>
      <c r="K29" s="4" t="e">
        <f t="shared" si="0"/>
        <v>#DIV/0!</v>
      </c>
      <c r="L29" s="3"/>
      <c r="M29" s="1"/>
      <c r="N29" s="1"/>
      <c r="O29" s="2" t="e">
        <f t="shared" si="1"/>
        <v>#DIV/0!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9" customHeight="1" x14ac:dyDescent="0.3">
      <c r="A30" s="3" t="s">
        <v>52</v>
      </c>
      <c r="B30" s="3"/>
      <c r="C30" s="3"/>
      <c r="D30" s="3"/>
      <c r="E30" s="3"/>
      <c r="F30" s="3"/>
      <c r="G30" s="3"/>
      <c r="H30" s="3"/>
      <c r="I30" s="3"/>
      <c r="J30" s="3"/>
      <c r="K30" s="4" t="e">
        <f t="shared" si="0"/>
        <v>#DIV/0!</v>
      </c>
      <c r="L30" s="3"/>
      <c r="M30" s="1"/>
      <c r="N30" s="1"/>
      <c r="O30" s="2" t="e">
        <f t="shared" si="1"/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9" customHeight="1" x14ac:dyDescent="0.3">
      <c r="A31" s="3" t="s">
        <v>53</v>
      </c>
      <c r="B31" s="3"/>
      <c r="C31" s="3"/>
      <c r="D31" s="3"/>
      <c r="E31" s="3"/>
      <c r="F31" s="3"/>
      <c r="G31" s="3"/>
      <c r="H31" s="3"/>
      <c r="I31" s="3"/>
      <c r="J31" s="3"/>
      <c r="K31" s="4" t="e">
        <f t="shared" si="0"/>
        <v>#DIV/0!</v>
      </c>
      <c r="L31" s="3"/>
      <c r="M31" s="1"/>
      <c r="N31" s="1"/>
      <c r="O31" s="2" t="e">
        <f t="shared" si="1"/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9" customHeight="1" x14ac:dyDescent="0.3">
      <c r="A32" s="3" t="s">
        <v>54</v>
      </c>
      <c r="B32" s="3"/>
      <c r="C32" s="3"/>
      <c r="D32" s="3"/>
      <c r="E32" s="3"/>
      <c r="F32" s="3"/>
      <c r="G32" s="3"/>
      <c r="H32" s="3"/>
      <c r="I32" s="3"/>
      <c r="J32" s="3"/>
      <c r="K32" s="4" t="e">
        <f t="shared" si="0"/>
        <v>#DIV/0!</v>
      </c>
      <c r="L32" s="3"/>
      <c r="M32" s="1"/>
      <c r="N32" s="1"/>
      <c r="O32" s="2" t="e">
        <f t="shared" si="1"/>
        <v>#DIV/0!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9" customHeight="1" x14ac:dyDescent="0.3">
      <c r="A33" s="3" t="s">
        <v>55</v>
      </c>
      <c r="B33" s="3"/>
      <c r="C33" s="3"/>
      <c r="D33" s="3"/>
      <c r="E33" s="3"/>
      <c r="F33" s="3"/>
      <c r="G33" s="3"/>
      <c r="H33" s="3"/>
      <c r="I33" s="3"/>
      <c r="J33" s="3"/>
      <c r="K33" s="4" t="e">
        <f t="shared" si="0"/>
        <v>#DIV/0!</v>
      </c>
      <c r="L33" s="3"/>
      <c r="M33" s="1"/>
      <c r="N33" s="1"/>
      <c r="O33" s="2" t="e">
        <f t="shared" si="1"/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9" customHeight="1" x14ac:dyDescent="0.3">
      <c r="A34" s="3" t="s">
        <v>56</v>
      </c>
      <c r="B34" s="3"/>
      <c r="C34" s="3"/>
      <c r="D34" s="3"/>
      <c r="E34" s="3"/>
      <c r="F34" s="3"/>
      <c r="G34" s="3"/>
      <c r="H34" s="3"/>
      <c r="I34" s="3"/>
      <c r="J34" s="3"/>
      <c r="K34" s="4" t="e">
        <f t="shared" si="0"/>
        <v>#DIV/0!</v>
      </c>
      <c r="L34" s="3"/>
      <c r="M34" s="1"/>
      <c r="N34" s="1"/>
      <c r="O34" s="2" t="e">
        <f t="shared" si="1"/>
        <v>#DIV/0!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9" customHeight="1" x14ac:dyDescent="0.3">
      <c r="A35" s="3" t="s">
        <v>57</v>
      </c>
      <c r="B35" s="3"/>
      <c r="C35" s="3"/>
      <c r="D35" s="3"/>
      <c r="E35" s="3"/>
      <c r="F35" s="3"/>
      <c r="G35" s="3"/>
      <c r="H35" s="3"/>
      <c r="I35" s="3"/>
      <c r="J35" s="3"/>
      <c r="K35" s="4" t="e">
        <f t="shared" si="0"/>
        <v>#DIV/0!</v>
      </c>
      <c r="L35" s="3"/>
      <c r="M35" s="1"/>
      <c r="N35" s="1"/>
      <c r="O35" s="2" t="e">
        <f t="shared" si="1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9" customHeight="1" x14ac:dyDescent="0.3">
      <c r="A36" s="3" t="s">
        <v>58</v>
      </c>
      <c r="B36" s="3"/>
      <c r="C36" s="3"/>
      <c r="D36" s="3"/>
      <c r="E36" s="3"/>
      <c r="F36" s="3"/>
      <c r="G36" s="3"/>
      <c r="H36" s="3"/>
      <c r="I36" s="3"/>
      <c r="J36" s="3"/>
      <c r="K36" s="4" t="e">
        <f t="shared" si="0"/>
        <v>#DIV/0!</v>
      </c>
      <c r="L36" s="3"/>
      <c r="M36" s="1"/>
      <c r="N36" s="1"/>
      <c r="O36" s="2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9" customHeight="1" x14ac:dyDescent="0.3">
      <c r="A37" s="3" t="s">
        <v>59</v>
      </c>
      <c r="B37" s="3"/>
      <c r="C37" s="3"/>
      <c r="D37" s="3"/>
      <c r="E37" s="3"/>
      <c r="F37" s="3"/>
      <c r="G37" s="3"/>
      <c r="H37" s="3"/>
      <c r="I37" s="3"/>
      <c r="J37" s="3"/>
      <c r="K37" s="4" t="e">
        <f t="shared" si="0"/>
        <v>#DIV/0!</v>
      </c>
      <c r="L37" s="3"/>
      <c r="M37" s="1"/>
      <c r="N37" s="1"/>
      <c r="O37" s="2" t="e">
        <f t="shared" si="1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9" customHeight="1" x14ac:dyDescent="0.3">
      <c r="A38" s="3" t="s">
        <v>60</v>
      </c>
      <c r="B38" s="3"/>
      <c r="C38" s="3"/>
      <c r="D38" s="3"/>
      <c r="E38" s="3"/>
      <c r="F38" s="3"/>
      <c r="G38" s="3"/>
      <c r="H38" s="3"/>
      <c r="I38" s="3"/>
      <c r="J38" s="3"/>
      <c r="K38" s="4" t="e">
        <f t="shared" si="0"/>
        <v>#DIV/0!</v>
      </c>
      <c r="L38" s="3"/>
      <c r="M38" s="1"/>
      <c r="N38" s="1"/>
      <c r="O38" s="2" t="e">
        <f t="shared" si="1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9" customHeight="1" x14ac:dyDescent="0.3">
      <c r="A39" s="3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4" t="e">
        <f t="shared" si="0"/>
        <v>#DIV/0!</v>
      </c>
      <c r="L39" s="3"/>
      <c r="M39" s="1"/>
      <c r="N39" s="1"/>
      <c r="O39" s="2" t="e">
        <f t="shared" si="1"/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9" customHeight="1" x14ac:dyDescent="0.3">
      <c r="A40" s="3" t="s">
        <v>62</v>
      </c>
      <c r="B40" s="3"/>
      <c r="C40" s="3"/>
      <c r="D40" s="3"/>
      <c r="E40" s="3"/>
      <c r="F40" s="3"/>
      <c r="G40" s="3"/>
      <c r="H40" s="3"/>
      <c r="I40" s="3"/>
      <c r="J40" s="3"/>
      <c r="K40" s="4" t="e">
        <f t="shared" si="0"/>
        <v>#DIV/0!</v>
      </c>
      <c r="L40" s="3"/>
      <c r="M40" s="1"/>
      <c r="N40" s="1"/>
      <c r="O40" s="2" t="e">
        <f t="shared" si="1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9" customHeight="1" x14ac:dyDescent="0.3">
      <c r="A41" s="3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4" t="e">
        <f t="shared" si="0"/>
        <v>#DIV/0!</v>
      </c>
      <c r="L41" s="3"/>
      <c r="M41" s="1"/>
      <c r="N41" s="1"/>
      <c r="O41" s="2" t="e">
        <f t="shared" si="1"/>
        <v>#DIV/0!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9" customHeight="1" x14ac:dyDescent="0.3">
      <c r="A42" s="3" t="s">
        <v>64</v>
      </c>
      <c r="B42" s="3"/>
      <c r="C42" s="3"/>
      <c r="D42" s="3"/>
      <c r="E42" s="3"/>
      <c r="F42" s="3"/>
      <c r="G42" s="3"/>
      <c r="H42" s="3"/>
      <c r="I42" s="3"/>
      <c r="J42" s="3"/>
      <c r="K42" s="4" t="e">
        <f t="shared" si="0"/>
        <v>#DIV/0!</v>
      </c>
      <c r="L42" s="3"/>
      <c r="M42" s="1"/>
      <c r="N42" s="1"/>
      <c r="O42" s="2" t="e">
        <f t="shared" si="1"/>
        <v>#DIV/0!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9" customHeight="1" x14ac:dyDescent="0.3">
      <c r="A43" s="3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4" t="e">
        <f t="shared" si="0"/>
        <v>#DIV/0!</v>
      </c>
      <c r="L43" s="3"/>
      <c r="M43" s="1"/>
      <c r="N43" s="1"/>
      <c r="O43" s="2" t="e">
        <f t="shared" si="1"/>
        <v>#DIV/0!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9" customHeight="1" x14ac:dyDescent="0.3">
      <c r="A44" s="3" t="s">
        <v>66</v>
      </c>
      <c r="B44" s="3"/>
      <c r="C44" s="3"/>
      <c r="D44" s="3"/>
      <c r="E44" s="3"/>
      <c r="F44" s="3"/>
      <c r="G44" s="3"/>
      <c r="H44" s="3"/>
      <c r="I44" s="3"/>
      <c r="J44" s="3"/>
      <c r="K44" s="4" t="e">
        <f t="shared" si="0"/>
        <v>#DIV/0!</v>
      </c>
      <c r="L44" s="3"/>
      <c r="M44" s="1"/>
      <c r="N44" s="1"/>
      <c r="O44" s="2" t="e">
        <f t="shared" si="1"/>
        <v>#DIV/0!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9" customHeight="1" x14ac:dyDescent="0.3">
      <c r="A45" s="3" t="s">
        <v>67</v>
      </c>
      <c r="B45" s="3"/>
      <c r="C45" s="3"/>
      <c r="D45" s="3"/>
      <c r="E45" s="3"/>
      <c r="F45" s="3"/>
      <c r="G45" s="3"/>
      <c r="H45" s="3"/>
      <c r="I45" s="3"/>
      <c r="J45" s="3"/>
      <c r="K45" s="4" t="e">
        <f t="shared" si="0"/>
        <v>#DIV/0!</v>
      </c>
      <c r="L45" s="3"/>
      <c r="M45" s="1"/>
      <c r="N45" s="1"/>
      <c r="O45" s="2" t="e">
        <f t="shared" si="1"/>
        <v>#DIV/0!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9" customHeight="1" x14ac:dyDescent="0.3">
      <c r="A46" s="3" t="s">
        <v>68</v>
      </c>
      <c r="B46" s="3"/>
      <c r="C46" s="3"/>
      <c r="D46" s="3"/>
      <c r="E46" s="3"/>
      <c r="F46" s="3"/>
      <c r="G46" s="3"/>
      <c r="H46" s="3"/>
      <c r="I46" s="3"/>
      <c r="J46" s="3"/>
      <c r="K46" s="4" t="e">
        <f t="shared" si="0"/>
        <v>#DIV/0!</v>
      </c>
      <c r="L46" s="3"/>
      <c r="M46" s="1"/>
      <c r="N46" s="1"/>
      <c r="O46" s="2" t="e">
        <f t="shared" si="1"/>
        <v>#DIV/0!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9" customHeight="1" x14ac:dyDescent="0.3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  <c r="K47" s="4" t="e">
        <f t="shared" si="0"/>
        <v>#DIV/0!</v>
      </c>
      <c r="L47" s="3"/>
      <c r="M47" s="1"/>
      <c r="N47" s="1"/>
      <c r="O47" s="2" t="e">
        <f t="shared" si="1"/>
        <v>#DIV/0!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9" customHeight="1" x14ac:dyDescent="0.3">
      <c r="A48" s="3" t="s">
        <v>70</v>
      </c>
      <c r="B48" s="3"/>
      <c r="C48" s="3"/>
      <c r="D48" s="3"/>
      <c r="E48" s="3"/>
      <c r="F48" s="3"/>
      <c r="G48" s="3"/>
      <c r="H48" s="3"/>
      <c r="I48" s="3"/>
      <c r="J48" s="3"/>
      <c r="K48" s="4" t="e">
        <f t="shared" si="0"/>
        <v>#DIV/0!</v>
      </c>
      <c r="L48" s="3"/>
      <c r="M48" s="1"/>
      <c r="N48" s="1"/>
      <c r="O48" s="2" t="e">
        <f t="shared" si="1"/>
        <v>#DIV/0!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9" customHeight="1" x14ac:dyDescent="0.3">
      <c r="A49" s="3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4" t="e">
        <f t="shared" si="0"/>
        <v>#DIV/0!</v>
      </c>
      <c r="L49" s="3"/>
      <c r="M49" s="1"/>
      <c r="N49" s="1"/>
      <c r="O49" s="2" t="e">
        <f t="shared" si="1"/>
        <v>#DIV/0!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9" customHeight="1" x14ac:dyDescent="0.3">
      <c r="A50" s="3" t="s">
        <v>72</v>
      </c>
      <c r="B50" s="3"/>
      <c r="C50" s="3"/>
      <c r="D50" s="3"/>
      <c r="E50" s="3"/>
      <c r="F50" s="3"/>
      <c r="G50" s="3"/>
      <c r="H50" s="3"/>
      <c r="I50" s="3"/>
      <c r="J50" s="3"/>
      <c r="K50" s="4" t="e">
        <f t="shared" si="0"/>
        <v>#DIV/0!</v>
      </c>
      <c r="L50" s="3"/>
      <c r="M50" s="1"/>
      <c r="N50" s="1"/>
      <c r="O50" s="2" t="e">
        <f t="shared" si="1"/>
        <v>#DIV/0!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9" customHeight="1" x14ac:dyDescent="0.3">
      <c r="A51" s="3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4" t="e">
        <f t="shared" si="0"/>
        <v>#DIV/0!</v>
      </c>
      <c r="L51" s="3"/>
      <c r="M51" s="1"/>
      <c r="N51" s="1"/>
      <c r="O51" s="2" t="e">
        <f t="shared" si="1"/>
        <v>#DIV/0!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9" customHeight="1" x14ac:dyDescent="0.3">
      <c r="A52" s="3" t="s">
        <v>74</v>
      </c>
      <c r="B52" s="3"/>
      <c r="C52" s="3"/>
      <c r="D52" s="3"/>
      <c r="E52" s="3"/>
      <c r="F52" s="3"/>
      <c r="G52" s="3"/>
      <c r="H52" s="3"/>
      <c r="I52" s="3"/>
      <c r="J52" s="3"/>
      <c r="K52" s="4" t="e">
        <f t="shared" si="0"/>
        <v>#DIV/0!</v>
      </c>
      <c r="L52" s="3"/>
      <c r="M52" s="1"/>
      <c r="N52" s="1"/>
      <c r="O52" s="2" t="e">
        <f t="shared" si="1"/>
        <v>#DIV/0!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9" customHeight="1" x14ac:dyDescent="0.3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4" t="e">
        <f t="shared" si="0"/>
        <v>#DIV/0!</v>
      </c>
      <c r="L53" s="3"/>
      <c r="M53" s="1"/>
      <c r="N53" s="1"/>
      <c r="O53" s="2" t="e">
        <f t="shared" si="1"/>
        <v>#DIV/0!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9" customHeight="1" x14ac:dyDescent="0.3">
      <c r="A54" s="3" t="s">
        <v>76</v>
      </c>
      <c r="B54" s="3"/>
      <c r="C54" s="3"/>
      <c r="D54" s="3"/>
      <c r="E54" s="3"/>
      <c r="F54" s="3"/>
      <c r="G54" s="3"/>
      <c r="H54" s="3"/>
      <c r="I54" s="3"/>
      <c r="J54" s="3"/>
      <c r="K54" s="4" t="e">
        <f t="shared" si="0"/>
        <v>#DIV/0!</v>
      </c>
      <c r="L54" s="3"/>
      <c r="M54" s="1"/>
      <c r="N54" s="1"/>
      <c r="O54" s="2" t="e">
        <f t="shared" si="1"/>
        <v>#DIV/0!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9" customHeight="1" x14ac:dyDescent="0.3">
      <c r="A55" s="3" t="s">
        <v>77</v>
      </c>
      <c r="B55" s="3"/>
      <c r="C55" s="3"/>
      <c r="D55" s="3"/>
      <c r="E55" s="3"/>
      <c r="F55" s="3"/>
      <c r="G55" s="3"/>
      <c r="H55" s="3"/>
      <c r="I55" s="3"/>
      <c r="J55" s="3"/>
      <c r="K55" s="4" t="e">
        <f t="shared" si="0"/>
        <v>#DIV/0!</v>
      </c>
      <c r="L55" s="3"/>
      <c r="M55" s="1"/>
      <c r="N55" s="1"/>
      <c r="O55" s="2" t="e">
        <f t="shared" si="1"/>
        <v>#DIV/0!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9" customHeight="1" x14ac:dyDescent="0.3">
      <c r="A56" s="3" t="s">
        <v>78</v>
      </c>
      <c r="B56" s="3"/>
      <c r="C56" s="3"/>
      <c r="D56" s="3"/>
      <c r="E56" s="3"/>
      <c r="F56" s="3"/>
      <c r="G56" s="3"/>
      <c r="H56" s="3"/>
      <c r="I56" s="3"/>
      <c r="J56" s="3"/>
      <c r="K56" s="4" t="e">
        <f t="shared" si="0"/>
        <v>#DIV/0!</v>
      </c>
      <c r="L56" s="3"/>
      <c r="M56" s="1"/>
      <c r="N56" s="1"/>
      <c r="O56" s="2" t="e">
        <f t="shared" si="1"/>
        <v>#DIV/0!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9" customHeight="1" x14ac:dyDescent="0.3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4" t="e">
        <f t="shared" si="0"/>
        <v>#DIV/0!</v>
      </c>
      <c r="L57" s="3"/>
      <c r="M57" s="1"/>
      <c r="N57" s="1"/>
      <c r="O57" s="2" t="e">
        <f t="shared" si="1"/>
        <v>#DIV/0!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9" customHeight="1" x14ac:dyDescent="0.3">
      <c r="A58" s="3" t="s">
        <v>80</v>
      </c>
      <c r="B58" s="3"/>
      <c r="C58" s="3"/>
      <c r="D58" s="3"/>
      <c r="E58" s="3"/>
      <c r="F58" s="3"/>
      <c r="G58" s="3"/>
      <c r="H58" s="3"/>
      <c r="I58" s="3"/>
      <c r="J58" s="3"/>
      <c r="K58" s="4" t="e">
        <f t="shared" si="0"/>
        <v>#DIV/0!</v>
      </c>
      <c r="L58" s="3"/>
      <c r="M58" s="1"/>
      <c r="N58" s="1"/>
      <c r="O58" s="2" t="e">
        <f t="shared" si="1"/>
        <v>#DIV/0!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9" customHeight="1" x14ac:dyDescent="0.3">
      <c r="A59" s="3" t="s">
        <v>81</v>
      </c>
      <c r="B59" s="3"/>
      <c r="C59" s="3"/>
      <c r="D59" s="3"/>
      <c r="E59" s="3"/>
      <c r="F59" s="3"/>
      <c r="G59" s="3"/>
      <c r="H59" s="3"/>
      <c r="I59" s="3"/>
      <c r="J59" s="3"/>
      <c r="K59" s="4" t="e">
        <f t="shared" si="0"/>
        <v>#DIV/0!</v>
      </c>
      <c r="L59" s="3"/>
      <c r="M59" s="1"/>
      <c r="N59" s="1"/>
      <c r="O59" s="2" t="e">
        <f t="shared" si="1"/>
        <v>#DIV/0!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2">
    <mergeCell ref="A1:G1"/>
    <mergeCell ref="H1:L1"/>
  </mergeCells>
  <pageMargins left="0.7" right="0.7" top="0.75" bottom="0.75" header="0.3" footer="0.3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3476-DD27-4BE2-A8FC-EDE2FA6DE81D}">
  <sheetPr codeName="Arkusz28"/>
  <dimension ref="A2:B55"/>
  <sheetViews>
    <sheetView workbookViewId="0">
      <selection activeCell="A4" sqref="A4"/>
    </sheetView>
  </sheetViews>
  <sheetFormatPr defaultRowHeight="14.4" x14ac:dyDescent="0.3"/>
  <cols>
    <col min="1" max="1" width="35.33203125" bestFit="1" customWidth="1"/>
    <col min="2" max="2" width="5.33203125" bestFit="1" customWidth="1"/>
    <col min="3" max="14" width="5" bestFit="1" customWidth="1"/>
    <col min="15" max="17" width="6" bestFit="1" customWidth="1"/>
    <col min="18" max="18" width="4" bestFit="1" customWidth="1"/>
    <col min="19" max="23" width="6" bestFit="1" customWidth="1"/>
    <col min="24" max="24" width="4" bestFit="1" customWidth="1"/>
    <col min="25" max="29" width="6" bestFit="1" customWidth="1"/>
    <col min="30" max="30" width="4" bestFit="1" customWidth="1"/>
    <col min="31" max="34" width="6" bestFit="1" customWidth="1"/>
    <col min="35" max="36" width="4" bestFit="1" customWidth="1"/>
    <col min="37" max="44" width="6" bestFit="1" customWidth="1"/>
    <col min="45" max="45" width="14" bestFit="1" customWidth="1"/>
    <col min="46" max="48" width="5" bestFit="1" customWidth="1"/>
    <col min="49" max="53" width="6" bestFit="1" customWidth="1"/>
    <col min="54" max="54" width="4" bestFit="1" customWidth="1"/>
    <col min="55" max="68" width="6" bestFit="1" customWidth="1"/>
    <col min="69" max="69" width="4" bestFit="1" customWidth="1"/>
    <col min="70" max="74" width="6" bestFit="1" customWidth="1"/>
    <col min="75" max="75" width="4" bestFit="1" customWidth="1"/>
    <col min="76" max="80" width="6" bestFit="1" customWidth="1"/>
    <col min="81" max="81" width="4" bestFit="1" customWidth="1"/>
    <col min="82" max="84" width="6" bestFit="1" customWidth="1"/>
    <col min="85" max="85" width="4" bestFit="1" customWidth="1"/>
    <col min="86" max="90" width="6" bestFit="1" customWidth="1"/>
    <col min="91" max="91" width="4" bestFit="1" customWidth="1"/>
    <col min="92" max="95" width="6" bestFit="1" customWidth="1"/>
    <col min="96" max="96" width="4" bestFit="1" customWidth="1"/>
    <col min="97" max="101" width="6" bestFit="1" customWidth="1"/>
    <col min="102" max="102" width="4" bestFit="1" customWidth="1"/>
    <col min="103" max="106" width="6" bestFit="1" customWidth="1"/>
    <col min="107" max="107" width="4" bestFit="1" customWidth="1"/>
    <col min="108" max="108" width="6" bestFit="1" customWidth="1"/>
    <col min="109" max="109" width="4" bestFit="1" customWidth="1"/>
    <col min="110" max="123" width="6" bestFit="1" customWidth="1"/>
    <col min="124" max="124" width="4" bestFit="1" customWidth="1"/>
    <col min="125" max="131" width="6" bestFit="1" customWidth="1"/>
    <col min="132" max="132" width="4" bestFit="1" customWidth="1"/>
    <col min="133" max="138" width="6" bestFit="1" customWidth="1"/>
    <col min="139" max="140" width="4" bestFit="1" customWidth="1"/>
    <col min="141" max="151" width="6" bestFit="1" customWidth="1"/>
    <col min="152" max="152" width="4" bestFit="1" customWidth="1"/>
    <col min="153" max="158" width="6" bestFit="1" customWidth="1"/>
    <col min="159" max="159" width="4" bestFit="1" customWidth="1"/>
    <col min="160" max="170" width="6" bestFit="1" customWidth="1"/>
    <col min="171" max="171" width="4" bestFit="1" customWidth="1"/>
    <col min="172" max="176" width="6" bestFit="1" customWidth="1"/>
    <col min="177" max="177" width="4" bestFit="1" customWidth="1"/>
    <col min="178" max="179" width="6" bestFit="1" customWidth="1"/>
    <col min="180" max="180" width="4" bestFit="1" customWidth="1"/>
    <col min="181" max="184" width="6" bestFit="1" customWidth="1"/>
    <col min="185" max="185" width="4" bestFit="1" customWidth="1"/>
    <col min="186" max="194" width="6" bestFit="1" customWidth="1"/>
    <col min="195" max="195" width="4" bestFit="1" customWidth="1"/>
    <col min="196" max="196" width="6" bestFit="1" customWidth="1"/>
    <col min="197" max="197" width="4" bestFit="1" customWidth="1"/>
    <col min="198" max="199" width="6" bestFit="1" customWidth="1"/>
    <col min="200" max="200" width="4" bestFit="1" customWidth="1"/>
    <col min="201" max="206" width="6" bestFit="1" customWidth="1"/>
    <col min="207" max="207" width="4" bestFit="1" customWidth="1"/>
    <col min="208" max="211" width="6" bestFit="1" customWidth="1"/>
    <col min="212" max="212" width="4" bestFit="1" customWidth="1"/>
    <col min="213" max="220" width="6" bestFit="1" customWidth="1"/>
    <col min="221" max="221" width="4" bestFit="1" customWidth="1"/>
    <col min="222" max="228" width="6" bestFit="1" customWidth="1"/>
    <col min="229" max="229" width="4" bestFit="1" customWidth="1"/>
    <col min="230" max="244" width="6" bestFit="1" customWidth="1"/>
    <col min="245" max="245" width="7" bestFit="1" customWidth="1"/>
    <col min="246" max="246" width="14" bestFit="1" customWidth="1"/>
  </cols>
  <sheetData>
    <row r="2" spans="1:2" x14ac:dyDescent="0.3">
      <c r="A2" s="37" t="s">
        <v>17</v>
      </c>
      <c r="B2" t="s">
        <v>87</v>
      </c>
    </row>
    <row r="4" spans="1:2" x14ac:dyDescent="0.3">
      <c r="A4" s="37" t="s">
        <v>1703</v>
      </c>
    </row>
    <row r="5" spans="1:2" x14ac:dyDescent="0.3">
      <c r="A5" s="38" t="s">
        <v>735</v>
      </c>
    </row>
    <row r="6" spans="1:2" x14ac:dyDescent="0.3">
      <c r="A6" s="38" t="s">
        <v>937</v>
      </c>
    </row>
    <row r="7" spans="1:2" x14ac:dyDescent="0.3">
      <c r="A7" s="38" t="s">
        <v>194</v>
      </c>
    </row>
    <row r="8" spans="1:2" x14ac:dyDescent="0.3">
      <c r="A8" s="38" t="s">
        <v>135</v>
      </c>
    </row>
    <row r="9" spans="1:2" x14ac:dyDescent="0.3">
      <c r="A9" s="38" t="s">
        <v>196</v>
      </c>
    </row>
    <row r="10" spans="1:2" x14ac:dyDescent="0.3">
      <c r="A10" s="38" t="s">
        <v>197</v>
      </c>
    </row>
    <row r="11" spans="1:2" x14ac:dyDescent="0.3">
      <c r="A11" s="38" t="s">
        <v>841</v>
      </c>
    </row>
    <row r="12" spans="1:2" x14ac:dyDescent="0.3">
      <c r="A12" s="38" t="s">
        <v>195</v>
      </c>
    </row>
    <row r="13" spans="1:2" x14ac:dyDescent="0.3">
      <c r="A13" s="38" t="s">
        <v>850</v>
      </c>
    </row>
    <row r="14" spans="1:2" x14ac:dyDescent="0.3">
      <c r="A14" s="38" t="s">
        <v>792</v>
      </c>
    </row>
    <row r="15" spans="1:2" x14ac:dyDescent="0.3">
      <c r="A15" s="38" t="s">
        <v>774</v>
      </c>
    </row>
    <row r="16" spans="1:2" x14ac:dyDescent="0.3">
      <c r="A16" s="38" t="s">
        <v>771</v>
      </c>
    </row>
    <row r="17" spans="1:1" x14ac:dyDescent="0.3">
      <c r="A17" s="38" t="s">
        <v>800</v>
      </c>
    </row>
    <row r="18" spans="1:1" x14ac:dyDescent="0.3">
      <c r="A18" s="38" t="s">
        <v>812</v>
      </c>
    </row>
    <row r="19" spans="1:1" x14ac:dyDescent="0.3">
      <c r="A19" s="38" t="s">
        <v>823</v>
      </c>
    </row>
    <row r="20" spans="1:1" x14ac:dyDescent="0.3">
      <c r="A20" s="38" t="s">
        <v>869</v>
      </c>
    </row>
    <row r="21" spans="1:1" x14ac:dyDescent="0.3">
      <c r="A21" s="38" t="s">
        <v>824</v>
      </c>
    </row>
    <row r="22" spans="1:1" x14ac:dyDescent="0.3">
      <c r="A22" s="38" t="s">
        <v>845</v>
      </c>
    </row>
    <row r="23" spans="1:1" x14ac:dyDescent="0.3">
      <c r="A23" s="38" t="s">
        <v>834</v>
      </c>
    </row>
    <row r="24" spans="1:1" x14ac:dyDescent="0.3">
      <c r="A24" s="38" t="s">
        <v>835</v>
      </c>
    </row>
    <row r="25" spans="1:1" x14ac:dyDescent="0.3">
      <c r="A25" s="38" t="s">
        <v>1467</v>
      </c>
    </row>
    <row r="26" spans="1:1" x14ac:dyDescent="0.3">
      <c r="A26" s="38" t="s">
        <v>839</v>
      </c>
    </row>
    <row r="27" spans="1:1" x14ac:dyDescent="0.3">
      <c r="A27" s="38" t="s">
        <v>1469</v>
      </c>
    </row>
    <row r="28" spans="1:1" x14ac:dyDescent="0.3">
      <c r="A28" s="38" t="s">
        <v>840</v>
      </c>
    </row>
    <row r="29" spans="1:1" x14ac:dyDescent="0.3">
      <c r="A29" s="38" t="s">
        <v>1584</v>
      </c>
    </row>
    <row r="30" spans="1:1" x14ac:dyDescent="0.3">
      <c r="A30" s="38" t="s">
        <v>1144</v>
      </c>
    </row>
    <row r="31" spans="1:1" x14ac:dyDescent="0.3">
      <c r="A31" s="38" t="s">
        <v>1694</v>
      </c>
    </row>
    <row r="32" spans="1:1" x14ac:dyDescent="0.3">
      <c r="A32" s="38" t="s">
        <v>1137</v>
      </c>
    </row>
    <row r="33" spans="1:1" x14ac:dyDescent="0.3">
      <c r="A33" s="38" t="s">
        <v>1081</v>
      </c>
    </row>
    <row r="34" spans="1:1" x14ac:dyDescent="0.3">
      <c r="A34" s="38" t="s">
        <v>1135</v>
      </c>
    </row>
    <row r="35" spans="1:1" x14ac:dyDescent="0.3">
      <c r="A35" s="38" t="s">
        <v>1693</v>
      </c>
    </row>
    <row r="36" spans="1:1" x14ac:dyDescent="0.3">
      <c r="A36" s="38" t="s">
        <v>1148</v>
      </c>
    </row>
    <row r="37" spans="1:1" x14ac:dyDescent="0.3">
      <c r="A37" s="38" t="s">
        <v>1149</v>
      </c>
    </row>
    <row r="38" spans="1:1" x14ac:dyDescent="0.3">
      <c r="A38" s="38" t="s">
        <v>1146</v>
      </c>
    </row>
    <row r="39" spans="1:1" x14ac:dyDescent="0.3">
      <c r="A39" s="38" t="s">
        <v>889</v>
      </c>
    </row>
    <row r="40" spans="1:1" x14ac:dyDescent="0.3">
      <c r="A40" s="38" t="s">
        <v>875</v>
      </c>
    </row>
    <row r="41" spans="1:1" x14ac:dyDescent="0.3">
      <c r="A41" s="38" t="s">
        <v>877</v>
      </c>
    </row>
    <row r="42" spans="1:1" x14ac:dyDescent="0.3">
      <c r="A42" s="38" t="s">
        <v>891</v>
      </c>
    </row>
    <row r="43" spans="1:1" x14ac:dyDescent="0.3">
      <c r="A43" s="38" t="s">
        <v>872</v>
      </c>
    </row>
    <row r="44" spans="1:1" x14ac:dyDescent="0.3">
      <c r="A44" s="38" t="s">
        <v>1329</v>
      </c>
    </row>
    <row r="45" spans="1:1" x14ac:dyDescent="0.3">
      <c r="A45" s="38" t="s">
        <v>1321</v>
      </c>
    </row>
    <row r="46" spans="1:1" x14ac:dyDescent="0.3">
      <c r="A46" s="38" t="s">
        <v>1333</v>
      </c>
    </row>
    <row r="47" spans="1:1" x14ac:dyDescent="0.3">
      <c r="A47" s="38" t="s">
        <v>131</v>
      </c>
    </row>
    <row r="48" spans="1:1" x14ac:dyDescent="0.3">
      <c r="A48" s="38" t="s">
        <v>140</v>
      </c>
    </row>
    <row r="49" spans="1:1" x14ac:dyDescent="0.3">
      <c r="A49" s="38" t="s">
        <v>147</v>
      </c>
    </row>
    <row r="50" spans="1:1" x14ac:dyDescent="0.3">
      <c r="A50" s="38" t="s">
        <v>281</v>
      </c>
    </row>
    <row r="51" spans="1:1" x14ac:dyDescent="0.3">
      <c r="A51" s="38" t="s">
        <v>279</v>
      </c>
    </row>
    <row r="52" spans="1:1" x14ac:dyDescent="0.3">
      <c r="A52" s="38" t="s">
        <v>1446</v>
      </c>
    </row>
    <row r="53" spans="1:1" x14ac:dyDescent="0.3">
      <c r="A53" s="38" t="s">
        <v>1064</v>
      </c>
    </row>
    <row r="54" spans="1:1" x14ac:dyDescent="0.3">
      <c r="A54" s="38" t="s">
        <v>1059</v>
      </c>
    </row>
    <row r="55" spans="1:1" x14ac:dyDescent="0.3">
      <c r="A55" s="38" t="s">
        <v>1704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0909-7BD0-43E7-B1AA-A56A3ADEAC55}">
  <sheetPr codeName="Arkusz29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8169-0505-4863-8807-C0480184A056}">
  <sheetPr codeName="Arkusz30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FA4B-88C4-4612-8F05-A201904468FA}">
  <sheetPr codeName="Arkusz3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5908-17D7-458D-B76C-205312317A81}">
  <sheetPr codeName="Arkusz3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5B60-A5A7-4A8E-99F5-17AB693DC329}">
  <sheetPr codeName="Arkusz3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636F-9D40-4A08-986E-4B6485AF3A71}">
  <sheetPr codeName="Arkusz3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2D3-FA59-4556-A163-A5A02E002BE6}">
  <sheetPr codeName="Arkusz35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6940-0256-4ABF-AF96-08B9D7609892}">
  <sheetPr codeName="Arkusz36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15A5-7FB3-4E79-8D9A-E24DEC0BFF18}">
  <sheetPr codeName="Arkusz37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46DCE3-C384-431A-9CF2-FCC5A7A9E2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37</vt:i4>
      </vt:variant>
    </vt:vector>
  </HeadingPairs>
  <TitlesOfParts>
    <vt:vector size="37" baseType="lpstr">
      <vt:lpstr>raport  (26)</vt:lpstr>
      <vt:lpstr>OKIDAY</vt:lpstr>
      <vt:lpstr>MOBILUS</vt:lpstr>
      <vt:lpstr>HOLYPIT</vt:lpstr>
      <vt:lpstr>REGAL TAGS</vt:lpstr>
      <vt:lpstr>EUROSTER</vt:lpstr>
      <vt:lpstr>MARMITE</vt:lpstr>
      <vt:lpstr>TIMBERNESS</vt:lpstr>
      <vt:lpstr>EVR</vt:lpstr>
      <vt:lpstr>IVT</vt:lpstr>
      <vt:lpstr>SCOOPTEC</vt:lpstr>
      <vt:lpstr>L&amp;P</vt:lpstr>
      <vt:lpstr>ROSA</vt:lpstr>
      <vt:lpstr>HIC</vt:lpstr>
      <vt:lpstr>RAIS</vt:lpstr>
      <vt:lpstr>APP</vt:lpstr>
      <vt:lpstr>ŁUKASIK</vt:lpstr>
      <vt:lpstr>BIT</vt:lpstr>
      <vt:lpstr>FIBERLAB</vt:lpstr>
      <vt:lpstr>COFORMA</vt:lpstr>
      <vt:lpstr>HICTRANS </vt:lpstr>
      <vt:lpstr>KM</vt:lpstr>
      <vt:lpstr>MARBO</vt:lpstr>
      <vt:lpstr>TOPBRIDGE</vt:lpstr>
      <vt:lpstr>LIDERPOOL</vt:lpstr>
      <vt:lpstr>FIBOO</vt:lpstr>
      <vt:lpstr>PALISANDER</vt:lpstr>
      <vt:lpstr>Arkusz10</vt:lpstr>
      <vt:lpstr>Arkusz1</vt:lpstr>
      <vt:lpstr>Arkusz2</vt:lpstr>
      <vt:lpstr>Arkusz3</vt:lpstr>
      <vt:lpstr>Arkusz4</vt:lpstr>
      <vt:lpstr>Arkusz5</vt:lpstr>
      <vt:lpstr>Arkusz6</vt:lpstr>
      <vt:lpstr>Arkusz7</vt:lpstr>
      <vt:lpstr>Arkusz8</vt:lpstr>
      <vt:lpstr>Arkusz9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Jakub Majchrzak</dc:creator>
  <cp:keywords/>
  <dc:description/>
  <cp:lastModifiedBy>Kontrol jakości</cp:lastModifiedBy>
  <cp:revision/>
  <cp:lastPrinted>2026-09-21T09:02:41Z</cp:lastPrinted>
  <dcterms:created xsi:type="dcterms:W3CDTF">2015-06-05T18:19:34Z</dcterms:created>
  <dcterms:modified xsi:type="dcterms:W3CDTF">2026-10-13T12:15:56Z</dcterms:modified>
  <cp:category/>
  <cp:contentStatus/>
</cp:coreProperties>
</file>