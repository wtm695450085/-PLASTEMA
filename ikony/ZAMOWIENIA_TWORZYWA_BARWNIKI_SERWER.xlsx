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19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22.xml" ContentType="application/vnd.openxmlformats-officedocument.spreadsheetml.worksheet+xml"/>
  <Override PartName="/xl/worksheets/sheet5.xml" ContentType="application/vnd.openxmlformats-officedocument.spreadsheetml.worksheet+xml"/>
  <Override PartName="/xl/worksheets/sheet23.xml" ContentType="application/vnd.openxmlformats-officedocument.spreadsheetml.worksheet+xml"/>
  <Override PartName="/xl/worksheets/sheet6.xml" ContentType="application/vnd.openxmlformats-officedocument.spreadsheetml.worksheet+xml"/>
  <Override PartName="/xl/worksheets/sheet24.xml" ContentType="application/vnd.openxmlformats-officedocument.spreadsheetml.worksheet+xml"/>
  <Override PartName="/xl/worksheets/sheet7.xml" ContentType="application/vnd.openxmlformats-officedocument.spreadsheetml.worksheet+xml"/>
  <Override PartName="/xl/worksheets/sheet25.xml" ContentType="application/vnd.openxmlformats-officedocument.spreadsheetml.worksheet+xml"/>
  <Override PartName="/xl/worksheets/sheet8.xml" ContentType="application/vnd.openxmlformats-officedocument.spreadsheetml.worksheet+xml"/>
  <Override PartName="/xl/worksheets/sheet26.xml" ContentType="application/vnd.openxmlformats-officedocument.spreadsheetml.worksheet+xml"/>
  <Override PartName="/xl/worksheets/_rels/sheet30.xml.rels" ContentType="application/vnd.openxmlformats-package.relationships+xml"/>
  <Override PartName="/xl/worksheets/_rels/sheet23.xml.rels" ContentType="application/vnd.openxmlformats-package.relationships+xml"/>
  <Override PartName="/xl/worksheets/_rels/sheet21.xml.rels" ContentType="application/vnd.openxmlformats-package.relationships+xml"/>
  <Override PartName="/xl/worksheets/_rels/sheet22.xml.rels" ContentType="application/vnd.openxmlformats-package.relationships+xml"/>
  <Override PartName="/xl/worksheets/_rels/sheet24.xml.rels" ContentType="application/vnd.openxmlformats-package.relationships+xml"/>
  <Override PartName="/xl/worksheets/_rels/sheet25.xml.rels" ContentType="application/vnd.openxmlformats-package.relationships+xml"/>
  <Override PartName="/xl/worksheets/_rels/sheet26.xml.rels" ContentType="application/vnd.openxmlformats-package.relationships+xml"/>
  <Override PartName="/xl/worksheets/sheet9.xml" ContentType="application/vnd.openxmlformats-officedocument.spreadsheetml.worksheet+xml"/>
  <Override PartName="/xl/worksheets/sheet27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2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6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vmlDrawing2.vml" ContentType="application/vnd.openxmlformats-officedocument.vmlDrawing"/>
  <Override PartName="/xl/comments3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9"/>
  </bookViews>
  <sheets>
    <sheet name="marzec-kwiecien" sheetId="1" state="visible" r:id="rId2"/>
    <sheet name="maj" sheetId="2" state="visible" r:id="rId3"/>
    <sheet name="czerwiec" sheetId="3" state="visible" r:id="rId4"/>
    <sheet name="lipiec" sheetId="4" state="visible" r:id="rId5"/>
    <sheet name="sierpien" sheetId="5" state="visible" r:id="rId6"/>
    <sheet name="wrzesień" sheetId="6" state="visible" r:id="rId7"/>
    <sheet name="październik" sheetId="7" state="visible" r:id="rId8"/>
    <sheet name="listopad" sheetId="8" state="visible" r:id="rId9"/>
    <sheet name="grudzien" sheetId="9" state="visible" r:id="rId10"/>
    <sheet name="STYCZEŃ_2025" sheetId="10" state="visible" r:id="rId11"/>
    <sheet name="LUTY_2025" sheetId="11" state="visible" r:id="rId12"/>
    <sheet name="MARZEC_2025" sheetId="12" state="visible" r:id="rId13"/>
    <sheet name="KWIECIEŃ_2025" sheetId="13" state="visible" r:id="rId14"/>
    <sheet name="MAJ_2025" sheetId="14" state="visible" r:id="rId15"/>
    <sheet name="CZERWIEC_2025" sheetId="15" state="visible" r:id="rId16"/>
    <sheet name="LIPIEC_2025" sheetId="16" state="visible" r:id="rId17"/>
    <sheet name="SIERPIEŃ_2025" sheetId="17" state="visible" r:id="rId18"/>
    <sheet name="WRZESIEŃ_2025" sheetId="18" state="visible" r:id="rId19"/>
    <sheet name="PAŹDZIERNIK_2025" sheetId="19" state="visible" r:id="rId20"/>
    <sheet name="LISTOPAD_2025" sheetId="20" state="visible" r:id="rId21"/>
    <sheet name="GRUDZIEŃ_2025" sheetId="21" state="visible" r:id="rId22"/>
    <sheet name="STYCZEŃ_2026" sheetId="22" state="visible" r:id="rId23"/>
    <sheet name="LUTY_2026" sheetId="23" state="visible" r:id="rId24"/>
    <sheet name="MARZEC_2026" sheetId="24" state="visible" r:id="rId25"/>
    <sheet name="KWIECIEŃ_2026" sheetId="25" state="visible" r:id="rId26"/>
    <sheet name="MAJ_2026" sheetId="26" state="visible" r:id="rId27"/>
    <sheet name="CZERWIEC_2026" sheetId="27" state="visible" r:id="rId28"/>
    <sheet name="LIPIEC_2026" sheetId="28" state="visible" r:id="rId29"/>
    <sheet name="SIERPIEŃ_2026" sheetId="29" state="visible" r:id="rId30"/>
    <sheet name="WRZESIEŃ_2026" sheetId="30" state="visible" r:id="rId31"/>
    <sheet name="PADŹDZIERNIK_2026" sheetId="31" state="visible" r:id="rId32"/>
  </sheets>
  <definedNames>
    <definedName function="false" hidden="true" localSheetId="20" name="_xlnm._FilterDatabase" vbProcedure="false">GRUDZIEŃ_2025!$A$3:$H$3</definedName>
    <definedName function="false" hidden="true" localSheetId="24" name="_xlnm._FilterDatabase" vbProcedure="false">KWIECIEŃ_2026!$A$3:$Q$25</definedName>
    <definedName function="false" hidden="true" localSheetId="22" name="_xlnm._FilterDatabase" vbProcedure="false">LUTY_2026!$A$3:$Q$16</definedName>
    <definedName function="false" hidden="true" localSheetId="25" name="_xlnm._FilterDatabase" vbProcedure="false">MAJ_2026!$A$3:$I$12</definedName>
    <definedName function="false" hidden="true" localSheetId="23" name="_xlnm._FilterDatabase" vbProcedure="false">MARZEC_2026!$A$3:$I$28</definedName>
    <definedName function="false" hidden="true" localSheetId="21" name="_xlnm._FilterDatabase" vbProcedure="false">STYCZEŃ_2026!$A$3:$Q$20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H6" authorId="0">
      <text>
        <r>
          <rPr>
            <sz val="11"/>
            <color rgb="FF000000"/>
            <rFont val="Aptos Narrow"/>
            <family val="2"/>
            <charset val="1"/>
          </rPr>
          <t xml:space="preserve">[Komentarz podzielony na wątki]
Używana wersja programu Excel umożliwia odczytanie tego komentarza podzielonego na wątki, jednak wszelkie wprowadzone w nim zmiany zostaną usunięte po otwarciu pliku w nowszej wersji programu Excel. Dowiedz się więcej: https://go.microsoft.com/fwlink/?linkid=870924
Komentarz:
    Dojechało 9.12
</t>
        </r>
      </text>
    </comment>
  </commentList>
</comments>
</file>

<file path=xl/comments30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3" authorId="0">
      <text>
        <r>
          <rPr>
            <sz val="11"/>
            <color rgb="FF000000"/>
            <rFont val="Aptos Narrow"/>
            <family val="2"/>
            <charset val="1"/>
          </rPr>
          <t xml:space="preserve">Projekt to nazwa klienta dla którego zamawiamy to tworzywa, może być ich dwuch trzech
</t>
        </r>
      </text>
    </comment>
    <comment ref="H3" authorId="0">
      <text>
        <r>
          <rPr>
            <sz val="11"/>
            <color rgb="FF000000"/>
            <rFont val="Aptos Narrow"/>
            <family val="2"/>
            <charset val="1"/>
          </rPr>
          <t xml:space="preserve">Wartość w PLN lub eur</t>
        </r>
      </text>
    </comment>
    <comment ref="O3" authorId="0">
      <text>
        <r>
          <rPr>
            <sz val="11"/>
            <color rgb="FF000000"/>
            <rFont val="Aptos Narrow"/>
            <family val="2"/>
            <charset val="1"/>
          </rPr>
          <t xml:space="preserve">Nadaje Ania w excelu „Baza dostawców”
ZT – zamówienie tworzyw ZB – zamówienia barwników
RES – skrót od dostawcy na końcu </t>
        </r>
      </text>
    </comment>
  </commentList>
</comments>
</file>

<file path=xl/sharedStrings.xml><?xml version="1.0" encoding="utf-8"?>
<sst xmlns="http://schemas.openxmlformats.org/spreadsheetml/2006/main" count="5085" uniqueCount="1131">
  <si>
    <t xml:space="preserve">DOSTAWY MARZEC-KWIECIEŃ</t>
  </si>
  <si>
    <t xml:space="preserve">Lp.</t>
  </si>
  <si>
    <t xml:space="preserve">Nazwa </t>
  </si>
  <si>
    <t xml:space="preserve">Projekt</t>
  </si>
  <si>
    <t xml:space="preserve">Dostawca</t>
  </si>
  <si>
    <t xml:space="preserve">Cena/kg</t>
  </si>
  <si>
    <t xml:space="preserve">Ilość </t>
  </si>
  <si>
    <t xml:space="preserve">Łącznie</t>
  </si>
  <si>
    <t xml:space="preserve">Data dostawy</t>
  </si>
  <si>
    <t xml:space="preserve">Przelicznik na PLN = Kurs 4,35</t>
  </si>
  <si>
    <t xml:space="preserve">1.</t>
  </si>
  <si>
    <t xml:space="preserve">PP+30GF SCOLEFIN 53 G 10-0 NATURAL</t>
  </si>
  <si>
    <t xml:space="preserve">DREWNIAK</t>
  </si>
  <si>
    <t xml:space="preserve">RESINEX</t>
  </si>
  <si>
    <t xml:space="preserve">2.</t>
  </si>
  <si>
    <t xml:space="preserve">ASA NATURAL STAREX ER-9120 NP NATURALNY</t>
  </si>
  <si>
    <t xml:space="preserve">LIDERPOOL</t>
  </si>
  <si>
    <t xml:space="preserve">KGL</t>
  </si>
  <si>
    <t xml:space="preserve">3.</t>
  </si>
  <si>
    <t xml:space="preserve">HDPE  Hostalen GC7260 </t>
  </si>
  <si>
    <t xml:space="preserve">POLIMER PROJEKT</t>
  </si>
  <si>
    <t xml:space="preserve">4.</t>
  </si>
  <si>
    <t xml:space="preserve">HRC9480/230_B102</t>
  </si>
  <si>
    <t xml:space="preserve">FIBOO</t>
  </si>
  <si>
    <t xml:space="preserve">KRAIBURG</t>
  </si>
  <si>
    <t xml:space="preserve">5.</t>
  </si>
  <si>
    <t xml:space="preserve">PC  BIAŁE </t>
  </si>
  <si>
    <t xml:space="preserve">ROSA + FIBERLAB</t>
  </si>
  <si>
    <t xml:space="preserve">EKOBASKET</t>
  </si>
  <si>
    <t xml:space="preserve">Nie wliczony transport w cenę (sami odbieramy)</t>
  </si>
  <si>
    <t xml:space="preserve">6.</t>
  </si>
  <si>
    <t xml:space="preserve">KONCENTRAT BARWIĄCY WEISS 20-91147F PC</t>
  </si>
  <si>
    <t xml:space="preserve">ROSA</t>
  </si>
  <si>
    <t xml:space="preserve">LIFO COLOR </t>
  </si>
  <si>
    <t xml:space="preserve">7.</t>
  </si>
  <si>
    <t xml:space="preserve">ABS CZARNY REGRANULAT</t>
  </si>
  <si>
    <t xml:space="preserve">IVT + ŁUKASIK SZPULE </t>
  </si>
  <si>
    <t xml:space="preserve">PROGRESS</t>
  </si>
  <si>
    <t xml:space="preserve">Nie wliczony transport w cenę  (150,00zł paleta)</t>
  </si>
  <si>
    <t xml:space="preserve">8.</t>
  </si>
  <si>
    <t xml:space="preserve">PP HT 2511</t>
  </si>
  <si>
    <t xml:space="preserve">KM</t>
  </si>
  <si>
    <t xml:space="preserve">POLIMERPROJEKT</t>
  </si>
  <si>
    <t xml:space="preserve">9.</t>
  </si>
  <si>
    <t xml:space="preserve">PP RM 4555</t>
  </si>
  <si>
    <t xml:space="preserve">10.</t>
  </si>
  <si>
    <t xml:space="preserve">PA6+25GF - PLASTIMID 6 B28 G5 NR </t>
  </si>
  <si>
    <t xml:space="preserve">APP (zamiennik T27+25GF)</t>
  </si>
  <si>
    <t xml:space="preserve">11.</t>
  </si>
  <si>
    <t xml:space="preserve">POM C27N</t>
  </si>
  <si>
    <t xml:space="preserve">SCOOP-TEC</t>
  </si>
  <si>
    <t xml:space="preserve">12.</t>
  </si>
  <si>
    <t xml:space="preserve">ABS - PMS 101C – GELB 20-11407F </t>
  </si>
  <si>
    <t xml:space="preserve">HOLY-PIT</t>
  </si>
  <si>
    <t xml:space="preserve">ARGUS</t>
  </si>
  <si>
    <t xml:space="preserve">13.</t>
  </si>
  <si>
    <t xml:space="preserve">ABS LIMONKA – PMS 388C – GRUN 20-43128F </t>
  </si>
  <si>
    <t xml:space="preserve">14.</t>
  </si>
  <si>
    <t xml:space="preserve">ABS MIĘTA – PMS 3533C – GRUN 20-43134F</t>
  </si>
  <si>
    <t xml:space="preserve">15.</t>
  </si>
  <si>
    <t xml:space="preserve">ABS CORAL   LIVING CORAL 16-1546</t>
  </si>
  <si>
    <t xml:space="preserve">16.</t>
  </si>
  <si>
    <t xml:space="preserve">ABS PINK PMS 177C ( Patrick Star Pink)</t>
  </si>
  <si>
    <t xml:space="preserve">17.</t>
  </si>
  <si>
    <t xml:space="preserve">PA6 B305</t>
  </si>
  <si>
    <t xml:space="preserve">EVR</t>
  </si>
  <si>
    <t xml:space="preserve">TERPLASTICS</t>
  </si>
  <si>
    <t xml:space="preserve">18.</t>
  </si>
  <si>
    <t xml:space="preserve">PP K295 </t>
  </si>
  <si>
    <t xml:space="preserve">BCD</t>
  </si>
  <si>
    <t xml:space="preserve">19.</t>
  </si>
  <si>
    <t xml:space="preserve">20.</t>
  </si>
  <si>
    <t xml:space="preserve">53G13-0 </t>
  </si>
  <si>
    <t xml:space="preserve">21.</t>
  </si>
  <si>
    <t xml:space="preserve">Barwnik Brązowy W8-43/1</t>
  </si>
  <si>
    <t xml:space="preserve">WEST </t>
  </si>
  <si>
    <t xml:space="preserve">22.</t>
  </si>
  <si>
    <t xml:space="preserve">Barwnik Grafitowy W9-67U/1</t>
  </si>
  <si>
    <t xml:space="preserve">23.</t>
  </si>
  <si>
    <t xml:space="preserve">Dodatek UV</t>
  </si>
  <si>
    <t xml:space="preserve">24.</t>
  </si>
  <si>
    <t xml:space="preserve">PA6+30GF  PLASTIMID 6 black M.NR040 B28 G6 </t>
  </si>
  <si>
    <t xml:space="preserve">MOBILUS MOTOR </t>
  </si>
  <si>
    <t xml:space="preserve">25.</t>
  </si>
  <si>
    <t xml:space="preserve">HIPS CZARNY</t>
  </si>
  <si>
    <t xml:space="preserve">HIC</t>
  </si>
  <si>
    <t xml:space="preserve">Plastic Solution</t>
  </si>
  <si>
    <t xml:space="preserve">"+" koszty transp.</t>
  </si>
  <si>
    <t xml:space="preserve">26.</t>
  </si>
  <si>
    <t xml:space="preserve">PP COPO CZARNY</t>
  </si>
  <si>
    <t xml:space="preserve">IVT REDUKCJA</t>
  </si>
  <si>
    <t xml:space="preserve">DOSTAWY MAJ</t>
  </si>
  <si>
    <t xml:space="preserve">ŁUKASIK/ L&amp;P</t>
  </si>
  <si>
    <t xml:space="preserve">Do potwierdzenia termin </t>
  </si>
  <si>
    <t xml:space="preserve">GRANPOL 45A</t>
  </si>
  <si>
    <t xml:space="preserve">GRANPOL</t>
  </si>
  <si>
    <t xml:space="preserve">GRANPOL 80A</t>
  </si>
  <si>
    <t xml:space="preserve">DOSTAWY CZERWIEC</t>
  </si>
  <si>
    <t xml:space="preserve">rPET</t>
  </si>
  <si>
    <t xml:space="preserve">PRT RADOMSKO</t>
  </si>
  <si>
    <t xml:space="preserve">PP+20T</t>
  </si>
  <si>
    <t xml:space="preserve">L&amp;P</t>
  </si>
  <si>
    <t xml:space="preserve">TPU RAVATHANE 130A93</t>
  </si>
  <si>
    <t xml:space="preserve">RESINEX </t>
  </si>
  <si>
    <t xml:space="preserve">SEBS HRC9480/230</t>
  </si>
  <si>
    <t xml:space="preserve">KONCENTRAT BARWIĄCY WEISS</t>
  </si>
  <si>
    <t xml:space="preserve">APP</t>
  </si>
  <si>
    <t xml:space="preserve">PLASTIMID 6 NATURAL B28 CR  - bez włókna</t>
  </si>
  <si>
    <t xml:space="preserve">DOSTAWY LIPIEC</t>
  </si>
  <si>
    <t xml:space="preserve">mABS</t>
  </si>
  <si>
    <t xml:space="preserve">L&amp;P </t>
  </si>
  <si>
    <t xml:space="preserve">rPP COPO BIAŁE</t>
  </si>
  <si>
    <t xml:space="preserve">MARMITE </t>
  </si>
  <si>
    <t xml:space="preserve">"+" TRANSPORT</t>
  </si>
  <si>
    <t xml:space="preserve">PC 12.20UR</t>
  </si>
  <si>
    <t xml:space="preserve">HIC - ŁAPKI</t>
  </si>
  <si>
    <t xml:space="preserve">rPC BIAŁE</t>
  </si>
  <si>
    <t xml:space="preserve">FIBERLAB/ROSA</t>
  </si>
  <si>
    <t xml:space="preserve">rPC CZARNE </t>
  </si>
  <si>
    <t xml:space="preserve">L&amp;P ; LIDERPOOL</t>
  </si>
  <si>
    <t xml:space="preserve">PA6 TEREZ B305</t>
  </si>
  <si>
    <t xml:space="preserve">TER PLASTICS </t>
  </si>
  <si>
    <t xml:space="preserve">PMMA Altuglas HFI-7 </t>
  </si>
  <si>
    <t xml:space="preserve">EUROSTER </t>
  </si>
  <si>
    <t xml:space="preserve">PVC -ST/P81CZ-0 BLACK          </t>
  </si>
  <si>
    <t xml:space="preserve">BENVIC GROUP (ALFA PVC)</t>
  </si>
  <si>
    <t xml:space="preserve">BIOL6GB3907 - barwnik na worki na psie kupy</t>
  </si>
  <si>
    <t xml:space="preserve">GABRIEL CHEMIE </t>
  </si>
  <si>
    <t xml:space="preserve">TEREZ BE 300 GF30 </t>
  </si>
  <si>
    <t xml:space="preserve">APP </t>
  </si>
  <si>
    <t xml:space="preserve">COFORMA - odsprzedaż z Terplastics</t>
  </si>
  <si>
    <t xml:space="preserve">TEREZ BE 300 GF50 </t>
  </si>
  <si>
    <t xml:space="preserve">DOSTAWY SIEPRIEŃ </t>
  </si>
  <si>
    <t xml:space="preserve">PA6 (PA6+25GF) PLASTIMID 6 B28 G5 NR</t>
  </si>
  <si>
    <t xml:space="preserve">PC 12.80UR </t>
  </si>
  <si>
    <t xml:space="preserve">KHG</t>
  </si>
  <si>
    <t xml:space="preserve">FIBERLAB</t>
  </si>
  <si>
    <t xml:space="preserve">EMIPAK</t>
  </si>
  <si>
    <t xml:space="preserve">ABS LIME – PMS 388C – GRUN 20-43128F </t>
  </si>
  <si>
    <t xml:space="preserve">???</t>
  </si>
  <si>
    <t xml:space="preserve">ABS MINT – PMS 3533C – GRUN 20-43134F</t>
  </si>
  <si>
    <t xml:space="preserve">ABS YELLOW   PMS 101C</t>
  </si>
  <si>
    <t xml:space="preserve">ABS WHITE - CLOUD PMS 11-0602 TCX</t>
  </si>
  <si>
    <t xml:space="preserve">ABS - LG HF380 White</t>
  </si>
  <si>
    <t xml:space="preserve">KONCENTRAT BARWIĄCY WEISS  20-91147F PC</t>
  </si>
  <si>
    <t xml:space="preserve">PC 12.20UR </t>
  </si>
  <si>
    <t xml:space="preserve">PLANOWANE - NIE ZAMÓWIONE </t>
  </si>
  <si>
    <t xml:space="preserve">DOSTAWY WRZESIEŃ</t>
  </si>
  <si>
    <t xml:space="preserve">PP MOPLEN EP548R</t>
  </si>
  <si>
    <t xml:space="preserve">POLIMER PROJEKT </t>
  </si>
  <si>
    <t xml:space="preserve">BARWNIK - Brąz PE4353</t>
  </si>
  <si>
    <t xml:space="preserve">UNIWERS </t>
  </si>
  <si>
    <t xml:space="preserve">COLOR PLAST </t>
  </si>
  <si>
    <t xml:space="preserve">BARWNIK - Biały PE15000</t>
  </si>
  <si>
    <t xml:space="preserve">BARWNIK -Grafit/szary PE9437 R.7016</t>
  </si>
  <si>
    <t xml:space="preserve">GRANSEB 75G/transp1/139</t>
  </si>
  <si>
    <t xml:space="preserve">BARWNIK - LIFOPHOS 40/901 PE</t>
  </si>
  <si>
    <t xml:space="preserve">LIFOCOLOR</t>
  </si>
  <si>
    <t xml:space="preserve">PP COPO BIAŁY</t>
  </si>
  <si>
    <t xml:space="preserve">MARMITE</t>
  </si>
  <si>
    <t xml:space="preserve">"+" transport</t>
  </si>
  <si>
    <t xml:space="preserve">DREWNIAK/ UNIWERS</t>
  </si>
  <si>
    <t xml:space="preserve">DOSTAWY PAŹDZIERNIK</t>
  </si>
  <si>
    <t xml:space="preserve">PA6 - B305 </t>
  </si>
  <si>
    <t xml:space="preserve">PS Synthos HI 552 M naturalny </t>
  </si>
  <si>
    <t xml:space="preserve">UNIWERS</t>
  </si>
  <si>
    <t xml:space="preserve">PS Synthos GP-525 transparent</t>
  </si>
  <si>
    <t xml:space="preserve">ABS HF 380 White</t>
  </si>
  <si>
    <t xml:space="preserve">EUROSTER</t>
  </si>
  <si>
    <t xml:space="preserve">PA6+50GF PLASTIMID 6 B1 G10 BK </t>
  </si>
  <si>
    <t xml:space="preserve">PP K295</t>
  </si>
  <si>
    <t xml:space="preserve">BCD </t>
  </si>
  <si>
    <t xml:space="preserve">DOSTAWY LISTOPAD</t>
  </si>
  <si>
    <t xml:space="preserve">PP COPO BIAŁY </t>
  </si>
  <si>
    <t xml:space="preserve">GPL-GRANSEB-80 G/000/139 </t>
  </si>
  <si>
    <t xml:space="preserve">GPL-GRANSEB - 45G/000/139</t>
  </si>
  <si>
    <t xml:space="preserve">LIDERPOOL + FIBOO</t>
  </si>
  <si>
    <t xml:space="preserve">PA6+30GF PLASTIMID 6 B28 G6 BK</t>
  </si>
  <si>
    <t xml:space="preserve">PVC - ST/P81CZ-0 BLACK</t>
  </si>
  <si>
    <t xml:space="preserve">BENVIC</t>
  </si>
  <si>
    <t xml:space="preserve">PS Synthos GP-525 transparent (ZAMIENNIK - PS KUMHO GP125 )</t>
  </si>
  <si>
    <t xml:space="preserve">PC 12.80UR</t>
  </si>
  <si>
    <t xml:space="preserve">POLIMR PROJEKT</t>
  </si>
  <si>
    <t xml:space="preserve">27.</t>
  </si>
  <si>
    <t xml:space="preserve">28.</t>
  </si>
  <si>
    <t xml:space="preserve">DOSTAWY GRUDZIEŃ </t>
  </si>
  <si>
    <t xml:space="preserve">KONCENTRAT BARWIĄCY WEISS 20-91568F PA</t>
  </si>
  <si>
    <t xml:space="preserve">IVT</t>
  </si>
  <si>
    <t xml:space="preserve">ZAMÓWIENIA/DOSTAWY STYCZEŃ 2025</t>
  </si>
  <si>
    <t xml:space="preserve">TWORZYWO </t>
  </si>
  <si>
    <t xml:space="preserve">Dostarczone ? </t>
  </si>
  <si>
    <t xml:space="preserve">Numer faktury</t>
  </si>
  <si>
    <t xml:space="preserve">UWAGI </t>
  </si>
  <si>
    <t xml:space="preserve">02/2025</t>
  </si>
  <si>
    <t xml:space="preserve">PP RANDOM  Advance 400 NATURAL</t>
  </si>
  <si>
    <t xml:space="preserve">25000108</t>
  </si>
  <si>
    <t xml:space="preserve">(S)FS-6/01/25/G</t>
  </si>
  <si>
    <t xml:space="preserve">PA6+50GF PLASTIMID 6 B1 G10 </t>
  </si>
  <si>
    <t xml:space="preserve">	
FS/70/01/2025</t>
  </si>
  <si>
    <t xml:space="preserve">25000241</t>
  </si>
  <si>
    <t xml:space="preserve">(S)FS-4/1/25</t>
  </si>
  <si>
    <t xml:space="preserve">rPCBIAŁE</t>
  </si>
  <si>
    <t xml:space="preserve">91166091</t>
  </si>
  <si>
    <t xml:space="preserve">0002/1/2025/FVSW</t>
  </si>
  <si>
    <t xml:space="preserve">1/01/25</t>
  </si>
  <si>
    <t xml:space="preserve">1282644</t>
  </si>
  <si>
    <t xml:space="preserve">PMMA  ALTUGLAS HFI-7 </t>
  </si>
  <si>
    <t xml:space="preserve">25000682</t>
  </si>
  <si>
    <t xml:space="preserve">14/01/25</t>
  </si>
  <si>
    <t xml:space="preserve">DOSTARCZONE TYLKO  5.000 KG</t>
  </si>
  <si>
    <t xml:space="preserve">BARWNIK </t>
  </si>
  <si>
    <t xml:space="preserve">UWAGI</t>
  </si>
  <si>
    <t xml:space="preserve">WEST</t>
  </si>
  <si>
    <t xml:space="preserve">FA/85/2025/P</t>
  </si>
  <si>
    <t xml:space="preserve">GM-378E</t>
  </si>
  <si>
    <t xml:space="preserve">GMCOLOR</t>
  </si>
  <si>
    <t xml:space="preserve">FV/0775/01/2025</t>
  </si>
  <si>
    <t xml:space="preserve">GM 43107E </t>
  </si>
  <si>
    <t xml:space="preserve">FV/0773/01/2025</t>
  </si>
  <si>
    <t xml:space="preserve">FA/96/2025/P</t>
  </si>
  <si>
    <t xml:space="preserve">W2-73/1</t>
  </si>
  <si>
    <t xml:space="preserve">FA/117/2025/P</t>
  </si>
  <si>
    <t xml:space="preserve">Dostarczone tylko 20kg </t>
  </si>
  <si>
    <t xml:space="preserve">W7-76</t>
  </si>
  <si>
    <t xml:space="preserve">W6-125</t>
  </si>
  <si>
    <t xml:space="preserve">FA/109/2025/P</t>
  </si>
  <si>
    <t xml:space="preserve">W4-62 </t>
  </si>
  <si>
    <t xml:space="preserve">W6-69 </t>
  </si>
  <si>
    <t xml:space="preserve">HP99611</t>
  </si>
  <si>
    <t xml:space="preserve">GABRIEL</t>
  </si>
  <si>
    <t xml:space="preserve">W5-25</t>
  </si>
  <si>
    <t xml:space="preserve">FA/132/2025/P</t>
  </si>
  <si>
    <t xml:space="preserve">FA/116/2025/P</t>
  </si>
  <si>
    <t xml:space="preserve">ZAMÓWIENIA/DOSTAWY LUTY 2025</t>
  </si>
  <si>
    <t xml:space="preserve">Uwagi</t>
  </si>
  <si>
    <t xml:space="preserve">FV/0388/25</t>
  </si>
  <si>
    <t xml:space="preserve">7/2025</t>
  </si>
  <si>
    <t xml:space="preserve">Przyjechała w poniedziałek (03.02) - 1 tona</t>
  </si>
  <si>
    <t xml:space="preserve">FS/373/01/2025</t>
  </si>
  <si>
    <t xml:space="preserve">25001127</t>
  </si>
  <si>
    <t xml:space="preserve">ABS HI 121H Natural</t>
  </si>
  <si>
    <t xml:space="preserve">5/02/2025</t>
  </si>
  <si>
    <r>
      <rPr>
        <sz val="11"/>
        <color rgb="FF000000"/>
        <rFont val="Aptos Narrow"/>
        <family val="2"/>
        <charset val="1"/>
      </rPr>
      <t xml:space="preserve">SEBS HRC9480/</t>
    </r>
    <r>
      <rPr>
        <b val="true"/>
        <sz val="11"/>
        <color rgb="FF000000"/>
        <rFont val="Aptos Narrow"/>
        <family val="2"/>
        <charset val="1"/>
      </rPr>
      <t xml:space="preserve">451</t>
    </r>
    <r>
      <rPr>
        <sz val="11"/>
        <color rgb="FF000000"/>
        <rFont val="Aptos Narrow"/>
        <family val="2"/>
        <charset val="1"/>
      </rPr>
      <t xml:space="preserve"> - twardość 80A</t>
    </r>
  </si>
  <si>
    <t xml:space="preserve">91167562</t>
  </si>
  <si>
    <t xml:space="preserve">13/02/2025</t>
  </si>
  <si>
    <t xml:space="preserve">1284203</t>
  </si>
  <si>
    <t xml:space="preserve">PC 12.20 UR</t>
  </si>
  <si>
    <t xml:space="preserve">FS/169/02/2025</t>
  </si>
  <si>
    <t xml:space="preserve">ASA BIAŁA  STAREX WR9120 W94848</t>
  </si>
  <si>
    <t xml:space="preserve">ASA NATURAL LG CHEM ASA LI911 NAUTRAL</t>
  </si>
  <si>
    <t xml:space="preserve">25001489</t>
  </si>
  <si>
    <t xml:space="preserve">ASA NATURAL  ASA Kumho XC160 nat</t>
  </si>
  <si>
    <t xml:space="preserve">NEXEO</t>
  </si>
  <si>
    <t xml:space="preserve">9481090725</t>
  </si>
  <si>
    <t xml:space="preserve">25001622</t>
  </si>
  <si>
    <t xml:space="preserve">D060075281</t>
  </si>
  <si>
    <t xml:space="preserve">PS Synthos GP-525 transparent </t>
  </si>
  <si>
    <t xml:space="preserve">ABS MAGNUM 8391</t>
  </si>
  <si>
    <t xml:space="preserve">OKIDAY</t>
  </si>
  <si>
    <t xml:space="preserve">9481087868</t>
  </si>
  <si>
    <t xml:space="preserve">GM-51519P</t>
  </si>
  <si>
    <t xml:space="preserve">FV/0312/02/2025</t>
  </si>
  <si>
    <t xml:space="preserve">PRZYJECHAŁ 11.02.2025</t>
  </si>
  <si>
    <t xml:space="preserve">GM-32218E</t>
  </si>
  <si>
    <t xml:space="preserve">GM-41373P</t>
  </si>
  <si>
    <t xml:space="preserve">GM80295</t>
  </si>
  <si>
    <t xml:space="preserve">FV/0059/02/2025</t>
  </si>
  <si>
    <t xml:space="preserve">GM80690E</t>
  </si>
  <si>
    <t xml:space="preserve">FV/0421/02/2025</t>
  </si>
  <si>
    <t xml:space="preserve">GM378E</t>
  </si>
  <si>
    <t xml:space="preserve">FV/0422/02/2025</t>
  </si>
  <si>
    <t xml:space="preserve">FA/190/2025/P</t>
  </si>
  <si>
    <t xml:space="preserve">PRZYJECHAŁ 07.02.2025</t>
  </si>
  <si>
    <t xml:space="preserve">FA/191/2025/P</t>
  </si>
  <si>
    <t xml:space="preserve">PRZYJECHAŁ 07.02.2025 // TYLKO 16 KG</t>
  </si>
  <si>
    <t xml:space="preserve">W9-36</t>
  </si>
  <si>
    <t xml:space="preserve">FA/206/2025/P</t>
  </si>
  <si>
    <t xml:space="preserve">PRZYJECHAŁ 12.02.2025</t>
  </si>
  <si>
    <t xml:space="preserve">GM-80721B </t>
  </si>
  <si>
    <t xml:space="preserve">FV/0679/02/2025</t>
  </si>
  <si>
    <t xml:space="preserve">GM80669B</t>
  </si>
  <si>
    <t xml:space="preserve"> </t>
  </si>
  <si>
    <t xml:space="preserve">FV/0621/02/2025</t>
  </si>
  <si>
    <t xml:space="preserve">GM-43114E</t>
  </si>
  <si>
    <t xml:space="preserve">FV/0398/02/2025</t>
  </si>
  <si>
    <t xml:space="preserve">GM-6979E</t>
  </si>
  <si>
    <t xml:space="preserve">FV/0595/02/2025</t>
  </si>
  <si>
    <t xml:space="preserve">ZAMÓWIENIA/DOSTAWY MARZEC 2025</t>
  </si>
  <si>
    <t xml:space="preserve">18/2025,</t>
  </si>
  <si>
    <t xml:space="preserve">DOSTARCZONE 2.000 KG - 28.02, 04.03</t>
  </si>
  <si>
    <t xml:space="preserve">D060075763</t>
  </si>
  <si>
    <t xml:space="preserve">D060075789</t>
  </si>
  <si>
    <t xml:space="preserve">FS/52/03/2025</t>
  </si>
  <si>
    <t xml:space="preserve">FV/0899/25</t>
  </si>
  <si>
    <t xml:space="preserve">26/2025</t>
  </si>
  <si>
    <t xml:space="preserve">1.000 kg przyjechało 21.03.2025, 1.000 kg przyjechało 24.03.2025</t>
  </si>
  <si>
    <t xml:space="preserve">koszty dostawy</t>
  </si>
  <si>
    <t xml:space="preserve">FS-11/03/25 FS-12/03/25</t>
  </si>
  <si>
    <t xml:space="preserve">?</t>
  </si>
  <si>
    <t xml:space="preserve">GABRIEL CHEMIE</t>
  </si>
  <si>
    <t xml:space="preserve">25 kg</t>
  </si>
  <si>
    <t xml:space="preserve">DOSTARCZONE 12.03.2025</t>
  </si>
  <si>
    <t xml:space="preserve">W6-69</t>
  </si>
  <si>
    <t xml:space="preserve">FA/407/2025/P</t>
  </si>
  <si>
    <t xml:space="preserve">W4-62</t>
  </si>
  <si>
    <t xml:space="preserve">GM43107E</t>
  </si>
  <si>
    <t xml:space="preserve">GM COLOR</t>
  </si>
  <si>
    <t xml:space="preserve">FV/0773/03/2025</t>
  </si>
  <si>
    <t xml:space="preserve">W9-67U/1 </t>
  </si>
  <si>
    <t xml:space="preserve">FA/372/2025/P</t>
  </si>
  <si>
    <t xml:space="preserve">W8-43/1 </t>
  </si>
  <si>
    <t xml:space="preserve">Uv 2375 PE </t>
  </si>
  <si>
    <t xml:space="preserve">75 kg</t>
  </si>
  <si>
    <t xml:space="preserve">FA/373/2025/P</t>
  </si>
  <si>
    <t xml:space="preserve"> GM-53281E </t>
  </si>
  <si>
    <t xml:space="preserve">25kg</t>
  </si>
  <si>
    <t xml:space="preserve">FV/0496/03/2025</t>
  </si>
  <si>
    <t xml:space="preserve">GM-10683P </t>
  </si>
  <si>
    <t xml:space="preserve">FV/0277/03/2025</t>
  </si>
  <si>
    <t xml:space="preserve">SAN9017/16</t>
  </si>
  <si>
    <t xml:space="preserve">20kg</t>
  </si>
  <si>
    <t xml:space="preserve">GM-10684P </t>
  </si>
  <si>
    <t xml:space="preserve">FV/0267/03/2025</t>
  </si>
  <si>
    <t xml:space="preserve">GM-12197E</t>
  </si>
  <si>
    <t xml:space="preserve">FV/0542/03/2025</t>
  </si>
  <si>
    <t xml:space="preserve"> GM-51519P </t>
  </si>
  <si>
    <t xml:space="preserve">ZAMÓWIENIA/DOSTAWY KWIECIEŃ 2025</t>
  </si>
  <si>
    <t xml:space="preserve">SCOOP-TEC/ MARBO</t>
  </si>
  <si>
    <t xml:space="preserve">(S)FS-6/4/25</t>
  </si>
  <si>
    <t xml:space="preserve">FS/84/04/2025</t>
  </si>
  <si>
    <t xml:space="preserve">(S)FS-9/4/25</t>
  </si>
  <si>
    <t xml:space="preserve">PA6 z drewnem</t>
  </si>
  <si>
    <t xml:space="preserve">PACYGA</t>
  </si>
  <si>
    <t xml:space="preserve">-</t>
  </si>
  <si>
    <t xml:space="preserve">SCOOPTEC / APP</t>
  </si>
  <si>
    <t xml:space="preserve">FS/170/04/2025</t>
  </si>
  <si>
    <t xml:space="preserve">FS-10/04/25,FS-11/04/25</t>
  </si>
  <si>
    <t xml:space="preserve">FV/1395/25</t>
  </si>
  <si>
    <t xml:space="preserve">W9-60U </t>
  </si>
  <si>
    <t xml:space="preserve">FA/506/2025/P</t>
  </si>
  <si>
    <t xml:space="preserve">FA/518/2025/P</t>
  </si>
  <si>
    <t xml:space="preserve">FA/520/2025/P</t>
  </si>
  <si>
    <t xml:space="preserve">FA/630/2025/P</t>
  </si>
  <si>
    <t xml:space="preserve">W4-99U</t>
  </si>
  <si>
    <t xml:space="preserve">W003/1</t>
  </si>
  <si>
    <t xml:space="preserve"> FA/634/2025/P</t>
  </si>
  <si>
    <t xml:space="preserve">W9-173 </t>
  </si>
  <si>
    <t xml:space="preserve">ZAMÓWIENIA/DOSTAWY MAJ 2025</t>
  </si>
  <si>
    <t xml:space="preserve">PP IM 2263</t>
  </si>
  <si>
    <t xml:space="preserve">D060077108</t>
  </si>
  <si>
    <t xml:space="preserve">0002/5/2025/FVSW 0001/5/2025/FVSW</t>
  </si>
  <si>
    <t xml:space="preserve">Plastmid 6 B1 G10 BK natural - PA6+50GF</t>
  </si>
  <si>
    <t xml:space="preserve">FS/217/05/2025</t>
  </si>
  <si>
    <t xml:space="preserve">PC BIAŁE</t>
  </si>
  <si>
    <t xml:space="preserve">PLASTPRO </t>
  </si>
  <si>
    <t xml:space="preserve">0004/5/25/FVS</t>
  </si>
  <si>
    <t xml:space="preserve">PC 12.80 UR</t>
  </si>
  <si>
    <t xml:space="preserve">FS/269/05/2025</t>
  </si>
  <si>
    <t xml:space="preserve">D060077590 / D060077920</t>
  </si>
  <si>
    <t xml:space="preserve">D060077590</t>
  </si>
  <si>
    <t xml:space="preserve">(S)FS-11/05/25/G</t>
  </si>
  <si>
    <t xml:space="preserve">KONCENTRAT BARWIĄCY WEISS LIFOCOLOR 91568F PA</t>
  </si>
  <si>
    <t xml:space="preserve">FV/1856/25</t>
  </si>
  <si>
    <t xml:space="preserve">GM-32218E </t>
  </si>
  <si>
    <t xml:space="preserve">FV/0147/05/2025</t>
  </si>
  <si>
    <t xml:space="preserve">GM-80295 </t>
  </si>
  <si>
    <t xml:space="preserve">GM-43107E </t>
  </si>
  <si>
    <t xml:space="preserve">GM-53281E       </t>
  </si>
  <si>
    <t xml:space="preserve">FV/0476/05/2025</t>
  </si>
  <si>
    <t xml:space="preserve">GM-12197E </t>
  </si>
  <si>
    <t xml:space="preserve">GM10684P</t>
  </si>
  <si>
    <t xml:space="preserve">FA/686/2025/P</t>
  </si>
  <si>
    <t xml:space="preserve">W2-73/1 </t>
  </si>
  <si>
    <t xml:space="preserve">FA/691/2025/P</t>
  </si>
  <si>
    <t xml:space="preserve">W6-125 </t>
  </si>
  <si>
    <t xml:space="preserve">ZAMÓWIENIA/DOSTAWY CZERWIEC  2025</t>
  </si>
  <si>
    <t xml:space="preserve">0001/6/2025/FVSW</t>
  </si>
  <si>
    <t xml:space="preserve">D060077970</t>
  </si>
  <si>
    <t xml:space="preserve">D060078067</t>
  </si>
  <si>
    <t xml:space="preserve">FS/112/06/2025</t>
  </si>
  <si>
    <t xml:space="preserve">33/06/2025</t>
  </si>
  <si>
    <t xml:space="preserve">0002/6/2025/FVSW</t>
  </si>
  <si>
    <t xml:space="preserve">LIFOPHOS 40/901 PE (dodatek fluo)</t>
  </si>
  <si>
    <t xml:space="preserve">FV/1996/25</t>
  </si>
  <si>
    <t xml:space="preserve">W9-67U/1</t>
  </si>
  <si>
    <t xml:space="preserve">DREWNIAK </t>
  </si>
  <si>
    <t xml:space="preserve">FA/803/2025/P</t>
  </si>
  <si>
    <t xml:space="preserve">GM 32747E</t>
  </si>
  <si>
    <t xml:space="preserve">FV/0514/06/2025</t>
  </si>
  <si>
    <t xml:space="preserve">GM-2025E</t>
  </si>
  <si>
    <t xml:space="preserve">FV/0361/06/2025</t>
  </si>
  <si>
    <t xml:space="preserve">FV/0272/06/2025</t>
  </si>
  <si>
    <t xml:space="preserve">ZAMÓWIENIA/DOSTAWY LIPIEC  2025</t>
  </si>
  <si>
    <t xml:space="preserve">MOBILUS MOTOR</t>
  </si>
  <si>
    <t xml:space="preserve">FS/388/06/2025</t>
  </si>
  <si>
    <t xml:space="preserve">D060078654</t>
  </si>
  <si>
    <t xml:space="preserve">FS/92/07/2025</t>
  </si>
  <si>
    <t xml:space="preserve">0002/7/2025/FVSW</t>
  </si>
  <si>
    <t xml:space="preserve">(S)FS-4/07/25/G</t>
  </si>
  <si>
    <t xml:space="preserve">(S)FS-9/7/25</t>
  </si>
  <si>
    <t xml:space="preserve">(S)FSE-DTSK1/2025/07/00000236</t>
  </si>
  <si>
    <t xml:space="preserve">UNIWERS/EVR</t>
  </si>
  <si>
    <t xml:space="preserve">FA/929/2025/P</t>
  </si>
  <si>
    <t xml:space="preserve">W8-43/1</t>
  </si>
  <si>
    <t xml:space="preserve">FA/950/2025/P</t>
  </si>
  <si>
    <t xml:space="preserve">W2-68 </t>
  </si>
  <si>
    <t xml:space="preserve">W4-154U </t>
  </si>
  <si>
    <t xml:space="preserve">W6-146 </t>
  </si>
  <si>
    <t xml:space="preserve">FA/949/2025/P</t>
  </si>
  <si>
    <t xml:space="preserve">W5-25 </t>
  </si>
  <si>
    <t xml:space="preserve">W9-60U</t>
  </si>
  <si>
    <t xml:space="preserve">GM 378E </t>
  </si>
  <si>
    <t xml:space="preserve">FV/0282/07/2025</t>
  </si>
  <si>
    <t xml:space="preserve">FV/0368/07/2025</t>
  </si>
  <si>
    <t xml:space="preserve">GM-43114E </t>
  </si>
  <si>
    <t xml:space="preserve">GM- 6979E </t>
  </si>
  <si>
    <t xml:space="preserve">GM - 53281E </t>
  </si>
  <si>
    <t xml:space="preserve">FV/0281/07/2025</t>
  </si>
  <si>
    <t xml:space="preserve">GM-80779S</t>
  </si>
  <si>
    <t xml:space="preserve">FV/0709/07/2025</t>
  </si>
  <si>
    <t xml:space="preserve">ZAMÓWIENIA/DOSTAWY SIERPIEŃ  2025</t>
  </si>
  <si>
    <t xml:space="preserve">FS/2/08/2025</t>
  </si>
  <si>
    <t xml:space="preserve">D060079349</t>
  </si>
  <si>
    <t xml:space="preserve">PA6+DREWNO</t>
  </si>
  <si>
    <t xml:space="preserve">F.VAT 344/SK/2025</t>
  </si>
  <si>
    <t xml:space="preserve">Możliwe ze zostanaie to podzielone na 2 dostawy</t>
  </si>
  <si>
    <t xml:space="preserve">DOSTAWA 7.680 kg</t>
  </si>
  <si>
    <t xml:space="preserve">D060079720</t>
  </si>
  <si>
    <t xml:space="preserve">fiboo</t>
  </si>
  <si>
    <t xml:space="preserve">gmcolor</t>
  </si>
  <si>
    <t xml:space="preserve">GM-32747E </t>
  </si>
  <si>
    <t xml:space="preserve">HP99611 </t>
  </si>
  <si>
    <t xml:space="preserve">STABILIZATOR UV </t>
  </si>
  <si>
    <t xml:space="preserve">ZAMÓWIENIA/DOSTAWY WRZESIEŃ   2025</t>
  </si>
  <si>
    <t xml:space="preserve">FS/5/09/2025</t>
  </si>
  <si>
    <t xml:space="preserve">(S)FS-5/09/25/G</t>
  </si>
  <si>
    <t xml:space="preserve">D060079940</t>
  </si>
  <si>
    <t xml:space="preserve">D060080142</t>
  </si>
  <si>
    <t xml:space="preserve">0002/9/2025/FVSW</t>
  </si>
  <si>
    <t xml:space="preserve">0001/9/2025/FVSW</t>
  </si>
  <si>
    <t xml:space="preserve">(S)FSE-DRSK1/2025/09/00000141</t>
  </si>
  <si>
    <t xml:space="preserve">FS/273/09/2025</t>
  </si>
  <si>
    <t xml:space="preserve">W5-02</t>
  </si>
  <si>
    <t xml:space="preserve">FA/1235/2025/P</t>
  </si>
  <si>
    <t xml:space="preserve">W6-253</t>
  </si>
  <si>
    <t xml:space="preserve">FA/1261/2025/P</t>
  </si>
  <si>
    <t xml:space="preserve">FA/1315/2025/P</t>
  </si>
  <si>
    <t xml:space="preserve">FA/1323/2025/P</t>
  </si>
  <si>
    <t xml:space="preserve">W003</t>
  </si>
  <si>
    <t xml:space="preserve">FA/1356/2025/P</t>
  </si>
  <si>
    <t xml:space="preserve">W9-173</t>
  </si>
  <si>
    <t xml:space="preserve">FA/1354/2025/P</t>
  </si>
  <si>
    <t xml:space="preserve">GM-10684P</t>
  </si>
  <si>
    <t xml:space="preserve">FV/0333/09/2025</t>
  </si>
  <si>
    <t xml:space="preserve">GM-20225E</t>
  </si>
  <si>
    <t xml:space="preserve">GM-53281E</t>
  </si>
  <si>
    <t xml:space="preserve">FV/0307/09/2025</t>
  </si>
  <si>
    <t xml:space="preserve">GM-43357E</t>
  </si>
  <si>
    <t xml:space="preserve">FV/0489/09/2025</t>
  </si>
  <si>
    <t xml:space="preserve">GM-32807E</t>
  </si>
  <si>
    <t xml:space="preserve">FV/0619/09/2025</t>
  </si>
  <si>
    <t xml:space="preserve">ZAMÓWIENIA/DOSTAWY PAŹDZIERNIK   2025</t>
  </si>
  <si>
    <t xml:space="preserve">72/2025</t>
  </si>
  <si>
    <t xml:space="preserve">0002/10/2025/FVSW</t>
  </si>
  <si>
    <t xml:space="preserve">POM HOSTAFORM C9021</t>
  </si>
  <si>
    <t xml:space="preserve">COFORMA - MODUŁY</t>
  </si>
  <si>
    <t xml:space="preserve">APP/ MOBILUS MOTOR</t>
  </si>
  <si>
    <t xml:space="preserve">FS/296/10/2025</t>
  </si>
  <si>
    <t xml:space="preserve">PP MOPLEN EP 548 R </t>
  </si>
  <si>
    <t xml:space="preserve">ALBIS</t>
  </si>
  <si>
    <t xml:space="preserve">ABS HI121H</t>
  </si>
  <si>
    <t xml:space="preserve">51/10/2025</t>
  </si>
  <si>
    <t xml:space="preserve">FS/379/10/2025</t>
  </si>
  <si>
    <t xml:space="preserve">gm-12197e</t>
  </si>
  <si>
    <t xml:space="preserve">FV/0526/10/2025</t>
  </si>
  <si>
    <t xml:space="preserve">W7131</t>
  </si>
  <si>
    <t xml:space="preserve">FA/1540/2025/P</t>
  </si>
  <si>
    <t xml:space="preserve">FA/1423/2025/P</t>
  </si>
  <si>
    <t xml:space="preserve">ZAMÓWIENIA/DOSTAWY LISTOPAD   2025</t>
  </si>
  <si>
    <t xml:space="preserve">D060081348</t>
  </si>
  <si>
    <t xml:space="preserve">FS-56-11-2025</t>
  </si>
  <si>
    <t xml:space="preserve">FS-57-11-2025</t>
  </si>
  <si>
    <t xml:space="preserve">czekam na fakturę</t>
  </si>
  <si>
    <r>
      <rPr>
        <sz val="8"/>
        <color rgb="FF000000"/>
        <rFont val="Aptos Narrow"/>
        <family val="2"/>
        <charset val="1"/>
      </rPr>
      <t xml:space="preserve">PP RANDOM  </t>
    </r>
    <r>
      <rPr>
        <b val="true"/>
        <sz val="8"/>
        <color rgb="FF000000"/>
        <rFont val="Aptos Narrow"/>
        <family val="2"/>
        <charset val="1"/>
      </rPr>
      <t xml:space="preserve"> </t>
    </r>
    <r>
      <rPr>
        <b val="true"/>
        <sz val="10"/>
        <color rgb="FF000000"/>
        <rFont val="Aptos Narrow"/>
        <family val="2"/>
        <charset val="1"/>
      </rPr>
      <t xml:space="preserve">Yuplene R392Y</t>
    </r>
  </si>
  <si>
    <t xml:space="preserve">D060081476</t>
  </si>
  <si>
    <t xml:space="preserve">FS-244-11-2025</t>
  </si>
  <si>
    <t xml:space="preserve">D060081840</t>
  </si>
  <si>
    <t xml:space="preserve">500 Kg odebrano 27.11(5,30 zł), 875 kg dostawa 2.12 (5,50 kg) - faktury oddzielne</t>
  </si>
  <si>
    <t xml:space="preserve">APP/MOBILUS MOTOR</t>
  </si>
  <si>
    <t xml:space="preserve">FS-362-11-2025</t>
  </si>
  <si>
    <t xml:space="preserve">ZAMÓWIENIA/DOSTAWY GRUDZIEŃ   2025</t>
  </si>
  <si>
    <t xml:space="preserve">D060081860</t>
  </si>
  <si>
    <t xml:space="preserve">0001/12/23025/FVSW</t>
  </si>
  <si>
    <t xml:space="preserve">23/12/2025</t>
  </si>
  <si>
    <t xml:space="preserve">faktyczna kwota na fakturze</t>
  </si>
  <si>
    <t xml:space="preserve">HP99611 CZARNY</t>
  </si>
  <si>
    <t xml:space="preserve">EVR, DREWNIAK</t>
  </si>
  <si>
    <t xml:space="preserve">Barwnik szary GM-80779S</t>
  </si>
  <si>
    <t xml:space="preserve">GM COLOR </t>
  </si>
  <si>
    <t xml:space="preserve">FV/0017/12/2025</t>
  </si>
  <si>
    <t xml:space="preserve">Barwnik Szary GM-80721B</t>
  </si>
  <si>
    <t xml:space="preserve">Barwnik Beżowy GM-10483B 2%</t>
  </si>
  <si>
    <t xml:space="preserve">SAN8GA7957 – 25kg</t>
  </si>
  <si>
    <t xml:space="preserve">PC56B4867 – 25kg</t>
  </si>
  <si>
    <t xml:space="preserve">ZAMÓWIENIA / DOSTAWY STYCZEŃ  2026</t>
  </si>
  <si>
    <t xml:space="preserve">Waluta</t>
  </si>
  <si>
    <t xml:space="preserve">Wartość</t>
  </si>
  <si>
    <t xml:space="preserve">Przelicznik na PLN</t>
  </si>
  <si>
    <t xml:space="preserve">Nr zamówienia wewnętrznego TWORZYWA</t>
  </si>
  <si>
    <t xml:space="preserve">POTWIERDZONE / NIEPOTWIERDZONE </t>
  </si>
  <si>
    <t xml:space="preserve">MARBO / 
SCOOP-TEC</t>
  </si>
  <si>
    <t xml:space="preserve">EUR</t>
  </si>
  <si>
    <t xml:space="preserve">TAK</t>
  </si>
  <si>
    <t xml:space="preserve">ZT-RES-2025-12-007</t>
  </si>
  <si>
    <t xml:space="preserve">POTWIERDZONE</t>
  </si>
  <si>
    <t xml:space="preserve">PP RANDOM   Yuplene R392Y</t>
  </si>
  <si>
    <t xml:space="preserve">ZT-RES-2025-12-009</t>
  </si>
  <si>
    <t xml:space="preserve">26000129</t>
  </si>
  <si>
    <t xml:space="preserve">ZT-GRAN-2025-12-008</t>
  </si>
  <si>
    <t xml:space="preserve">0001/12/2025/FVSW</t>
  </si>
  <si>
    <t xml:space="preserve">08.01 wysłali towar, 09.01 ma dojechać, dojechaly 2 tony</t>
  </si>
  <si>
    <t xml:space="preserve">PLN</t>
  </si>
  <si>
    <t xml:space="preserve">ZT-PP-2025-12-011</t>
  </si>
  <si>
    <t xml:space="preserve">FS/21/01/2026</t>
  </si>
  <si>
    <t xml:space="preserve">PA6 +30GF PLASTIMID 6 B28 G6 </t>
  </si>
  <si>
    <t xml:space="preserve">MOBILUS</t>
  </si>
  <si>
    <t xml:space="preserve">PC CZARNE REGRANULAT
dobarwiany</t>
  </si>
  <si>
    <t xml:space="preserve">ZT-ARG-2025-12-006</t>
  </si>
  <si>
    <t xml:space="preserve">(S)FS-8/1/26</t>
  </si>
  <si>
    <t xml:space="preserve">wysłali pocztą, 08.01 ma dojechać</t>
  </si>
  <si>
    <t xml:space="preserve">ABS CZARNY</t>
  </si>
  <si>
    <t xml:space="preserve">Łukasik</t>
  </si>
  <si>
    <t xml:space="preserve">ZT-PRO-2025-12-012</t>
  </si>
  <si>
    <t xml:space="preserve">1/01/26</t>
  </si>
  <si>
    <t xml:space="preserve">0002/1/2026/FVCS</t>
  </si>
  <si>
    <t xml:space="preserve">TF6OQD-LCNT B102</t>
  </si>
  <si>
    <t xml:space="preserve">RAIS</t>
  </si>
  <si>
    <t xml:space="preserve">ZT-KRA-2025-11-001</t>
  </si>
  <si>
    <t xml:space="preserve">91184162</t>
  </si>
  <si>
    <t xml:space="preserve">Dostawa opóźniona z 12.01 na 16.01</t>
  </si>
  <si>
    <t xml:space="preserve">PA6+25GF PLASTIMID 6 B28 G5</t>
  </si>
  <si>
    <t xml:space="preserve">ZT-PP-2025-12-010
ZT-PP-2026-01-003</t>
  </si>
  <si>
    <t xml:space="preserve">FS/255/01/2026</t>
  </si>
  <si>
    <t xml:space="preserve">domówienie 100kg 12.01</t>
  </si>
  <si>
    <t xml:space="preserve">PA6 +50GF PLASTIMID 6 B28 G10 </t>
  </si>
  <si>
    <t xml:space="preserve">ZT-PP-2026-01-002</t>
  </si>
  <si>
    <t xml:space="preserve">ZT-EMI-2025-12-002</t>
  </si>
  <si>
    <t xml:space="preserve">FV 9/2026</t>
  </si>
  <si>
    <t xml:space="preserve">FV11/2026</t>
  </si>
  <si>
    <t xml:space="preserve">HRC9480/451</t>
  </si>
  <si>
    <t xml:space="preserve">ZT-KRA-2025-12-001</t>
  </si>
  <si>
    <t xml:space="preserve">91184893</t>
  </si>
  <si>
    <t xml:space="preserve">R+PET CL80</t>
  </si>
  <si>
    <t xml:space="preserve">ZT-RAD-2026-01-004</t>
  </si>
  <si>
    <t xml:space="preserve">761-AR-001930</t>
  </si>
  <si>
    <t xml:space="preserve">zamówienie rozłożone na dwie parie</t>
  </si>
  <si>
    <t xml:space="preserve">ZT-ARG-2026-01-07</t>
  </si>
  <si>
    <t xml:space="preserve">(S)FS-10/2/26</t>
  </si>
  <si>
    <t xml:space="preserve">Nr zamówienia wewnętrznego BARWNIKA</t>
  </si>
  <si>
    <t xml:space="preserve">PC56B4867</t>
  </si>
  <si>
    <t xml:space="preserve">GABRIEL-CHEMIE</t>
  </si>
  <si>
    <t xml:space="preserve">ZAM z listopada</t>
  </si>
  <si>
    <t xml:space="preserve">Koncentrak barwiący BIAŁY
20-91147F PC
</t>
  </si>
  <si>
    <t xml:space="preserve">ZB-LIF-2025-12-001</t>
  </si>
  <si>
    <t xml:space="preserve">FV/0027/26</t>
  </si>
  <si>
    <t xml:space="preserve">HP400331/40 - czerwony</t>
  </si>
  <si>
    <t xml:space="preserve">MARBO</t>
  </si>
  <si>
    <t xml:space="preserve">ZB-GCH-2026-01-002</t>
  </si>
  <si>
    <t xml:space="preserve">GM-12197E - Beżowy </t>
  </si>
  <si>
    <t xml:space="preserve">ZB-GM-2026-01-001</t>
  </si>
  <si>
    <t xml:space="preserve">FV/0253/01/2026</t>
  </si>
  <si>
    <t xml:space="preserve">GM-80295 - Jasnoszary</t>
  </si>
  <si>
    <t xml:space="preserve">GM-378E - Czarny</t>
  </si>
  <si>
    <t xml:space="preserve">FV/0252/01/2026</t>
  </si>
  <si>
    <t xml:space="preserve">SAN8GA7957</t>
  </si>
  <si>
    <t xml:space="preserve">PRÓBKI</t>
  </si>
  <si>
    <t xml:space="preserve">Nr zamówienia wewnętrznego PRÓBEK</t>
  </si>
  <si>
    <t xml:space="preserve">Karilen-E RO40A-H031M</t>
  </si>
  <si>
    <t xml:space="preserve">Fiboo</t>
  </si>
  <si>
    <t xml:space="preserve">POLYRAM</t>
  </si>
  <si>
    <t xml:space="preserve">ZP-POL-2025-12-001</t>
  </si>
  <si>
    <t xml:space="preserve">Karilen-E RO60A-H031M</t>
  </si>
  <si>
    <t xml:space="preserve">Karilen-E-R080A-H031M</t>
  </si>
  <si>
    <t xml:space="preserve">Barwnik C4146</t>
  </si>
  <si>
    <t xml:space="preserve">COLORTON</t>
  </si>
  <si>
    <t xml:space="preserve">ZP-COL-2026-01-001</t>
  </si>
  <si>
    <t xml:space="preserve">Barwnik C7226</t>
  </si>
  <si>
    <t xml:space="preserve">ZAMÓWIENIA / DOSTAWY LUTY  2026</t>
  </si>
  <si>
    <t xml:space="preserve">PA6 PLASTIMID 6 B28 CR </t>
  </si>
  <si>
    <t xml:space="preserve">ZT-PPR-2026-01-005</t>
  </si>
  <si>
    <t xml:space="preserve">FS/17/02/2026</t>
  </si>
  <si>
    <t xml:space="preserve">niższa cena, początek produkcji 14.02</t>
  </si>
  <si>
    <t xml:space="preserve"> HRC9480/230_B102</t>
  </si>
  <si>
    <t xml:space="preserve">ZT-KRA-2026-01-001</t>
  </si>
  <si>
    <t xml:space="preserve">rPC Biały</t>
  </si>
  <si>
    <t xml:space="preserve">ZT-ARG-2026-01-007</t>
  </si>
  <si>
    <t xml:space="preserve">ZT-EMI-2026-02-002</t>
  </si>
  <si>
    <t xml:space="preserve">ZT-RES-2026-01-006</t>
  </si>
  <si>
    <t xml:space="preserve">PC BIAŁE ORYGINAŁ</t>
  </si>
  <si>
    <t xml:space="preserve">PLASTPRO</t>
  </si>
  <si>
    <t xml:space="preserve">ZT-PLA-2026-02-004</t>
  </si>
  <si>
    <t xml:space="preserve">0004/2/26/FVS</t>
  </si>
  <si>
    <t xml:space="preserve">TPU - RAVATHANE 130A93</t>
  </si>
  <si>
    <t xml:space="preserve">ZT-RES-2026-02-005</t>
  </si>
  <si>
    <t xml:space="preserve">ZT-EMI-2026-02-006</t>
  </si>
  <si>
    <t xml:space="preserve">FV 14/2026</t>
  </si>
  <si>
    <t xml:space="preserve">TEREZ B 305</t>
  </si>
  <si>
    <t xml:space="preserve">TER PLASTICS</t>
  </si>
  <si>
    <t xml:space="preserve">ZT-TER-2026-02-008</t>
  </si>
  <si>
    <t xml:space="preserve">ZT-EMI-2026-02-007</t>
  </si>
  <si>
    <t xml:space="preserve">DRYFLEX UV 403731 TRANSP.</t>
  </si>
  <si>
    <t xml:space="preserve">HEXPOL</t>
  </si>
  <si>
    <t xml:space="preserve">ZT-HEX-2026-02-003</t>
  </si>
  <si>
    <t xml:space="preserve">R0126020649</t>
  </si>
  <si>
    <t xml:space="preserve">DRYFLEX UV 803731-1 TRANSP.</t>
  </si>
  <si>
    <t xml:space="preserve">GM-32747E - różowy neon</t>
  </si>
  <si>
    <t xml:space="preserve">ZB-GMC-2026-01-003</t>
  </si>
  <si>
    <t xml:space="preserve">FV/0015/02/2026</t>
  </si>
  <si>
    <t xml:space="preserve">POTWIERDZONE </t>
  </si>
  <si>
    <t xml:space="preserve">niższa cena</t>
  </si>
  <si>
    <t xml:space="preserve">W2-73/1 - żółty</t>
  </si>
  <si>
    <t xml:space="preserve">ZB-WES-2026-02-003</t>
  </si>
  <si>
    <t xml:space="preserve">FA/164/2026/P</t>
  </si>
  <si>
    <t xml:space="preserve">zamówienie podzielone na 2 dostawy </t>
  </si>
  <si>
    <t xml:space="preserve">ZB-GMC-2026-02-004</t>
  </si>
  <si>
    <t xml:space="preserve">FV/0302/02/2026</t>
  </si>
  <si>
    <t xml:space="preserve">zamówienie podzielone na 2 części (20kg i 100)</t>
  </si>
  <si>
    <t xml:space="preserve">GM-80295 - jasnoszary</t>
  </si>
  <si>
    <t xml:space="preserve">ZB-GMC-2026-02-001</t>
  </si>
  <si>
    <t xml:space="preserve">FV/0488/02/2026</t>
  </si>
  <si>
    <t xml:space="preserve">GM-80690E - ciemnoszary</t>
  </si>
  <si>
    <t xml:space="preserve">GM-53281E -niebieski</t>
  </si>
  <si>
    <t xml:space="preserve">ZB-GMC-2026-02-005</t>
  </si>
  <si>
    <t xml:space="preserve">ZB-LIF-2026-02-002</t>
  </si>
  <si>
    <t xml:space="preserve">FV/0646/26</t>
  </si>
  <si>
    <t xml:space="preserve">W6-253 - niebieski</t>
  </si>
  <si>
    <t xml:space="preserve">FA/227/2026/P</t>
  </si>
  <si>
    <t xml:space="preserve">FV/0565/02/2026</t>
  </si>
  <si>
    <t xml:space="preserve">ZAMÓWIENIA / DOSTAWY MARZEC  2026</t>
  </si>
  <si>
    <t xml:space="preserve">ABS-CZARNY</t>
  </si>
  <si>
    <t xml:space="preserve">ZT-PRO-2026-02-001</t>
  </si>
  <si>
    <t xml:space="preserve">17/02/2026</t>
  </si>
  <si>
    <t xml:space="preserve">02.03.2026 - dojechała 1 tona</t>
  </si>
  <si>
    <t xml:space="preserve">03.03.2026 - dojechały 2 tony</t>
  </si>
  <si>
    <t xml:space="preserve">POM-C27N-NATURAL</t>
  </si>
  <si>
    <t xml:space="preserve">ZT-RES-2026-03-003</t>
  </si>
  <si>
    <t xml:space="preserve">PA6-GF25%-PLASTAMID-6 B28-G5-NATURAL</t>
  </si>
  <si>
    <t xml:space="preserve">ZT-PPR-2026-03-005</t>
  </si>
  <si>
    <t xml:space="preserve">FS/179/03/2026</t>
  </si>
  <si>
    <t xml:space="preserve">PA6-PLASTAMID-6-B28-CR-NATURAL</t>
  </si>
  <si>
    <t xml:space="preserve">TIMBERNESS</t>
  </si>
  <si>
    <t xml:space="preserve">ZT-PPR-2026-03-002</t>
  </si>
  <si>
    <t xml:space="preserve">PP TATREN HT 2511</t>
  </si>
  <si>
    <t xml:space="preserve">12/13.03</t>
  </si>
  <si>
    <t xml:space="preserve">ZT-PPR-2026-03-007</t>
  </si>
  <si>
    <t xml:space="preserve">FS/286/03/2026</t>
  </si>
  <si>
    <t xml:space="preserve">PP RANDOM/TIPPLEN R960 A</t>
  </si>
  <si>
    <t xml:space="preserve">ZT-BCD-2026-03-008</t>
  </si>
  <si>
    <t xml:space="preserve">D060083896</t>
  </si>
  <si>
    <t xml:space="preserve">TPE-S_GPL-GRANSEB-80G/000/139-NATURAL</t>
  </si>
  <si>
    <t xml:space="preserve">ZT-GRAN-2026-03-001</t>
  </si>
  <si>
    <t xml:space="preserve">0001/3/2026/FVSW</t>
  </si>
  <si>
    <t xml:space="preserve">ABS-BIAŁY</t>
  </si>
  <si>
    <t xml:space="preserve">ZT-PRO-2026-03-004</t>
  </si>
  <si>
    <t xml:space="preserve">13/03/2026</t>
  </si>
  <si>
    <t xml:space="preserve">rPC-BIAŁY</t>
  </si>
  <si>
    <t xml:space="preserve">ZT-EMI-2026-02-009</t>
  </si>
  <si>
    <t xml:space="preserve">FV 23/2026</t>
  </si>
  <si>
    <t xml:space="preserve">10/03/2026</t>
  </si>
  <si>
    <t xml:space="preserve">LG ASA LI911 NP</t>
  </si>
  <si>
    <t xml:space="preserve">PLASTOPLAN</t>
  </si>
  <si>
    <t xml:space="preserve">ZT-PLA-2026-03-013</t>
  </si>
  <si>
    <t xml:space="preserve">000312/2026/FVS, 000311/2026/FVS</t>
  </si>
  <si>
    <t xml:space="preserve">PA6 B305 </t>
  </si>
  <si>
    <t xml:space="preserve">ZT-TER-2026-03-015</t>
  </si>
  <si>
    <t xml:space="preserve">HDPE – Hostalen GC7260 </t>
  </si>
  <si>
    <t xml:space="preserve">ZT-BCD-2026-03-009</t>
  </si>
  <si>
    <t xml:space="preserve">0002/3/2026/FVSW</t>
  </si>
  <si>
    <t xml:space="preserve">Łukasik / IVT/L&amp;p</t>
  </si>
  <si>
    <t xml:space="preserve">ZT-PRO-2026-03-006</t>
  </si>
  <si>
    <t xml:space="preserve">21/03/2026</t>
  </si>
  <si>
    <t xml:space="preserve">1 partia PROGRESS</t>
  </si>
  <si>
    <t xml:space="preserve">2 partia PROGRESS</t>
  </si>
  <si>
    <t xml:space="preserve">FV 25/2026</t>
  </si>
  <si>
    <t xml:space="preserve">MARZEC</t>
  </si>
  <si>
    <t xml:space="preserve">ZT-BCD-2026-03-010</t>
  </si>
  <si>
    <t xml:space="preserve">D060083817</t>
  </si>
  <si>
    <t xml:space="preserve">19/23.03</t>
  </si>
  <si>
    <t xml:space="preserve">ZT-BCD-2026-03-011</t>
  </si>
  <si>
    <t xml:space="preserve">D060084164</t>
  </si>
  <si>
    <t xml:space="preserve">ZT-PPR-2026-03-025</t>
  </si>
  <si>
    <t xml:space="preserve">FS/487/03/2026</t>
  </si>
  <si>
    <t xml:space="preserve">ZT-PPR-2026-03-014</t>
  </si>
  <si>
    <t xml:space="preserve">ASA - STAREX WR9120 W94848</t>
  </si>
  <si>
    <t xml:space="preserve">25/27.03</t>
  </si>
  <si>
    <t xml:space="preserve">ZT-KGL-2026-03-012</t>
  </si>
  <si>
    <t xml:space="preserve">(S)FSE-DTSK1/2026/03/00000342</t>
  </si>
  <si>
    <t xml:space="preserve">PP TATREN IM 2263</t>
  </si>
  <si>
    <t xml:space="preserve">ZT-BCD-2026-03-024</t>
  </si>
  <si>
    <t xml:space="preserve">D060084417</t>
  </si>
  <si>
    <t xml:space="preserve">EUROSTER / L&amp;P</t>
  </si>
  <si>
    <t xml:space="preserve">ZT-PLA-2026-03-029</t>
  </si>
  <si>
    <t xml:space="preserve">000394/2026/FVW</t>
  </si>
  <si>
    <t xml:space="preserve">W4-16 AT - czerwony</t>
  </si>
  <si>
    <t xml:space="preserve">l&amp;P</t>
  </si>
  <si>
    <t xml:space="preserve">ZB-WES-2026-03-002</t>
  </si>
  <si>
    <t xml:space="preserve">FA/287/2026/P</t>
  </si>
  <si>
    <t xml:space="preserve">W9-60 U - szary</t>
  </si>
  <si>
    <t xml:space="preserve">GM-378E - czarny</t>
  </si>
  <si>
    <t xml:space="preserve">ZB-GMC-2026-03-004</t>
  </si>
  <si>
    <t xml:space="preserve">FV/0217/03/2026</t>
  </si>
  <si>
    <t xml:space="preserve">W7-76 - zielony</t>
  </si>
  <si>
    <t xml:space="preserve">ZB-WES-2026-03-003</t>
  </si>
  <si>
    <t xml:space="preserve">FA/292/2026/P</t>
  </si>
  <si>
    <t xml:space="preserve">ZB-GMC-2026-03-001</t>
  </si>
  <si>
    <t xml:space="preserve">FV/0361/03/2026</t>
  </si>
  <si>
    <t xml:space="preserve">GM-20225E - pomarańczowy</t>
  </si>
  <si>
    <t xml:space="preserve">FV/0344/03/2026</t>
  </si>
  <si>
    <t xml:space="preserve">20-91568F PA - koncentrat barwiący</t>
  </si>
  <si>
    <t xml:space="preserve">ZB-LIF-2026-03-005</t>
  </si>
  <si>
    <t xml:space="preserve">FV/0946/26</t>
  </si>
  <si>
    <t xml:space="preserve">DREWNIAK / MARBO</t>
  </si>
  <si>
    <t xml:space="preserve">ZB-GCH-2026-03-006</t>
  </si>
  <si>
    <t xml:space="preserve">ZB-WES-2026-03-008</t>
  </si>
  <si>
    <t xml:space="preserve">FA/369/2026/P</t>
  </si>
  <si>
    <t xml:space="preserve">W5-25 fioletowy</t>
  </si>
  <si>
    <t xml:space="preserve">ZB-WES-2026-03-012</t>
  </si>
  <si>
    <t xml:space="preserve">FA/406/2026/P</t>
  </si>
  <si>
    <t xml:space="preserve">W6-69 - granatowy</t>
  </si>
  <si>
    <t xml:space="preserve">FA/421/2026/P</t>
  </si>
  <si>
    <t xml:space="preserve">23 KG DOJADĄ W KWIETNIU</t>
  </si>
  <si>
    <t xml:space="preserve">W6-125 - niebieski</t>
  </si>
  <si>
    <t xml:space="preserve">W2334 - żółty</t>
  </si>
  <si>
    <t xml:space="preserve">W003 - biały</t>
  </si>
  <si>
    <t xml:space="preserve">ZB-WES-2026-03-013</t>
  </si>
  <si>
    <t xml:space="preserve">FA/422/2026/P</t>
  </si>
  <si>
    <t xml:space="preserve">W9-173 - szary</t>
  </si>
  <si>
    <t xml:space="preserve">W4-99 - różowy</t>
  </si>
  <si>
    <t xml:space="preserve">ZAMÓWIENIA / DOSTAWY KWIECIEŃ  2026</t>
  </si>
  <si>
    <t xml:space="preserve">r PP CZARNY</t>
  </si>
  <si>
    <t xml:space="preserve">Łukasik /L&amp;p</t>
  </si>
  <si>
    <t xml:space="preserve">ZT-PRO-2026-03-028</t>
  </si>
  <si>
    <t xml:space="preserve">8/04/2026</t>
  </si>
  <si>
    <t xml:space="preserve">r ABS CZARNY</t>
  </si>
  <si>
    <t xml:space="preserve">33/03/26</t>
  </si>
  <si>
    <t xml:space="preserve">3 partia PROGRESS</t>
  </si>
  <si>
    <t xml:space="preserve">EKO-BASKET</t>
  </si>
  <si>
    <t xml:space="preserve">ZT-EKO-2026-03-019</t>
  </si>
  <si>
    <t xml:space="preserve">2/04/2026</t>
  </si>
  <si>
    <t xml:space="preserve">rHIPS czarny</t>
  </si>
  <si>
    <t xml:space="preserve">ZT-PLS-2026-03-017</t>
  </si>
  <si>
    <t xml:space="preserve">(S)FS-4/04/26/G</t>
  </si>
  <si>
    <t xml:space="preserve">KOSZTY TRANSPORTU 850 zł netto</t>
  </si>
  <si>
    <t xml:space="preserve">PP GF 30%  SCOLEFIN 53-G</t>
  </si>
  <si>
    <t xml:space="preserve">ZT-RES-2026-03-018</t>
  </si>
  <si>
    <t xml:space="preserve">26003229</t>
  </si>
  <si>
    <t xml:space="preserve">PA6 naturalny - bez włókna - B1 / poprzednio CR </t>
  </si>
  <si>
    <t xml:space="preserve">TIMBERNESS / APP</t>
  </si>
  <si>
    <t xml:space="preserve">ZT-PPR-2026-03-022</t>
  </si>
  <si>
    <t xml:space="preserve">FS/21/04/2026</t>
  </si>
  <si>
    <t xml:space="preserve">ZT-PPR-2026-03-016</t>
  </si>
  <si>
    <t xml:space="preserve">PA6 - PLASTMID 6 B28 G6 - GF 30 CZARNY</t>
  </si>
  <si>
    <t xml:space="preserve">ZT-PPR-2026-03-023</t>
  </si>
  <si>
    <t xml:space="preserve">TPE-S_GPL-GRANSEB-80G/000/139-S</t>
  </si>
  <si>
    <t xml:space="preserve">ZT-GRA-2026-03-031</t>
  </si>
  <si>
    <t xml:space="preserve">0001/4/2026/FVSW</t>
  </si>
  <si>
    <t xml:space="preserve">1 partia GRANPOL</t>
  </si>
  <si>
    <t xml:space="preserve">rPC czarny</t>
  </si>
  <si>
    <t xml:space="preserve">LIDERPOOL / HIC</t>
  </si>
  <si>
    <t xml:space="preserve">ZT-ARG-2026-03-020</t>
  </si>
  <si>
    <t xml:space="preserve">(S)FS-3/4/26</t>
  </si>
  <si>
    <t xml:space="preserve">16/04/2026</t>
  </si>
  <si>
    <t xml:space="preserve">4 partia PROGRESS</t>
  </si>
  <si>
    <t xml:space="preserve">LG CHEM ABS HF 380 WHITE 03074</t>
  </si>
  <si>
    <t xml:space="preserve">ZT-RES-2026-03-033</t>
  </si>
  <si>
    <t xml:space="preserve">26003390</t>
  </si>
  <si>
    <t xml:space="preserve">0002/4/2026/FVSW</t>
  </si>
  <si>
    <t xml:space="preserve">2 partia GRANPOL, nasz transport / f-ra bez kosztów transportu</t>
  </si>
  <si>
    <t xml:space="preserve">ZT-PPR-2026-04-007</t>
  </si>
  <si>
    <t xml:space="preserve">FS/202/04/2026</t>
  </si>
  <si>
    <t xml:space="preserve">PA6 +25GF PLASTIMID 6 B28 G5</t>
  </si>
  <si>
    <t xml:space="preserve">PA6 PLASTIMID 6 B28 G10</t>
  </si>
  <si>
    <t xml:space="preserve">FS/203/04/2026</t>
  </si>
  <si>
    <t xml:space="preserve">NIE</t>
  </si>
  <si>
    <t xml:space="preserve">ZT-PRO-2026-04-004</t>
  </si>
  <si>
    <t xml:space="preserve">opóźnienie w dostawie, dostawa 06.05</t>
  </si>
  <si>
    <t xml:space="preserve">ZT-GRA-2026-03-032</t>
  </si>
  <si>
    <t xml:space="preserve">0003/4/2026/FVSW
0004/4/2026/FVSW</t>
  </si>
  <si>
    <t xml:space="preserve">F-ra za tworzywo i za transport</t>
  </si>
  <si>
    <t xml:space="preserve">r ABS BIAŁY</t>
  </si>
  <si>
    <t xml:space="preserve">ZT-PRO-2026-03-021</t>
  </si>
  <si>
    <t xml:space="preserve">25/04/26</t>
  </si>
  <si>
    <t xml:space="preserve">ZT-PRO-2026-03-030</t>
  </si>
  <si>
    <t xml:space="preserve">24/04/26</t>
  </si>
  <si>
    <t xml:space="preserve">r PP COPO BIAŁY</t>
  </si>
  <si>
    <t xml:space="preserve">ZT-PRO-2026-04-006</t>
  </si>
  <si>
    <t xml:space="preserve">ZT-BEN-2026-04-001</t>
  </si>
  <si>
    <t xml:space="preserve">0318/2026</t>
  </si>
  <si>
    <t xml:space="preserve">ZB-GMC-2026-03-010</t>
  </si>
  <si>
    <t xml:space="preserve">FV/0031/04/2026</t>
  </si>
  <si>
    <t xml:space="preserve">1 partia GM COLOR</t>
  </si>
  <si>
    <t xml:space="preserve">FA/439/2026/P</t>
  </si>
  <si>
    <t xml:space="preserve">W7-259L - zielony</t>
  </si>
  <si>
    <t xml:space="preserve">REGALTAGS</t>
  </si>
  <si>
    <t xml:space="preserve">ZB-WES-2026-03-007</t>
  </si>
  <si>
    <t xml:space="preserve">ZB-WES-2026-04-001</t>
  </si>
  <si>
    <t xml:space="preserve">FA/442/2026/P</t>
  </si>
  <si>
    <t xml:space="preserve">FIBBO</t>
  </si>
  <si>
    <t xml:space="preserve">ZB-WES-2026-04-002</t>
  </si>
  <si>
    <t xml:space="preserve">25kg jedzie 03.04, </t>
  </si>
  <si>
    <t xml:space="preserve">W5-17 - fioletowy</t>
  </si>
  <si>
    <t xml:space="preserve">ZB-WES-2026-04-003</t>
  </si>
  <si>
    <t xml:space="preserve">FA/450/2026/P</t>
  </si>
  <si>
    <t xml:space="preserve">GM-41373P - zielony</t>
  </si>
  <si>
    <t xml:space="preserve">ZB-GMC-2026-03-009</t>
  </si>
  <si>
    <t xml:space="preserve">FV/0127/04/2026</t>
  </si>
  <si>
    <t xml:space="preserve">FA/492/2026/P</t>
  </si>
  <si>
    <t xml:space="preserve">25kg jedzie 15.04,</t>
  </si>
  <si>
    <t xml:space="preserve">7-10.04</t>
  </si>
  <si>
    <t xml:space="preserve">FA/511/2026/P</t>
  </si>
  <si>
    <t xml:space="preserve">FV/0177/04/2026</t>
  </si>
  <si>
    <t xml:space="preserve">2 partia GM COLOR</t>
  </si>
  <si>
    <t xml:space="preserve">GM-6979E - fioletowy</t>
  </si>
  <si>
    <t xml:space="preserve">FV/0178/04/2026</t>
  </si>
  <si>
    <t xml:space="preserve">ZB-GMC-2026-03-011</t>
  </si>
  <si>
    <t xml:space="preserve">ZB-WES-2026-04-007</t>
  </si>
  <si>
    <t xml:space="preserve">FA/486/2026/P</t>
  </si>
  <si>
    <t xml:space="preserve">FA/485/2026/P</t>
  </si>
  <si>
    <t xml:space="preserve">FA/503/2026/P</t>
  </si>
  <si>
    <t xml:space="preserve">GM-32218E - różowy</t>
  </si>
  <si>
    <t xml:space="preserve">ZB-GMC-2026-04-004</t>
  </si>
  <si>
    <t xml:space="preserve">FV/0254/04/2026</t>
  </si>
  <si>
    <t xml:space="preserve">ZB-GMC-2026-04-006</t>
  </si>
  <si>
    <t xml:space="preserve">FV/0436/04/2026</t>
  </si>
  <si>
    <t xml:space="preserve">GM-12485E - żółty</t>
  </si>
  <si>
    <t xml:space="preserve">ZB-GMC-2026-04-005</t>
  </si>
  <si>
    <t xml:space="preserve">GM-43107E - zielony</t>
  </si>
  <si>
    <t xml:space="preserve">FV/0557/04/2026</t>
  </si>
  <si>
    <t xml:space="preserve">W2-01 - żółty</t>
  </si>
  <si>
    <t xml:space="preserve">FIBOO FIZZA</t>
  </si>
  <si>
    <t xml:space="preserve">ZB-WES-2026-04-011</t>
  </si>
  <si>
    <t xml:space="preserve">FA/552/2026/P</t>
  </si>
  <si>
    <t xml:space="preserve">ZB-GMC-2026-04-008</t>
  </si>
  <si>
    <t xml:space="preserve">FV/0778/04/2026</t>
  </si>
  <si>
    <t xml:space="preserve">W9-67U/1 - szary</t>
  </si>
  <si>
    <t xml:space="preserve">ZB-WES-2026-04-012</t>
  </si>
  <si>
    <t xml:space="preserve">FA/565/2026/P</t>
  </si>
  <si>
    <t xml:space="preserve">W8-43/1 - brązowy</t>
  </si>
  <si>
    <t xml:space="preserve">FA/577/2026/P</t>
  </si>
  <si>
    <t xml:space="preserve">W2334</t>
  </si>
  <si>
    <t xml:space="preserve">ZB-WES-2026-04-009</t>
  </si>
  <si>
    <t xml:space="preserve">FA/583/2026/P</t>
  </si>
  <si>
    <t xml:space="preserve">GRANSEB - 80</t>
  </si>
  <si>
    <t xml:space="preserve">ZAMÓWIENIA / DOSTAWY MAJ 2026</t>
  </si>
  <si>
    <t xml:space="preserve">0001/5/2026/FVSW</t>
  </si>
  <si>
    <t xml:space="preserve">3 partia GRANPOL</t>
  </si>
  <si>
    <t xml:space="preserve">rPP CZARNY</t>
  </si>
  <si>
    <t xml:space="preserve">IVT / L&amp;p</t>
  </si>
  <si>
    <t xml:space="preserve">6/05/26</t>
  </si>
  <si>
    <t xml:space="preserve">opóźnienie w dostawie</t>
  </si>
  <si>
    <t xml:space="preserve">rABS-CZARNY</t>
  </si>
  <si>
    <t xml:space="preserve">ZT-PRO-2026-04-002</t>
  </si>
  <si>
    <t xml:space="preserve">5/05/26</t>
  </si>
  <si>
    <t xml:space="preserve">rPS CZARNY</t>
  </si>
  <si>
    <t xml:space="preserve">ZT-PLS-2026-04-005</t>
  </si>
  <si>
    <t xml:space="preserve">(S) FS-1/05/26/G</t>
  </si>
  <si>
    <t xml:space="preserve">LG CHEM ABS HF 380 WHITE 03074 </t>
  </si>
  <si>
    <t xml:space="preserve">ZT-RES-2026-04-009</t>
  </si>
  <si>
    <t xml:space="preserve">26004293</t>
  </si>
  <si>
    <t xml:space="preserve">HRC9480/451_B102</t>
  </si>
  <si>
    <t xml:space="preserve">ZT-KRA-2026-03-026</t>
  </si>
  <si>
    <t xml:space="preserve">91191080</t>
  </si>
  <si>
    <t xml:space="preserve">ZT-KRA-2026-03-027</t>
  </si>
  <si>
    <t xml:space="preserve">rPC BIAŁY </t>
  </si>
  <si>
    <t xml:space="preserve">FIBERLAB / ROSA</t>
  </si>
  <si>
    <t xml:space="preserve">ZT-EMI-2026-04-008</t>
  </si>
  <si>
    <t xml:space="preserve">FV36/2026</t>
  </si>
  <si>
    <t xml:space="preserve">rABS BIAŁY</t>
  </si>
  <si>
    <t xml:space="preserve">ZT-PRO-2026-04-003</t>
  </si>
  <si>
    <t xml:space="preserve">22/05/2026 - 7/05/2026</t>
  </si>
  <si>
    <t xml:space="preserve">DOJECHAŁO 4000kg, 01.06 dojedzie 1000 kg
wystawiona faktura korygująca - błędna nazwa tworzywa</t>
  </si>
  <si>
    <t xml:space="preserve">GM-53281E- ciemno-niebieski</t>
  </si>
  <si>
    <t xml:space="preserve">ZB-GMC-2026-04-010</t>
  </si>
  <si>
    <t xml:space="preserve">FV/0115/05/2026</t>
  </si>
  <si>
    <t xml:space="preserve">ZB-WES-2026-04-017</t>
  </si>
  <si>
    <t xml:space="preserve">FA/589/2026/P</t>
  </si>
  <si>
    <t xml:space="preserve">HP 99611 </t>
  </si>
  <si>
    <t xml:space="preserve">ZB-GCH-2026-04-014</t>
  </si>
  <si>
    <t xml:space="preserve">FV/0192/05/2026</t>
  </si>
  <si>
    <t xml:space="preserve">W9-36 - szary</t>
  </si>
  <si>
    <t xml:space="preserve">ZB-WES-2026-04-016</t>
  </si>
  <si>
    <t xml:space="preserve">FA/581/2026/P</t>
  </si>
  <si>
    <t xml:space="preserve">ZB-WES-2026-04-013</t>
  </si>
  <si>
    <t xml:space="preserve">FA/640/2026/P</t>
  </si>
  <si>
    <t xml:space="preserve">BIOL6GB3907</t>
  </si>
  <si>
    <t xml:space="preserve">ZB-GCH-2026-04-015</t>
  </si>
  <si>
    <t xml:space="preserve">GM-10483B - beżowy</t>
  </si>
  <si>
    <t xml:space="preserve">ZB-GMC-2026-05-001</t>
  </si>
  <si>
    <t xml:space="preserve">FV/0645/05/2026</t>
  </si>
  <si>
    <t xml:space="preserve">HANWHA TOTAL POLYPROPYLEN PP R RJ870Z</t>
  </si>
  <si>
    <t xml:space="preserve">ZAMÓWIENIA / DOSTAWY CZERWIEC 2026</t>
  </si>
  <si>
    <t xml:space="preserve">Dane osoby przyjmującej towar 
(K.SZ / G.P.)</t>
  </si>
  <si>
    <t xml:space="preserve">PP MOPLEN EP 548 R</t>
  </si>
  <si>
    <t xml:space="preserve">MODUŁ M-200</t>
  </si>
  <si>
    <t xml:space="preserve">ZT-PPR-2026-06-002</t>
  </si>
  <si>
    <t xml:space="preserve">FS/182/06/2026</t>
  </si>
  <si>
    <t xml:space="preserve">ZT-PRO-2026-05-001</t>
  </si>
  <si>
    <t xml:space="preserve">14/06/26</t>
  </si>
  <si>
    <t xml:space="preserve">29.05 DOJECHAŁO 4500kg, 16.06 dojedzie  + 500 kg</t>
  </si>
  <si>
    <t xml:space="preserve">1 partia</t>
  </si>
  <si>
    <t xml:space="preserve">11/06/26</t>
  </si>
  <si>
    <t xml:space="preserve">2 partia</t>
  </si>
  <si>
    <t xml:space="preserve">23/25.06</t>
  </si>
  <si>
    <t xml:space="preserve">ZT-PRO-2026-04-013</t>
  </si>
  <si>
    <t xml:space="preserve">25/06/26</t>
  </si>
  <si>
    <t xml:space="preserve">GRZEGORZ</t>
  </si>
  <si>
    <t xml:space="preserve">ZT-EKO-2026-04-012</t>
  </si>
  <si>
    <t xml:space="preserve">35/06/2026</t>
  </si>
  <si>
    <t xml:space="preserve">HRC9480/552_C130 THERMOPLAST R</t>
  </si>
  <si>
    <t xml:space="preserve">Kraiburg</t>
  </si>
  <si>
    <t xml:space="preserve">29/30.06</t>
  </si>
  <si>
    <t xml:space="preserve">ZT-KRA-2026-04-011</t>
  </si>
  <si>
    <t xml:space="preserve">brak</t>
  </si>
  <si>
    <t xml:space="preserve">dostawa opóżniona z 17.06 na koniec czerwca</t>
  </si>
  <si>
    <t xml:space="preserve">DRYFLEX PCR 403621-2 TRANSPARENT</t>
  </si>
  <si>
    <t xml:space="preserve">ZT-HEX-2026-04-010</t>
  </si>
  <si>
    <t xml:space="preserve">R0126062342</t>
  </si>
  <si>
    <t xml:space="preserve">odstawić / zamiennik Kraiburg HRC9480/230_B102</t>
  </si>
  <si>
    <t xml:space="preserve">ZB-WEST-2026-06-001</t>
  </si>
  <si>
    <t xml:space="preserve">FA/763/2026/P</t>
  </si>
  <si>
    <t xml:space="preserve">W5-02 - fioletowy</t>
  </si>
  <si>
    <t xml:space="preserve">ZB-WEST-2026-06-002</t>
  </si>
  <si>
    <t xml:space="preserve">FA/769/2026/P</t>
  </si>
  <si>
    <t xml:space="preserve">W7-272 - zielony miętowy</t>
  </si>
  <si>
    <t xml:space="preserve">FA/802/2026/P</t>
  </si>
  <si>
    <t xml:space="preserve">ZB-WEST-2026-06-004</t>
  </si>
  <si>
    <t xml:space="preserve">FA/804/2026/P</t>
  </si>
  <si>
    <t xml:space="preserve">W2-68 - żółty / miodowy</t>
  </si>
  <si>
    <t xml:space="preserve">ZB-GMC-2026-05-002</t>
  </si>
  <si>
    <t xml:space="preserve">FV/0370/06/2026</t>
  </si>
  <si>
    <t xml:space="preserve">ZB-WES-2026-06-008</t>
  </si>
  <si>
    <t xml:space="preserve">FA/822/2026/P</t>
  </si>
  <si>
    <t xml:space="preserve">C4146 - fioletowy</t>
  </si>
  <si>
    <t xml:space="preserve">MOKILI</t>
  </si>
  <si>
    <t xml:space="preserve">COLORTONE</t>
  </si>
  <si>
    <t xml:space="preserve">ZB-COL-2026-06-006</t>
  </si>
  <si>
    <t xml:space="preserve">A/140/06/2026</t>
  </si>
  <si>
    <t xml:space="preserve">odłożyć na osobnej palecie</t>
  </si>
  <si>
    <t xml:space="preserve">C7226 - szaro-zielony</t>
  </si>
  <si>
    <t xml:space="preserve">A100/06/2026</t>
  </si>
  <si>
    <t xml:space="preserve">ZB-GCH-2026-06-007</t>
  </si>
  <si>
    <t xml:space="preserve">HP99611 - czarny</t>
  </si>
  <si>
    <t xml:space="preserve">ZB-GCH-2026-06-009</t>
  </si>
  <si>
    <t xml:space="preserve">GM-12197E - beżowy</t>
  </si>
  <si>
    <t xml:space="preserve">ZB-GMC-2026-06-003</t>
  </si>
  <si>
    <t xml:space="preserve">FV/0600/06/2026</t>
  </si>
  <si>
    <t xml:space="preserve">GM-53578E - niebieski</t>
  </si>
  <si>
    <t xml:space="preserve">STABILIZATOR UV</t>
  </si>
  <si>
    <t xml:space="preserve">ZB-WES-2026-06-011</t>
  </si>
  <si>
    <t xml:space="preserve">FA/850/2026/P</t>
  </si>
  <si>
    <t xml:space="preserve">20-91147F PC - Koncentrat barwiący </t>
  </si>
  <si>
    <t xml:space="preserve">19/26.06</t>
  </si>
  <si>
    <t xml:space="preserve">ZB-LIF-2026-06-005</t>
  </si>
  <si>
    <t xml:space="preserve">FV/2270/26</t>
  </si>
  <si>
    <t xml:space="preserve">FV/0559/06/2026</t>
  </si>
  <si>
    <t xml:space="preserve">C001</t>
  </si>
  <si>
    <t xml:space="preserve">COFORMA</t>
  </si>
  <si>
    <t xml:space="preserve">COLOR TONE</t>
  </si>
  <si>
    <t xml:space="preserve">ZB-COL-2026-06-012</t>
  </si>
  <si>
    <t xml:space="preserve">A101/06/2026</t>
  </si>
  <si>
    <t xml:space="preserve">20-91568F PA - Koncentrat barwiący </t>
  </si>
  <si>
    <t xml:space="preserve">ZB-LIF-2026-06-013</t>
  </si>
  <si>
    <t xml:space="preserve">FV/2287/26</t>
  </si>
  <si>
    <t xml:space="preserve">ZB-WES-2026-06-015</t>
  </si>
  <si>
    <t xml:space="preserve">FA/878/2026/P</t>
  </si>
  <si>
    <t xml:space="preserve">I część zamówienia</t>
  </si>
  <si>
    <t xml:space="preserve">W7131 - zielony świąteczny</t>
  </si>
  <si>
    <t xml:space="preserve">ZB-WES-2026-06-014</t>
  </si>
  <si>
    <t xml:space="preserve">FA/879/2026/P</t>
  </si>
  <si>
    <t xml:space="preserve">rABS biały</t>
  </si>
  <si>
    <t xml:space="preserve">H&amp;Z Technology</t>
  </si>
  <si>
    <t xml:space="preserve">KOLOR BEŻOWY</t>
  </si>
  <si>
    <t xml:space="preserve">r ABS biały</t>
  </si>
  <si>
    <t xml:space="preserve">ZAMÓWIENIA / DOSTAWY LIPIEC 2026</t>
  </si>
  <si>
    <t xml:space="preserve">PP RANDOM YUPLENE R392Y</t>
  </si>
  <si>
    <t xml:space="preserve">Karol</t>
  </si>
  <si>
    <t xml:space="preserve">ZT-RES-2026-06-004</t>
  </si>
  <si>
    <t xml:space="preserve">26005680</t>
  </si>
  <si>
    <t xml:space="preserve">6 x 875 = 6125 kg </t>
  </si>
  <si>
    <t xml:space="preserve">26005684</t>
  </si>
  <si>
    <t xml:space="preserve">1 x 875 = 6125 kg</t>
  </si>
  <si>
    <t xml:space="preserve">ZT-PRO-2026-06-001</t>
  </si>
  <si>
    <t xml:space="preserve">7/07/26_fra kor 4/07/26</t>
  </si>
  <si>
    <t xml:space="preserve">rPC białe</t>
  </si>
  <si>
    <t xml:space="preserve">ZT-ARG-2026-06-005</t>
  </si>
  <si>
    <t xml:space="preserve">(S)FS-3/7/26</t>
  </si>
  <si>
    <t xml:space="preserve">rPC czarne</t>
  </si>
  <si>
    <t xml:space="preserve">Liderpool</t>
  </si>
  <si>
    <t xml:space="preserve">ZT-ARG-2026-06-006</t>
  </si>
  <si>
    <t xml:space="preserve">8/07/26_fra kor 5/07/26</t>
  </si>
  <si>
    <t xml:space="preserve">9/07/26</t>
  </si>
  <si>
    <t xml:space="preserve">ZT-TER-2026-07-001</t>
  </si>
  <si>
    <t xml:space="preserve">91194078</t>
  </si>
  <si>
    <t xml:space="preserve">nie dojechało w czerwcu, opóźnienie w dostawie</t>
  </si>
  <si>
    <t xml:space="preserve">HIPS</t>
  </si>
  <si>
    <t xml:space="preserve">PLASTICS SOLUTION</t>
  </si>
  <si>
    <t xml:space="preserve">ZT-PLS-2026-06-003</t>
  </si>
  <si>
    <t xml:space="preserve">(S)FS-6/07/26/G, FS-2/07/26/0</t>
  </si>
  <si>
    <t xml:space="preserve">F-ra za tworzywo + transport</t>
  </si>
  <si>
    <t xml:space="preserve">Grzegorz</t>
  </si>
  <si>
    <t xml:space="preserve">ZT-PRO-2026-07-004</t>
  </si>
  <si>
    <t xml:space="preserve">FS/443/07/2026</t>
  </si>
  <si>
    <t xml:space="preserve">ZAMIENNIK pp im 2263</t>
  </si>
  <si>
    <t xml:space="preserve">HOSTAFORM C9021</t>
  </si>
  <si>
    <t xml:space="preserve">ZT-RES-2026-07-005</t>
  </si>
  <si>
    <t xml:space="preserve">26006287</t>
  </si>
  <si>
    <t xml:space="preserve">HDPE - HOSTALEN GC 7260</t>
  </si>
  <si>
    <t xml:space="preserve">ZT-BCD-2026-07-003</t>
  </si>
  <si>
    <t xml:space="preserve">D060086337</t>
  </si>
  <si>
    <t xml:space="preserve">ZT-PRO-2026-07-002</t>
  </si>
  <si>
    <t xml:space="preserve">36/07/26</t>
  </si>
  <si>
    <t xml:space="preserve">FA/911/2026/P</t>
  </si>
  <si>
    <t xml:space="preserve">POTWIERDZONE   </t>
  </si>
  <si>
    <t xml:space="preserve">II część zamówienia</t>
  </si>
  <si>
    <t xml:space="preserve">GM-53281E - ciemno-niebieski</t>
  </si>
  <si>
    <t xml:space="preserve">FV/0060/07/2026</t>
  </si>
  <si>
    <t xml:space="preserve">GM-13197E - beżowy</t>
  </si>
  <si>
    <r>
      <rPr>
        <sz val="10"/>
        <color rgb="FF000000"/>
        <rFont val="Aptos Narrow"/>
        <family val="2"/>
        <charset val="1"/>
      </rPr>
      <t xml:space="preserve">GM-41373P / </t>
    </r>
    <r>
      <rPr>
        <sz val="10"/>
        <color rgb="FF156082"/>
        <rFont val="Aptos Narrow"/>
        <family val="2"/>
        <charset val="1"/>
      </rPr>
      <t xml:space="preserve">GM-43676E </t>
    </r>
    <r>
      <rPr>
        <sz val="10"/>
        <color rgb="FF000000"/>
        <rFont val="Aptos Narrow"/>
        <family val="2"/>
        <charset val="1"/>
      </rPr>
      <t xml:space="preserve">- zielony</t>
    </r>
  </si>
  <si>
    <t xml:space="preserve">FV/0105/07/2026</t>
  </si>
  <si>
    <t xml:space="preserve">W2-01 -  żółty</t>
  </si>
  <si>
    <t xml:space="preserve">ZB-WES-2026-06-010</t>
  </si>
  <si>
    <t xml:space="preserve">FA/945/2026/P</t>
  </si>
  <si>
    <t xml:space="preserve">w4-114 - różowy</t>
  </si>
  <si>
    <t xml:space="preserve">FA/946/2026/P</t>
  </si>
  <si>
    <t xml:space="preserve">w4-11 - różowy</t>
  </si>
  <si>
    <t xml:space="preserve">W5-103 - fioletowy</t>
  </si>
  <si>
    <t xml:space="preserve">W9-240 - szary</t>
  </si>
  <si>
    <t xml:space="preserve">W2-157T - żółty</t>
  </si>
  <si>
    <t xml:space="preserve">W7-168T - zielony</t>
  </si>
  <si>
    <t xml:space="preserve">ZB-WES-2026-07-001</t>
  </si>
  <si>
    <t xml:space="preserve">FA/953/2026/P</t>
  </si>
  <si>
    <t xml:space="preserve">ZB-GCH-2026-07-002</t>
  </si>
  <si>
    <t xml:space="preserve">I partia zamówienia - 25 kg</t>
  </si>
  <si>
    <t xml:space="preserve">ZB-WES-2026-07-004</t>
  </si>
  <si>
    <t xml:space="preserve">FA/965/2026/P</t>
  </si>
  <si>
    <t xml:space="preserve">FA/986/2026/P</t>
  </si>
  <si>
    <t xml:space="preserve">FA/966/2026/P</t>
  </si>
  <si>
    <t xml:space="preserve">II partia zamówienia - 25 kg</t>
  </si>
  <si>
    <t xml:space="preserve">20-91568F PA - KONCENTRAT BARWIĄCY</t>
  </si>
  <si>
    <t xml:space="preserve">LIFO COLOR</t>
  </si>
  <si>
    <t xml:space="preserve">ZB-LIF-2026-07-003</t>
  </si>
  <si>
    <t xml:space="preserve">FV/2596/26</t>
  </si>
  <si>
    <t xml:space="preserve">GM-43107E</t>
  </si>
  <si>
    <t xml:space="preserve">ZB-GMC-2026-07-005</t>
  </si>
  <si>
    <t xml:space="preserve">FV/0759/07/2026</t>
  </si>
  <si>
    <t xml:space="preserve">ZB-COL-2026-07-006</t>
  </si>
  <si>
    <t xml:space="preserve">A/128/07/2026</t>
  </si>
  <si>
    <t xml:space="preserve">Dryflex PCR 653773</t>
  </si>
  <si>
    <t xml:space="preserve">DO ODŁOŻENIA CAŁOŚĆ NA JEDNĄ PALETĘ</t>
  </si>
  <si>
    <t xml:space="preserve">Dryflex PCR 533772</t>
  </si>
  <si>
    <t xml:space="preserve">Dryflex PCR 583772-1</t>
  </si>
  <si>
    <t xml:space="preserve">Dryflex PRC 523771</t>
  </si>
  <si>
    <t xml:space="preserve">Dryflex PCR 65.01B286-2</t>
  </si>
  <si>
    <t xml:space="preserve">TF4CGN_B100 THERMOPLAST</t>
  </si>
  <si>
    <t xml:space="preserve">ZAMÓWIENIA / DOSTAWY SIERPIEŃ 2026</t>
  </si>
  <si>
    <t xml:space="preserve">Scolefin 53 G 10-0 NATURAL </t>
  </si>
  <si>
    <t xml:space="preserve">ZT-RES-2026-06-007</t>
  </si>
  <si>
    <t xml:space="preserve">26006491</t>
  </si>
  <si>
    <t xml:space="preserve">cena obniżona z 2,60 na 2,40 EUR</t>
  </si>
  <si>
    <t xml:space="preserve">Ravathane 130 D60D0 NATURAL</t>
  </si>
  <si>
    <t xml:space="preserve">ULTRAPOLYMERS</t>
  </si>
  <si>
    <t xml:space="preserve">ZT-ULT-2026-08-002</t>
  </si>
  <si>
    <t xml:space="preserve">26002237</t>
  </si>
  <si>
    <t xml:space="preserve">HRC9480/230</t>
  </si>
  <si>
    <t xml:space="preserve">ZT-KRA-2026-06-008</t>
  </si>
  <si>
    <t xml:space="preserve">91195905</t>
  </si>
  <si>
    <t xml:space="preserve">GM-50977</t>
  </si>
  <si>
    <t xml:space="preserve">ZB-GMC-2026-07-007</t>
  </si>
  <si>
    <t xml:space="preserve">FV/0190/08/2026</t>
  </si>
  <si>
    <t xml:space="preserve">HP1GA2787UV</t>
  </si>
  <si>
    <t xml:space="preserve">ZB-GCH-2026-08-001</t>
  </si>
  <si>
    <t xml:space="preserve">W9-67U/I</t>
  </si>
  <si>
    <t xml:space="preserve">ZB-WES-2026-08-002</t>
  </si>
  <si>
    <t xml:space="preserve">FA/1171/2026/P</t>
  </si>
  <si>
    <t xml:space="preserve">W4-16</t>
  </si>
  <si>
    <t xml:space="preserve">ZAMÓWIENIA / DOSTAWY WRZESIEŃ 2026</t>
  </si>
  <si>
    <t xml:space="preserve">LG CHEM ABS HI 121 H NATURAL </t>
  </si>
  <si>
    <t xml:space="preserve">ZT-RES-2026-08-004</t>
  </si>
  <si>
    <t xml:space="preserve">26007200</t>
  </si>
  <si>
    <t xml:space="preserve">POM C27 N</t>
  </si>
  <si>
    <t xml:space="preserve">PA6+25GF - PLASTIMID 6 NATURAL B28 G5</t>
  </si>
  <si>
    <t xml:space="preserve">ZT-PPR-2026-08-001</t>
  </si>
  <si>
    <t xml:space="preserve">FS/15/09/2026</t>
  </si>
  <si>
    <t xml:space="preserve">KAROL</t>
  </si>
  <si>
    <t xml:space="preserve">ZT-GRA-2026-09-003</t>
  </si>
  <si>
    <t xml:space="preserve">0001/9/2026/FVSW</t>
  </si>
  <si>
    <t xml:space="preserve">dojechały tylko dwie palety, trzecia w pon. 7.09</t>
  </si>
  <si>
    <t xml:space="preserve">0002/9/2026/FVSW</t>
  </si>
  <si>
    <t xml:space="preserve">ZT-TER-2026-08-003</t>
  </si>
  <si>
    <t xml:space="preserve">rABS</t>
  </si>
  <si>
    <t xml:space="preserve">ZT-PRO-2026-09-006</t>
  </si>
  <si>
    <t xml:space="preserve">2/09/26</t>
  </si>
  <si>
    <t xml:space="preserve">ZT-PPR-2026-09-004</t>
  </si>
  <si>
    <t xml:space="preserve">FS/197/09/2026</t>
  </si>
  <si>
    <t xml:space="preserve">PP K295 A</t>
  </si>
  <si>
    <t xml:space="preserve">ZT-PPR-2026-09-002</t>
  </si>
  <si>
    <t xml:space="preserve">FS/196/09/2026</t>
  </si>
  <si>
    <t xml:space="preserve">ZT-PPR-2026-09-001</t>
  </si>
  <si>
    <t xml:space="preserve">FS/327/09/2026</t>
  </si>
  <si>
    <t xml:space="preserve">ZB-LIF-2026-08-003</t>
  </si>
  <si>
    <t xml:space="preserve">FV/3079/26</t>
  </si>
  <si>
    <t xml:space="preserve">W7-309/1 ZIELONY</t>
  </si>
  <si>
    <t xml:space="preserve">FA/1215/2026/P</t>
  </si>
  <si>
    <t xml:space="preserve">W8-277 BRĄZOWY/FIOLET</t>
  </si>
  <si>
    <t xml:space="preserve">GM-415 - biały</t>
  </si>
  <si>
    <t xml:space="preserve">FV/0212/09/2026</t>
  </si>
  <si>
    <t xml:space="preserve">GM-80779S - ciemno-szary</t>
  </si>
  <si>
    <t xml:space="preserve">FV/0273/09/2026</t>
  </si>
  <si>
    <t xml:space="preserve">GM-80721B - jasno-szary</t>
  </si>
  <si>
    <t xml:space="preserve">GM-80690E - ciemno szary</t>
  </si>
  <si>
    <t xml:space="preserve">FV/0347/09/2026</t>
  </si>
  <si>
    <t xml:space="preserve">W4-154U - koralowy</t>
  </si>
  <si>
    <t xml:space="preserve">FA/1290/2026/P</t>
  </si>
  <si>
    <t xml:space="preserve">W9-60U - szary</t>
  </si>
  <si>
    <t xml:space="preserve">FA/1298/2026/P</t>
  </si>
  <si>
    <t xml:space="preserve">FV/0589/09/2026</t>
  </si>
  <si>
    <t xml:space="preserve">W4-62 - bordowy</t>
  </si>
  <si>
    <t xml:space="preserve">GM-32807E - koralowy JustRussel</t>
  </si>
  <si>
    <t xml:space="preserve">ZAMÓWIENIA / DOSTAWY PAŹDZIERNIK 2026</t>
  </si>
  <si>
    <t xml:space="preserve"> ASA LI911 NAUTRAL</t>
  </si>
  <si>
    <t xml:space="preserve">ZT-RES-2026-09-005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</si>
</sst>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\ [$EUR]"/>
    <numFmt numFmtId="166" formatCode="dd\-mmm"/>
    <numFmt numFmtId="167" formatCode="#,##0.00&quot; zł&quot;"/>
    <numFmt numFmtId="168" formatCode="_-* #,##0.00\ [$EUR]_-;\-* #,##0.00\ [$EUR]_-;_-* \-??\ [$EUR]_-;_-@_-"/>
    <numFmt numFmtId="169" formatCode="@"/>
    <numFmt numFmtId="170" formatCode="_-* #,##0.00\ [$zł-415]_-;\-* #,##0.00\ [$zł-415]_-;_-* \-??\ [$zł-415]_-;_-@_-"/>
    <numFmt numFmtId="171" formatCode="yyyy\-mm\-dd"/>
    <numFmt numFmtId="172" formatCode="_-[$€-2]\ * #,##0.00_-;\-[$€-2]\ * #,##0.00_-;_-[$€-2]\ * \-??_-;_-@_-"/>
    <numFmt numFmtId="173" formatCode="_-* #,##0.00&quot; zł&quot;_-;\-* #,##0.00&quot; zł&quot;_-;_-* \-??&quot; zł&quot;_-;_-@_-"/>
    <numFmt numFmtId="174" formatCode="0.00"/>
    <numFmt numFmtId="175" formatCode="General"/>
    <numFmt numFmtId="176" formatCode="#,##0.00"/>
  </numFmts>
  <fonts count="60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Aptos Narrow"/>
      <family val="2"/>
      <charset val="238"/>
    </font>
    <font>
      <sz val="8"/>
      <color rgb="FF000000"/>
      <name val="Aptos Narrow"/>
      <family val="2"/>
      <charset val="1"/>
    </font>
    <font>
      <sz val="6"/>
      <color rgb="FF000000"/>
      <name val="Aptos Narrow"/>
      <family val="2"/>
      <charset val="1"/>
    </font>
    <font>
      <b val="true"/>
      <sz val="11"/>
      <color rgb="FF000000"/>
      <name val="Aptos Narrow"/>
      <family val="2"/>
      <charset val="238"/>
    </font>
    <font>
      <b val="true"/>
      <sz val="11"/>
      <color rgb="FFFF0000"/>
      <name val="Aptos Narrow"/>
      <family val="2"/>
      <charset val="1"/>
    </font>
    <font>
      <sz val="10"/>
      <color rgb="FF000000"/>
      <name val="Aptos Narrow"/>
      <family val="2"/>
      <charset val="1"/>
    </font>
    <font>
      <b val="true"/>
      <sz val="11"/>
      <color rgb="FF000000"/>
      <name val="Aptos Narrow"/>
      <family val="2"/>
      <charset val="1"/>
    </font>
    <font>
      <sz val="12"/>
      <color rgb="FF000000"/>
      <name val="Palatino Linotype"/>
      <family val="1"/>
      <charset val="238"/>
    </font>
    <font>
      <sz val="11"/>
      <color rgb="FF000000"/>
      <name val="Calibri"/>
      <family val="2"/>
      <charset val="238"/>
    </font>
    <font>
      <sz val="11"/>
      <color rgb="FF000000"/>
      <name val="Aptos"/>
      <family val="2"/>
      <charset val="1"/>
    </font>
    <font>
      <sz val="7"/>
      <color rgb="FF000000"/>
      <name val="Aptos Narrow"/>
      <family val="2"/>
      <charset val="1"/>
    </font>
    <font>
      <sz val="9"/>
      <color rgb="FF000000"/>
      <name val="Aptos Narrow"/>
      <family val="2"/>
      <charset val="1"/>
    </font>
    <font>
      <sz val="11"/>
      <color rgb="FFFF0000"/>
      <name val="Aptos Narrow"/>
      <family val="2"/>
      <charset val="1"/>
    </font>
    <font>
      <sz val="11"/>
      <name val="Aptos Narrow"/>
      <family val="2"/>
      <charset val="1"/>
    </font>
    <font>
      <sz val="11"/>
      <color rgb="FF3B7D23"/>
      <name val="Aptos Narrow"/>
      <family val="2"/>
      <charset val="1"/>
    </font>
    <font>
      <sz val="11"/>
      <color rgb="FFFFFFFF"/>
      <name val="Aptos Narrow"/>
      <family val="2"/>
      <charset val="1"/>
    </font>
    <font>
      <sz val="10"/>
      <name val="Aptos Narrow"/>
      <family val="2"/>
      <charset val="1"/>
    </font>
    <font>
      <b val="true"/>
      <sz val="6"/>
      <color rgb="FFFF0000"/>
      <name val="Aptos Narrow"/>
      <family val="2"/>
      <charset val="1"/>
    </font>
    <font>
      <sz val="10"/>
      <color rgb="FF000000"/>
      <name val="Aptos"/>
      <family val="2"/>
      <charset val="1"/>
    </font>
    <font>
      <b val="true"/>
      <sz val="8"/>
      <color rgb="FFFF0000"/>
      <name val="Aptos Narrow"/>
      <family val="2"/>
      <charset val="1"/>
    </font>
    <font>
      <b val="true"/>
      <sz val="10"/>
      <color rgb="FF000000"/>
      <name val="Aptos Narrow"/>
      <family val="2"/>
      <charset val="1"/>
    </font>
    <font>
      <sz val="9"/>
      <name val="Aptos Narrow"/>
      <family val="2"/>
      <charset val="1"/>
    </font>
    <font>
      <b val="true"/>
      <sz val="8"/>
      <color rgb="FF000000"/>
      <name val="Aptos Narrow"/>
      <family val="2"/>
      <charset val="1"/>
    </font>
    <font>
      <sz val="8"/>
      <name val="Aptos Narrow"/>
      <family val="2"/>
      <charset val="1"/>
    </font>
    <font>
      <sz val="10"/>
      <color rgb="FF000000"/>
      <name val="Aptos Narrow"/>
      <family val="2"/>
      <charset val="238"/>
    </font>
    <font>
      <b val="true"/>
      <sz val="10"/>
      <name val="Aptos Narrow"/>
      <family val="2"/>
      <charset val="1"/>
    </font>
    <font>
      <b val="true"/>
      <sz val="10"/>
      <color rgb="FFFF0000"/>
      <name val="Aptos Narrow"/>
      <family val="2"/>
      <charset val="1"/>
    </font>
    <font>
      <b val="true"/>
      <sz val="16"/>
      <color rgb="FF000000"/>
      <name val="Aptos Narrow"/>
      <family val="2"/>
      <charset val="1"/>
    </font>
    <font>
      <sz val="11"/>
      <color rgb="FF000000"/>
      <name val="Aptos Display"/>
      <family val="2"/>
      <charset val="1"/>
    </font>
    <font>
      <b val="true"/>
      <sz val="11"/>
      <color rgb="FF000000"/>
      <name val="Aptos Display"/>
      <family val="2"/>
      <charset val="1"/>
    </font>
    <font>
      <b val="true"/>
      <sz val="11"/>
      <color rgb="FFFF0000"/>
      <name val="Aptos Display"/>
      <family val="2"/>
      <charset val="1"/>
    </font>
    <font>
      <sz val="12"/>
      <color rgb="FF000000"/>
      <name val="Aptos Display"/>
      <family val="2"/>
      <charset val="1"/>
    </font>
    <font>
      <sz val="8"/>
      <color rgb="FF000000"/>
      <name val="Aptos Display"/>
      <family val="2"/>
      <charset val="1"/>
    </font>
    <font>
      <sz val="10"/>
      <color rgb="FF000000"/>
      <name val="Aptos Display"/>
      <family val="2"/>
      <charset val="1"/>
    </font>
    <font>
      <sz val="11"/>
      <color rgb="FF242424"/>
      <name val="Aptos Display"/>
      <family val="2"/>
      <charset val="1"/>
    </font>
    <font>
      <sz val="11"/>
      <color rgb="FFFF0000"/>
      <name val="Aptos Display"/>
      <family val="2"/>
      <charset val="1"/>
    </font>
    <font>
      <b val="true"/>
      <sz val="14"/>
      <color rgb="FF000000"/>
      <name val="Aptos Display"/>
      <family val="2"/>
      <charset val="1"/>
    </font>
    <font>
      <sz val="12"/>
      <color rgb="FF000000"/>
      <name val="Aptos Narrow"/>
      <family val="2"/>
      <charset val="1"/>
    </font>
    <font>
      <sz val="11"/>
      <color rgb="FF242424"/>
      <name val="Aptos"/>
      <family val="2"/>
      <charset val="1"/>
    </font>
    <font>
      <b val="true"/>
      <sz val="22"/>
      <color rgb="FF000000"/>
      <name val="Aptos Narrow"/>
      <family val="2"/>
      <charset val="1"/>
    </font>
    <font>
      <sz val="11"/>
      <name val="Aptos Display"/>
      <family val="2"/>
      <charset val="1"/>
    </font>
    <font>
      <b val="true"/>
      <sz val="14"/>
      <color rgb="FF000000"/>
      <name val="Aptos Narrow"/>
      <family val="2"/>
      <charset val="1"/>
    </font>
    <font>
      <b val="true"/>
      <sz val="20"/>
      <color rgb="FF000000"/>
      <name val="Aptos Narrow"/>
      <family val="2"/>
      <charset val="1"/>
    </font>
    <font>
      <sz val="10"/>
      <color rgb="FF000000"/>
      <name val="Aptos"/>
      <family val="2"/>
      <charset val="238"/>
    </font>
    <font>
      <sz val="10"/>
      <color rgb="FFFF0000"/>
      <name val="Aptos Narrow"/>
      <family val="2"/>
      <charset val="1"/>
    </font>
    <font>
      <sz val="11"/>
      <color rgb="FF242424"/>
      <name val="Aptos Narrow"/>
      <family val="2"/>
      <charset val="1"/>
    </font>
    <font>
      <sz val="10"/>
      <color rgb="FF242424"/>
      <name val="Aptos Display"/>
      <family val="2"/>
      <charset val="1"/>
    </font>
    <font>
      <sz val="10"/>
      <color rgb="FF242424"/>
      <name val="Aptos Narrow"/>
      <family val="2"/>
      <charset val="1"/>
    </font>
    <font>
      <sz val="10"/>
      <name val="Aptos Narrow"/>
      <family val="2"/>
      <charset val="238"/>
    </font>
    <font>
      <b val="true"/>
      <sz val="12"/>
      <color rgb="FF000000"/>
      <name val="Aptos Narrow"/>
      <family val="2"/>
      <charset val="1"/>
    </font>
    <font>
      <sz val="10"/>
      <color rgb="FF156082"/>
      <name val="Aptos Narrow"/>
      <family val="2"/>
      <charset val="1"/>
    </font>
    <font>
      <b val="true"/>
      <sz val="13"/>
      <color rgb="FFFF0000"/>
      <name val="Aptos Narrow"/>
      <family val="2"/>
      <charset val="1"/>
    </font>
    <font>
      <b val="true"/>
      <sz val="10"/>
      <color rgb="FF000000"/>
      <name val="Aptos Display"/>
      <family val="2"/>
      <charset val="1"/>
    </font>
    <font>
      <sz val="10"/>
      <name val="Aptos Display"/>
      <family val="2"/>
      <charset val="1"/>
    </font>
    <font>
      <sz val="10"/>
      <color rgb="FF242424"/>
      <name val="Aptos"/>
      <family val="2"/>
      <charset val="1"/>
    </font>
    <font>
      <sz val="10"/>
      <color rgb="FF000000"/>
      <name val="Calibri"/>
      <family val="2"/>
      <charset val="238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F0000"/>
        <bgColor rgb="FF993300"/>
      </patternFill>
    </fill>
    <fill>
      <patternFill patternType="solid">
        <fgColor rgb="FFFFC000"/>
        <bgColor rgb="FFFF9900"/>
      </patternFill>
    </fill>
    <fill>
      <patternFill patternType="solid">
        <fgColor rgb="FF4EA72E"/>
        <bgColor rgb="FF3B7D23"/>
      </patternFill>
    </fill>
    <fill>
      <patternFill patternType="solid">
        <fgColor rgb="FF00B050"/>
        <bgColor rgb="FF4EA72E"/>
      </patternFill>
    </fill>
    <fill>
      <patternFill patternType="solid">
        <fgColor rgb="FFE8E8E8"/>
        <bgColor rgb="FFDCEAF7"/>
      </patternFill>
    </fill>
    <fill>
      <patternFill patternType="solid">
        <fgColor rgb="FFB4E5A2"/>
        <bgColor rgb="FFD9F2D0"/>
      </patternFill>
    </fill>
    <fill>
      <patternFill patternType="solid">
        <fgColor rgb="FFF2F2F2"/>
        <bgColor rgb="FFE8E8E8"/>
      </patternFill>
    </fill>
    <fill>
      <patternFill patternType="solid">
        <fgColor rgb="FFD9F2D0"/>
        <bgColor rgb="FFE8E8E8"/>
      </patternFill>
    </fill>
    <fill>
      <patternFill patternType="solid">
        <fgColor rgb="FFFFFFCC"/>
        <bgColor rgb="FFFFFFFF"/>
      </patternFill>
    </fill>
    <fill>
      <patternFill patternType="solid">
        <fgColor rgb="FFBFBFBF"/>
        <bgColor rgb="FFD9D9D9"/>
      </patternFill>
    </fill>
    <fill>
      <patternFill patternType="solid">
        <fgColor rgb="FFD9D9D9"/>
        <bgColor rgb="FFE8E8E8"/>
      </patternFill>
    </fill>
    <fill>
      <patternFill patternType="solid">
        <fgColor rgb="FFDCEAF7"/>
        <bgColor rgb="FFE8E8E8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 style="thin">
        <color rgb="FF46B1E1"/>
      </bottom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thin"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3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7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0" fillId="3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9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2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6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0" fillId="0" borderId="1" xfId="1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5" fillId="0" borderId="1" xfId="1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3" fontId="22" fillId="0" borderId="1" xfId="1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0" fillId="9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8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0" fillId="9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0" fillId="8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8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9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2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1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1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1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7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2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1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7" fontId="0" fillId="10" borderId="2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3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3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3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33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3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3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7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3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3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3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3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9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4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2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1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1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2" fillId="11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4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2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11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1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4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11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1" borderId="5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11" borderId="7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8" fillId="11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11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7" fillId="11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8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74" fontId="0" fillId="3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0" fillId="3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6" fontId="10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0" fillId="3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0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1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76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9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1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0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9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45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1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1" fillId="11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24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0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2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1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6" fontId="2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0" fillId="15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2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2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2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2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3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2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1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6" fontId="20" fillId="0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4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1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3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5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3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3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3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9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7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7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7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2" fillId="11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4" fontId="3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3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3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6" fontId="56" fillId="1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6" fontId="32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37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8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9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9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11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11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74" fontId="0" fillId="3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1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9" fillId="11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1">
    <dxf>
      <fill>
        <patternFill patternType="solid">
          <fgColor rgb="FFF2F2F2"/>
        </patternFill>
      </fill>
    </dxf>
    <dxf>
      <fill>
        <patternFill patternType="solid">
          <fgColor rgb="FF3C3C3C"/>
          <bgColor rgb="FFFCFCFC"/>
        </patternFill>
      </fill>
    </dxf>
    <dxf>
      <fill>
        <patternFill patternType="solid">
          <fgColor rgb="FFE8E8E8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242424"/>
        </patternFill>
      </fill>
    </dxf>
    <dxf>
      <fill>
        <patternFill patternType="solid">
          <fgColor rgb="FFD9F2D0"/>
        </patternFill>
      </fill>
    </dxf>
    <dxf>
      <fill>
        <patternFill patternType="solid">
          <fgColor rgb="FFBFBFBF"/>
        </patternFill>
      </fill>
    </dxf>
    <dxf>
      <fill>
        <patternFill patternType="solid">
          <f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 patternType="solid">
          <fgColor rgb="FFD9D9D9"/>
        </patternFill>
      </fill>
    </dxf>
    <dxf>
      <fill>
        <patternFill patternType="solid">
          <f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3B7D23"/>
      <rgbColor rgb="FF000080"/>
      <rgbColor rgb="FF808000"/>
      <rgbColor rgb="FF800080"/>
      <rgbColor rgb="FF156082"/>
      <rgbColor rgb="FFBFBFBF"/>
      <rgbColor rgb="FF808080"/>
      <rgbColor rgb="FF9999FF"/>
      <rgbColor rgb="FF993366"/>
      <rgbColor rgb="FFFFFFCC"/>
      <rgbColor rgb="FFDC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B050"/>
      <rgbColor rgb="FF0000FF"/>
      <rgbColor rgb="FF00CCFF"/>
      <rgbColor rgb="FFF2F2F2"/>
      <rgbColor rgb="FFD9F2D0"/>
      <rgbColor rgb="FFE8E8E8"/>
      <rgbColor rgb="FFB4E5A2"/>
      <rgbColor rgb="FFFF99CC"/>
      <rgbColor rgb="FFCC99FF"/>
      <rgbColor rgb="FFFFCC99"/>
      <rgbColor rgb="FF3366FF"/>
      <rgbColor rgb="FF46B1E1"/>
      <rgbColor rgb="FF92D050"/>
      <rgbColor rgb="FFFFC000"/>
      <rgbColor rgb="FFFF9900"/>
      <rgbColor rgb="FFFF6600"/>
      <rgbColor rgb="FF666699"/>
      <rgbColor rgb="FF969696"/>
      <rgbColor rgb="FF003366"/>
      <rgbColor rgb="FF4EA72E"/>
      <rgbColor rgb="FF003300"/>
      <rgbColor rgb="FF333300"/>
      <rgbColor rgb="FF993300"/>
      <rgbColor rgb="FF993366"/>
      <rgbColor rgb="FF333399"/>
      <rgbColor rgb="FF2424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comments" Target="../comments2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comments" Target="../comments30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50"/>
  <sheetViews>
    <sheetView showFormulas="false" showGridLines="true" showRowColHeaders="true" showZeros="true" rightToLeft="false" tabSelected="false" showOutlineSymbols="true" defaultGridColor="true" view="normal" topLeftCell="A12" colorId="64" zoomScale="100" zoomScaleNormal="100" zoomScalePageLayoutView="100" workbookViewId="0">
      <selection pane="topLeft" activeCell="B5" activeCellId="0" sqref="B5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4" min="2" style="0" width="15.71"/>
    <col collapsed="false" customWidth="true" hidden="false" outlineLevel="0" max="5" min="5" style="0" width="9.85"/>
    <col collapsed="false" customWidth="true" hidden="false" outlineLevel="0" max="6" min="6" style="0" width="6.71"/>
    <col collapsed="false" customWidth="true" hidden="false" outlineLevel="0" max="7" min="7" style="0" width="10.71"/>
    <col collapsed="false" customWidth="true" hidden="false" outlineLevel="0" max="8" min="8" style="0" width="8.71"/>
    <col collapsed="false" customWidth="true" hidden="false" outlineLevel="0" max="9" min="9" style="0" width="15.28"/>
    <col collapsed="false" customWidth="true" hidden="false" outlineLevel="0" max="10" min="10" style="0" width="20.85"/>
    <col collapsed="false" customWidth="true" hidden="false" outlineLevel="0" max="15" min="15" style="0" width="10.85"/>
  </cols>
  <sheetData>
    <row r="1" customFormat="false" ht="40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0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J2" s="2" t="s">
        <v>9</v>
      </c>
    </row>
    <row r="3" customFormat="false" ht="45" hidden="false" customHeight="false" outlineLevel="0" collapsed="false">
      <c r="A3" s="2" t="s">
        <v>10</v>
      </c>
      <c r="B3" s="2" t="s">
        <v>11</v>
      </c>
      <c r="C3" s="2" t="s">
        <v>12</v>
      </c>
      <c r="D3" s="2" t="s">
        <v>13</v>
      </c>
      <c r="E3" s="3" t="n">
        <v>2.1</v>
      </c>
      <c r="F3" s="2" t="n">
        <v>2000</v>
      </c>
      <c r="G3" s="4" t="n">
        <f aca="false">F3*E3</f>
        <v>4200</v>
      </c>
      <c r="H3" s="5" t="n">
        <v>45379</v>
      </c>
      <c r="J3" s="6" t="n">
        <f aca="false">G3*4.35</f>
        <v>18270</v>
      </c>
    </row>
    <row r="4" customFormat="false" ht="45" hidden="false" customHeight="false" outlineLevel="0" collapsed="false">
      <c r="A4" s="2" t="s">
        <v>14</v>
      </c>
      <c r="B4" s="2" t="s">
        <v>15</v>
      </c>
      <c r="C4" s="2" t="s">
        <v>16</v>
      </c>
      <c r="D4" s="2" t="s">
        <v>17</v>
      </c>
      <c r="E4" s="6" t="n">
        <v>14.5</v>
      </c>
      <c r="F4" s="2" t="n">
        <v>1000</v>
      </c>
      <c r="G4" s="7" t="n">
        <f aca="false">F4*E4</f>
        <v>14500</v>
      </c>
      <c r="H4" s="5" t="n">
        <v>45379</v>
      </c>
      <c r="J4" s="6" t="n">
        <f aca="false">G4</f>
        <v>14500</v>
      </c>
    </row>
    <row r="5" customFormat="false" ht="30" hidden="false" customHeight="false" outlineLevel="0" collapsed="false">
      <c r="A5" s="2" t="s">
        <v>18</v>
      </c>
      <c r="B5" s="2" t="s">
        <v>19</v>
      </c>
      <c r="C5" s="2" t="s">
        <v>12</v>
      </c>
      <c r="D5" s="2" t="s">
        <v>20</v>
      </c>
      <c r="E5" s="6" t="n">
        <v>6.3</v>
      </c>
      <c r="F5" s="2" t="n">
        <v>500</v>
      </c>
      <c r="G5" s="7" t="n">
        <f aca="false">F5*E5</f>
        <v>3150</v>
      </c>
      <c r="H5" s="5" t="n">
        <v>45385</v>
      </c>
      <c r="J5" s="6" t="n">
        <f aca="false">G5</f>
        <v>3150</v>
      </c>
    </row>
    <row r="6" customFormat="false" ht="30" hidden="false" customHeight="false" outlineLevel="0" collapsed="false">
      <c r="A6" s="2" t="s">
        <v>21</v>
      </c>
      <c r="B6" s="2" t="s">
        <v>22</v>
      </c>
      <c r="C6" s="2" t="s">
        <v>23</v>
      </c>
      <c r="D6" s="2" t="s">
        <v>24</v>
      </c>
      <c r="E6" s="3" t="n">
        <v>3.82</v>
      </c>
      <c r="F6" s="2" t="n">
        <v>4738</v>
      </c>
      <c r="G6" s="4" t="n">
        <f aca="false">F6*E6</f>
        <v>18099.16</v>
      </c>
      <c r="H6" s="5" t="n">
        <v>45386</v>
      </c>
      <c r="J6" s="6" t="n">
        <f aca="false">G6*4.35</f>
        <v>78731.346</v>
      </c>
    </row>
    <row r="7" customFormat="false" ht="18" hidden="false" customHeight="false" outlineLevel="0" collapsed="false">
      <c r="A7" s="2" t="s">
        <v>25</v>
      </c>
      <c r="B7" s="2" t="s">
        <v>26</v>
      </c>
      <c r="C7" s="2" t="s">
        <v>27</v>
      </c>
      <c r="D7" s="2" t="s">
        <v>28</v>
      </c>
      <c r="E7" s="3" t="n">
        <v>6.7</v>
      </c>
      <c r="F7" s="2" t="n">
        <v>5000</v>
      </c>
      <c r="G7" s="7" t="n">
        <f aca="false">F7*E7</f>
        <v>33500</v>
      </c>
      <c r="H7" s="5" t="n">
        <v>45386</v>
      </c>
      <c r="I7" s="8" t="s">
        <v>29</v>
      </c>
      <c r="J7" s="6" t="n">
        <f aca="false">G7</f>
        <v>33500</v>
      </c>
    </row>
    <row r="8" customFormat="false" ht="60" hidden="false" customHeight="false" outlineLevel="0" collapsed="false">
      <c r="A8" s="2" t="s">
        <v>30</v>
      </c>
      <c r="B8" s="2" t="s">
        <v>31</v>
      </c>
      <c r="C8" s="2" t="s">
        <v>32</v>
      </c>
      <c r="D8" s="2" t="s">
        <v>33</v>
      </c>
      <c r="E8" s="3" t="n">
        <v>15.32</v>
      </c>
      <c r="F8" s="2" t="n">
        <v>125</v>
      </c>
      <c r="G8" s="4" t="n">
        <f aca="false">F8*E8</f>
        <v>1915</v>
      </c>
      <c r="H8" s="5" t="n">
        <v>45392</v>
      </c>
      <c r="J8" s="6" t="n">
        <f aca="false">G8*4.35</f>
        <v>8330.25</v>
      </c>
    </row>
    <row r="9" customFormat="false" ht="30" hidden="false" customHeight="false" outlineLevel="0" collapsed="false">
      <c r="A9" s="2" t="s">
        <v>34</v>
      </c>
      <c r="B9" s="2" t="s">
        <v>35</v>
      </c>
      <c r="C9" s="2" t="s">
        <v>36</v>
      </c>
      <c r="D9" s="2" t="s">
        <v>37</v>
      </c>
      <c r="E9" s="6" t="n">
        <v>4.5</v>
      </c>
      <c r="F9" s="2" t="n">
        <v>5000</v>
      </c>
      <c r="G9" s="7" t="n">
        <f aca="false">F9*E9</f>
        <v>22500</v>
      </c>
      <c r="H9" s="5" t="n">
        <v>45393</v>
      </c>
      <c r="I9" s="8" t="s">
        <v>38</v>
      </c>
      <c r="J9" s="6" t="n">
        <f aca="false">G9</f>
        <v>22500</v>
      </c>
    </row>
    <row r="10" customFormat="false" ht="30" hidden="false" customHeight="false" outlineLevel="0" collapsed="false">
      <c r="A10" s="2" t="s">
        <v>39</v>
      </c>
      <c r="B10" s="2" t="s">
        <v>40</v>
      </c>
      <c r="C10" s="2" t="s">
        <v>41</v>
      </c>
      <c r="D10" s="2" t="s">
        <v>42</v>
      </c>
      <c r="E10" s="6" t="n">
        <v>5.9</v>
      </c>
      <c r="F10" s="2" t="n">
        <v>1375</v>
      </c>
      <c r="G10" s="7" t="n">
        <f aca="false">F10*E10</f>
        <v>8112.5</v>
      </c>
      <c r="H10" s="5" t="n">
        <v>45394</v>
      </c>
      <c r="J10" s="6" t="n">
        <f aca="false">G10</f>
        <v>8112.5</v>
      </c>
    </row>
    <row r="11" customFormat="false" ht="30" hidden="false" customHeight="false" outlineLevel="0" collapsed="false">
      <c r="A11" s="2" t="s">
        <v>43</v>
      </c>
      <c r="B11" s="2" t="s">
        <v>44</v>
      </c>
      <c r="C11" s="2" t="s">
        <v>41</v>
      </c>
      <c r="D11" s="2" t="s">
        <v>42</v>
      </c>
      <c r="E11" s="6" t="n">
        <v>6.65</v>
      </c>
      <c r="F11" s="2" t="n">
        <v>4125</v>
      </c>
      <c r="G11" s="7" t="n">
        <f aca="false">F11*E11</f>
        <v>27431.25</v>
      </c>
      <c r="H11" s="5" t="n">
        <v>45394</v>
      </c>
      <c r="J11" s="6" t="n">
        <f aca="false">G11</f>
        <v>27431.25</v>
      </c>
    </row>
    <row r="12" customFormat="false" ht="45" hidden="false" customHeight="false" outlineLevel="0" collapsed="false">
      <c r="A12" s="2" t="s">
        <v>45</v>
      </c>
      <c r="B12" s="2" t="s">
        <v>46</v>
      </c>
      <c r="C12" s="2" t="s">
        <v>47</v>
      </c>
      <c r="D12" s="2" t="s">
        <v>20</v>
      </c>
      <c r="E12" s="6" t="n">
        <v>13</v>
      </c>
      <c r="F12" s="2" t="n">
        <v>400</v>
      </c>
      <c r="G12" s="7" t="n">
        <f aca="false">F12*E12</f>
        <v>5200</v>
      </c>
      <c r="H12" s="5" t="n">
        <v>45397</v>
      </c>
      <c r="J12" s="6" t="n">
        <f aca="false">G12</f>
        <v>5200</v>
      </c>
    </row>
    <row r="14" customFormat="false" ht="15" hidden="false" customHeight="false" outlineLevel="0" collapsed="false">
      <c r="J14" s="9" t="n">
        <f aca="false">SUM(J3:J12)</f>
        <v>219725.346</v>
      </c>
    </row>
    <row r="20" customFormat="false" ht="15" hidden="false" customHeight="false" outlineLevel="0" collapsed="false">
      <c r="A20" s="2" t="s">
        <v>48</v>
      </c>
      <c r="B20" s="2" t="s">
        <v>49</v>
      </c>
      <c r="C20" s="2" t="s">
        <v>50</v>
      </c>
      <c r="D20" s="2" t="s">
        <v>13</v>
      </c>
      <c r="E20" s="3" t="n">
        <v>1.9</v>
      </c>
      <c r="F20" s="2" t="n">
        <v>500</v>
      </c>
      <c r="G20" s="4" t="n">
        <f aca="false">F20*E20</f>
        <v>950</v>
      </c>
      <c r="H20" s="5" t="n">
        <v>45399</v>
      </c>
      <c r="J20" s="6" t="n">
        <f aca="false">G20*4.35</f>
        <v>4132.5</v>
      </c>
    </row>
    <row r="22" customFormat="false" ht="15" hidden="false" customHeight="false" outlineLevel="0" collapsed="false">
      <c r="A22" s="10"/>
      <c r="B22" s="10"/>
      <c r="C22" s="10"/>
      <c r="D22" s="10"/>
      <c r="E22" s="10"/>
      <c r="F22" s="10"/>
      <c r="G22" s="10"/>
      <c r="H22" s="10"/>
      <c r="I22" s="10"/>
      <c r="J22" s="10"/>
    </row>
    <row r="24" customFormat="false" ht="15" hidden="false" customHeight="false" outlineLevel="0" collapsed="false">
      <c r="A24" s="2" t="s">
        <v>48</v>
      </c>
      <c r="B24" s="2" t="s">
        <v>49</v>
      </c>
      <c r="C24" s="2" t="s">
        <v>50</v>
      </c>
      <c r="D24" s="2" t="s">
        <v>13</v>
      </c>
      <c r="E24" s="3" t="n">
        <v>1.8</v>
      </c>
      <c r="F24" s="2" t="n">
        <v>500</v>
      </c>
      <c r="G24" s="4" t="n">
        <f aca="false">F24*E24</f>
        <v>900</v>
      </c>
      <c r="H24" s="5" t="n">
        <v>45418</v>
      </c>
      <c r="J24" s="6" t="n">
        <f aca="false">G24*4.35</f>
        <v>3915</v>
      </c>
    </row>
    <row r="25" customFormat="false" ht="45" hidden="false" customHeight="false" outlineLevel="0" collapsed="false">
      <c r="A25" s="2" t="s">
        <v>51</v>
      </c>
      <c r="B25" s="11" t="s">
        <v>52</v>
      </c>
      <c r="C25" s="2" t="s">
        <v>53</v>
      </c>
      <c r="D25" s="2" t="s">
        <v>54</v>
      </c>
      <c r="E25" s="6" t="n">
        <v>12</v>
      </c>
      <c r="F25" s="2" t="n">
        <v>500</v>
      </c>
      <c r="G25" s="7" t="n">
        <f aca="false">F25*E25</f>
        <v>6000</v>
      </c>
      <c r="H25" s="5" t="n">
        <v>45418</v>
      </c>
      <c r="J25" s="6" t="n">
        <f aca="false">G25</f>
        <v>6000</v>
      </c>
    </row>
    <row r="26" customFormat="false" ht="45" hidden="false" customHeight="false" outlineLevel="0" collapsed="false">
      <c r="A26" s="2" t="s">
        <v>55</v>
      </c>
      <c r="B26" s="2" t="s">
        <v>56</v>
      </c>
      <c r="C26" s="2" t="s">
        <v>53</v>
      </c>
      <c r="D26" s="2" t="s">
        <v>54</v>
      </c>
      <c r="E26" s="6" t="n">
        <v>12</v>
      </c>
      <c r="F26" s="2" t="n">
        <v>500</v>
      </c>
      <c r="G26" s="7" t="n">
        <f aca="false">F26*E26</f>
        <v>6000</v>
      </c>
      <c r="H26" s="5" t="n">
        <v>45418</v>
      </c>
      <c r="J26" s="6" t="n">
        <f aca="false">G26</f>
        <v>6000</v>
      </c>
    </row>
    <row r="27" customFormat="false" ht="45" hidden="false" customHeight="false" outlineLevel="0" collapsed="false">
      <c r="A27" s="2" t="s">
        <v>57</v>
      </c>
      <c r="B27" s="2" t="s">
        <v>58</v>
      </c>
      <c r="C27" s="2" t="s">
        <v>53</v>
      </c>
      <c r="D27" s="2" t="s">
        <v>54</v>
      </c>
      <c r="E27" s="6" t="n">
        <v>12</v>
      </c>
      <c r="F27" s="2" t="n">
        <v>500</v>
      </c>
      <c r="G27" s="7" t="n">
        <f aca="false">F27*E27</f>
        <v>6000</v>
      </c>
      <c r="H27" s="5" t="n">
        <v>45418</v>
      </c>
      <c r="J27" s="6" t="n">
        <f aca="false">G27</f>
        <v>6000</v>
      </c>
    </row>
    <row r="28" customFormat="false" ht="45" hidden="false" customHeight="false" outlineLevel="0" collapsed="false">
      <c r="A28" s="2" t="s">
        <v>59</v>
      </c>
      <c r="B28" s="2" t="s">
        <v>60</v>
      </c>
      <c r="C28" s="2" t="s">
        <v>53</v>
      </c>
      <c r="D28" s="2" t="s">
        <v>54</v>
      </c>
      <c r="E28" s="6" t="n">
        <v>12</v>
      </c>
      <c r="F28" s="2" t="n">
        <v>500</v>
      </c>
      <c r="G28" s="7" t="n">
        <f aca="false">F28*E28</f>
        <v>6000</v>
      </c>
      <c r="H28" s="5" t="n">
        <v>45442</v>
      </c>
      <c r="J28" s="6" t="n">
        <f aca="false">G28</f>
        <v>6000</v>
      </c>
    </row>
    <row r="29" customFormat="false" ht="45" hidden="false" customHeight="false" outlineLevel="0" collapsed="false">
      <c r="A29" s="2" t="s">
        <v>61</v>
      </c>
      <c r="B29" s="11" t="s">
        <v>62</v>
      </c>
      <c r="C29" s="2" t="s">
        <v>53</v>
      </c>
      <c r="D29" s="2" t="s">
        <v>54</v>
      </c>
      <c r="E29" s="6" t="n">
        <v>12</v>
      </c>
      <c r="F29" s="2" t="n">
        <v>500</v>
      </c>
      <c r="G29" s="7" t="n">
        <f aca="false">F29*E29</f>
        <v>6000</v>
      </c>
      <c r="H29" s="5" t="n">
        <v>45442</v>
      </c>
      <c r="J29" s="6" t="n">
        <f aca="false">G29</f>
        <v>6000</v>
      </c>
    </row>
    <row r="30" customFormat="false" ht="15" hidden="false" customHeight="false" outlineLevel="0" collapsed="false">
      <c r="A30" s="2" t="s">
        <v>63</v>
      </c>
      <c r="B30" s="12" t="s">
        <v>64</v>
      </c>
      <c r="C30" s="12" t="s">
        <v>65</v>
      </c>
      <c r="D30" s="12" t="s">
        <v>66</v>
      </c>
      <c r="E30" s="13" t="n">
        <v>2.9</v>
      </c>
      <c r="F30" s="12" t="n">
        <v>1000</v>
      </c>
      <c r="G30" s="4" t="n">
        <f aca="false">F30*E30</f>
        <v>2900</v>
      </c>
      <c r="H30" s="14" t="n">
        <v>45422</v>
      </c>
      <c r="I30" s="15"/>
      <c r="J30" s="6" t="n">
        <f aca="false">G30*4.35</f>
        <v>12615</v>
      </c>
    </row>
    <row r="31" customFormat="false" ht="15" hidden="false" customHeight="false" outlineLevel="0" collapsed="false">
      <c r="A31" s="2" t="s">
        <v>67</v>
      </c>
      <c r="B31" s="12" t="s">
        <v>68</v>
      </c>
      <c r="C31" s="12" t="s">
        <v>65</v>
      </c>
      <c r="D31" s="12" t="s">
        <v>69</v>
      </c>
      <c r="E31" s="13" t="n">
        <v>5.98</v>
      </c>
      <c r="F31" s="12" t="n">
        <v>500</v>
      </c>
      <c r="G31" s="16" t="n">
        <f aca="false">F31*E31</f>
        <v>2990</v>
      </c>
      <c r="H31" s="14" t="n">
        <v>45422</v>
      </c>
      <c r="I31" s="15"/>
      <c r="J31" s="17" t="n">
        <f aca="false">G31</f>
        <v>2990</v>
      </c>
    </row>
    <row r="32" customFormat="false" ht="30" hidden="false" customHeight="false" outlineLevel="0" collapsed="false">
      <c r="A32" s="2" t="s">
        <v>70</v>
      </c>
      <c r="B32" s="2" t="s">
        <v>19</v>
      </c>
      <c r="C32" s="2" t="s">
        <v>12</v>
      </c>
      <c r="D32" s="2" t="s">
        <v>20</v>
      </c>
      <c r="E32" s="6" t="n">
        <v>5.8</v>
      </c>
      <c r="F32" s="2" t="n">
        <v>2750</v>
      </c>
      <c r="G32" s="7" t="n">
        <f aca="false">F32*E32</f>
        <v>15950</v>
      </c>
      <c r="H32" s="5" t="n">
        <v>45428</v>
      </c>
      <c r="J32" s="6" t="n">
        <f aca="false">G32</f>
        <v>15950</v>
      </c>
      <c r="M32" s="18"/>
      <c r="O32" s="18"/>
    </row>
    <row r="33" customFormat="false" ht="45" hidden="false" customHeight="false" outlineLevel="0" collapsed="false">
      <c r="A33" s="2" t="s">
        <v>71</v>
      </c>
      <c r="B33" s="2" t="s">
        <v>11</v>
      </c>
      <c r="C33" s="2" t="s">
        <v>12</v>
      </c>
      <c r="D33" s="2" t="s">
        <v>13</v>
      </c>
      <c r="E33" s="3" t="n">
        <v>2.1</v>
      </c>
      <c r="F33" s="2" t="n">
        <v>2000</v>
      </c>
      <c r="G33" s="4" t="n">
        <f aca="false">F33*E33</f>
        <v>4200</v>
      </c>
      <c r="H33" s="5" t="n">
        <v>45428</v>
      </c>
      <c r="I33" s="19" t="s">
        <v>72</v>
      </c>
      <c r="J33" s="6" t="n">
        <f aca="false">G33*4.35</f>
        <v>18270</v>
      </c>
      <c r="M33" s="18"/>
      <c r="O33" s="18"/>
    </row>
    <row r="34" customFormat="false" ht="45" hidden="false" customHeight="false" outlineLevel="0" collapsed="false">
      <c r="A34" s="2" t="s">
        <v>73</v>
      </c>
      <c r="B34" s="2" t="s">
        <v>74</v>
      </c>
      <c r="C34" s="2" t="s">
        <v>12</v>
      </c>
      <c r="D34" s="2" t="s">
        <v>75</v>
      </c>
      <c r="E34" s="6" t="n">
        <v>31.7</v>
      </c>
      <c r="F34" s="2" t="n">
        <v>25</v>
      </c>
      <c r="G34" s="7" t="n">
        <f aca="false">F34*E34</f>
        <v>792.5</v>
      </c>
      <c r="H34" s="5" t="n">
        <v>45428</v>
      </c>
      <c r="J34" s="6" t="n">
        <f aca="false">G34</f>
        <v>792.5</v>
      </c>
    </row>
    <row r="35" customFormat="false" ht="45" hidden="false" customHeight="false" outlineLevel="0" collapsed="false">
      <c r="A35" s="2" t="s">
        <v>76</v>
      </c>
      <c r="B35" s="2" t="s">
        <v>77</v>
      </c>
      <c r="C35" s="2" t="s">
        <v>12</v>
      </c>
      <c r="D35" s="2" t="s">
        <v>75</v>
      </c>
      <c r="E35" s="6" t="n">
        <v>31.07</v>
      </c>
      <c r="F35" s="2" t="n">
        <v>25</v>
      </c>
      <c r="G35" s="7" t="n">
        <f aca="false">F35*E35</f>
        <v>776.75</v>
      </c>
      <c r="H35" s="5" t="n">
        <v>45428</v>
      </c>
      <c r="J35" s="6" t="n">
        <f aca="false">G35</f>
        <v>776.75</v>
      </c>
    </row>
    <row r="36" customFormat="false" ht="15" hidden="false" customHeight="false" outlineLevel="0" collapsed="false">
      <c r="A36" s="2" t="s">
        <v>78</v>
      </c>
      <c r="B36" s="2" t="s">
        <v>79</v>
      </c>
      <c r="C36" s="2" t="s">
        <v>12</v>
      </c>
      <c r="D36" s="2" t="s">
        <v>75</v>
      </c>
      <c r="E36" s="6" t="n">
        <v>20.93</v>
      </c>
      <c r="F36" s="2" t="n">
        <v>50</v>
      </c>
      <c r="G36" s="7" t="n">
        <f aca="false">F36*E36</f>
        <v>1046.5</v>
      </c>
      <c r="H36" s="5" t="n">
        <v>45428</v>
      </c>
      <c r="J36" s="6" t="n">
        <f aca="false">G36</f>
        <v>1046.5</v>
      </c>
    </row>
    <row r="37" customFormat="false" ht="60" hidden="false" customHeight="false" outlineLevel="0" collapsed="false">
      <c r="A37" s="2" t="s">
        <v>80</v>
      </c>
      <c r="B37" s="2" t="s">
        <v>81</v>
      </c>
      <c r="C37" s="2" t="s">
        <v>82</v>
      </c>
      <c r="D37" s="2" t="s">
        <v>20</v>
      </c>
      <c r="E37" s="6" t="n">
        <v>11.4</v>
      </c>
      <c r="F37" s="2" t="n">
        <v>500</v>
      </c>
      <c r="G37" s="7" t="n">
        <f aca="false">F37*E37</f>
        <v>5700</v>
      </c>
      <c r="H37" s="5" t="n">
        <v>45434</v>
      </c>
      <c r="J37" s="6" t="n">
        <f aca="false">G37</f>
        <v>5700</v>
      </c>
    </row>
    <row r="38" customFormat="false" ht="15" hidden="false" customHeight="false" outlineLevel="0" collapsed="false">
      <c r="A38" s="2" t="s">
        <v>83</v>
      </c>
      <c r="B38" s="2" t="s">
        <v>84</v>
      </c>
      <c r="C38" s="2" t="s">
        <v>85</v>
      </c>
      <c r="D38" s="2" t="s">
        <v>86</v>
      </c>
      <c r="E38" s="6" t="n">
        <v>4.6</v>
      </c>
      <c r="F38" s="2" t="n">
        <v>1000</v>
      </c>
      <c r="G38" s="7" t="n">
        <f aca="false">F38*E38</f>
        <v>4600</v>
      </c>
      <c r="H38" s="5" t="n">
        <v>45436</v>
      </c>
      <c r="I38" s="20" t="s">
        <v>87</v>
      </c>
      <c r="J38" s="6" t="n">
        <f aca="false">G38</f>
        <v>4600</v>
      </c>
    </row>
    <row r="39" customFormat="false" ht="30" hidden="false" customHeight="false" outlineLevel="0" collapsed="false">
      <c r="A39" s="2" t="s">
        <v>88</v>
      </c>
      <c r="B39" s="2" t="s">
        <v>89</v>
      </c>
      <c r="C39" s="2" t="s">
        <v>90</v>
      </c>
      <c r="D39" s="2" t="s">
        <v>37</v>
      </c>
      <c r="E39" s="6" t="n">
        <v>3.7</v>
      </c>
      <c r="F39" s="2" t="n">
        <v>2000</v>
      </c>
      <c r="G39" s="7" t="n">
        <f aca="false">F39*E39</f>
        <v>7400</v>
      </c>
      <c r="H39" s="5" t="n">
        <v>45440</v>
      </c>
      <c r="I39" s="20" t="s">
        <v>87</v>
      </c>
      <c r="J39" s="6" t="n">
        <f aca="false">G39</f>
        <v>7400</v>
      </c>
    </row>
    <row r="40" customFormat="false" ht="15" hidden="false" customHeight="false" outlineLevel="0" collapsed="false">
      <c r="A40" s="21"/>
      <c r="B40" s="21"/>
      <c r="C40" s="21"/>
      <c r="D40" s="21"/>
      <c r="E40" s="22"/>
      <c r="F40" s="21"/>
      <c r="G40" s="23"/>
      <c r="H40" s="24"/>
      <c r="I40" s="20"/>
      <c r="J40" s="22"/>
    </row>
    <row r="42" customFormat="false" ht="15" hidden="false" customHeight="false" outlineLevel="0" collapsed="false">
      <c r="J42" s="25" t="n">
        <f aca="false">SUM(J24:J39)</f>
        <v>104055.75</v>
      </c>
    </row>
    <row r="47" customFormat="false" ht="18" hidden="false" customHeight="false" outlineLevel="0" collapsed="false">
      <c r="E47" s="26"/>
    </row>
    <row r="48" customFormat="false" ht="18" hidden="false" customHeight="false" outlineLevel="0" collapsed="false">
      <c r="E48" s="26"/>
    </row>
    <row r="49" customFormat="false" ht="18" hidden="false" customHeight="false" outlineLevel="0" collapsed="false">
      <c r="E49" s="26"/>
    </row>
    <row r="50" customFormat="false" ht="18" hidden="false" customHeight="false" outlineLevel="0" collapsed="false">
      <c r="E50" s="26"/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4" min="2" style="0" width="15.71"/>
    <col collapsed="false" customWidth="true" hidden="false" outlineLevel="0" max="5" min="5" style="0" width="9.85"/>
    <col collapsed="false" customWidth="true" hidden="false" outlineLevel="0" max="6" min="6" style="0" width="6.71"/>
    <col collapsed="false" customWidth="true" hidden="false" outlineLevel="0" max="7" min="7" style="0" width="10.71"/>
    <col collapsed="false" customWidth="true" hidden="false" outlineLevel="0" max="8" min="8" style="0" width="8.71"/>
    <col collapsed="false" customWidth="true" hidden="false" outlineLevel="0" max="9" min="9" style="0" width="15.28"/>
    <col collapsed="false" customWidth="true" hidden="false" outlineLevel="0" max="10" min="10" style="0" width="20.85"/>
    <col collapsed="false" customWidth="true" hidden="false" outlineLevel="0" max="13" min="12" style="27" width="9.14"/>
    <col collapsed="false" customWidth="true" hidden="false" outlineLevel="0" max="15" min="15" style="0" width="10.85"/>
  </cols>
  <sheetData>
    <row r="1" customFormat="false" ht="40.5" hidden="false" customHeight="true" outlineLevel="0" collapsed="false">
      <c r="A1" s="1" t="s">
        <v>91</v>
      </c>
      <c r="B1" s="1"/>
      <c r="C1" s="1"/>
      <c r="D1" s="1"/>
      <c r="E1" s="1"/>
      <c r="F1" s="1"/>
      <c r="G1" s="1"/>
      <c r="H1" s="1"/>
    </row>
    <row r="2" customFormat="false" ht="30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J2" s="2" t="s">
        <v>9</v>
      </c>
    </row>
    <row r="3" customFormat="false" ht="15" hidden="false" customHeight="false" outlineLevel="0" collapsed="false">
      <c r="A3" s="2" t="s">
        <v>10</v>
      </c>
      <c r="B3" s="2" t="s">
        <v>49</v>
      </c>
      <c r="C3" s="2" t="s">
        <v>50</v>
      </c>
      <c r="D3" s="2" t="s">
        <v>13</v>
      </c>
      <c r="E3" s="3" t="n">
        <v>1.8</v>
      </c>
      <c r="F3" s="2" t="n">
        <v>500</v>
      </c>
      <c r="G3" s="4" t="n">
        <f aca="false">F3*E3</f>
        <v>900</v>
      </c>
      <c r="H3" s="5" t="n">
        <v>45418</v>
      </c>
      <c r="J3" s="6" t="n">
        <f aca="false">G3*4.35</f>
        <v>3915</v>
      </c>
    </row>
    <row r="4" customFormat="false" ht="45" hidden="false" customHeight="false" outlineLevel="0" collapsed="false">
      <c r="A4" s="5" t="s">
        <v>14</v>
      </c>
      <c r="B4" s="11" t="s">
        <v>52</v>
      </c>
      <c r="C4" s="2" t="s">
        <v>53</v>
      </c>
      <c r="D4" s="2" t="s">
        <v>54</v>
      </c>
      <c r="E4" s="6" t="n">
        <v>12</v>
      </c>
      <c r="F4" s="2" t="n">
        <v>500</v>
      </c>
      <c r="G4" s="7" t="n">
        <f aca="false">F4*E4</f>
        <v>6000</v>
      </c>
      <c r="H4" s="5" t="n">
        <v>45418</v>
      </c>
      <c r="J4" s="6" t="n">
        <f aca="false">G4</f>
        <v>6000</v>
      </c>
    </row>
    <row r="5" customFormat="false" ht="45" hidden="false" customHeight="false" outlineLevel="0" collapsed="false">
      <c r="A5" s="2" t="s">
        <v>18</v>
      </c>
      <c r="B5" s="2" t="s">
        <v>56</v>
      </c>
      <c r="C5" s="2" t="s">
        <v>53</v>
      </c>
      <c r="D5" s="2" t="s">
        <v>54</v>
      </c>
      <c r="E5" s="6" t="n">
        <v>12</v>
      </c>
      <c r="F5" s="2" t="n">
        <v>500</v>
      </c>
      <c r="G5" s="7" t="n">
        <f aca="false">F5*E5</f>
        <v>6000</v>
      </c>
      <c r="H5" s="5" t="n">
        <v>45418</v>
      </c>
      <c r="J5" s="6" t="n">
        <f aca="false">G5</f>
        <v>6000</v>
      </c>
    </row>
    <row r="6" customFormat="false" ht="45" hidden="false" customHeight="false" outlineLevel="0" collapsed="false">
      <c r="A6" s="2" t="s">
        <v>21</v>
      </c>
      <c r="B6" s="2" t="s">
        <v>58</v>
      </c>
      <c r="C6" s="2" t="s">
        <v>53</v>
      </c>
      <c r="D6" s="2" t="s">
        <v>54</v>
      </c>
      <c r="E6" s="6" t="n">
        <v>12</v>
      </c>
      <c r="F6" s="2" t="n">
        <v>500</v>
      </c>
      <c r="G6" s="7" t="n">
        <f aca="false">F6*E6</f>
        <v>6000</v>
      </c>
      <c r="H6" s="5" t="n">
        <v>45418</v>
      </c>
      <c r="J6" s="6" t="n">
        <f aca="false">G6</f>
        <v>6000</v>
      </c>
    </row>
    <row r="7" customFormat="false" ht="45" hidden="false" customHeight="false" outlineLevel="0" collapsed="false">
      <c r="A7" s="5" t="s">
        <v>25</v>
      </c>
      <c r="B7" s="2" t="s">
        <v>60</v>
      </c>
      <c r="C7" s="2" t="s">
        <v>53</v>
      </c>
      <c r="D7" s="2" t="s">
        <v>54</v>
      </c>
      <c r="E7" s="6" t="n">
        <v>12</v>
      </c>
      <c r="F7" s="2" t="n">
        <v>500</v>
      </c>
      <c r="G7" s="7" t="n">
        <f aca="false">F7*E7</f>
        <v>6000</v>
      </c>
      <c r="H7" s="5" t="n">
        <v>45442</v>
      </c>
      <c r="J7" s="6" t="n">
        <f aca="false">G7</f>
        <v>6000</v>
      </c>
    </row>
    <row r="8" customFormat="false" ht="45" hidden="false" customHeight="false" outlineLevel="0" collapsed="false">
      <c r="A8" s="2" t="s">
        <v>30</v>
      </c>
      <c r="B8" s="11" t="s">
        <v>62</v>
      </c>
      <c r="C8" s="2" t="s">
        <v>53</v>
      </c>
      <c r="D8" s="2" t="s">
        <v>54</v>
      </c>
      <c r="E8" s="6" t="n">
        <v>12</v>
      </c>
      <c r="F8" s="2" t="n">
        <v>500</v>
      </c>
      <c r="G8" s="7" t="n">
        <f aca="false">F8*E8</f>
        <v>6000</v>
      </c>
      <c r="H8" s="5" t="n">
        <v>45442</v>
      </c>
      <c r="J8" s="6" t="n">
        <f aca="false">G8</f>
        <v>6000</v>
      </c>
    </row>
    <row r="9" customFormat="false" ht="15" hidden="false" customHeight="false" outlineLevel="0" collapsed="false">
      <c r="A9" s="2" t="s">
        <v>34</v>
      </c>
      <c r="B9" s="12" t="s">
        <v>64</v>
      </c>
      <c r="C9" s="12" t="s">
        <v>65</v>
      </c>
      <c r="D9" s="12" t="s">
        <v>66</v>
      </c>
      <c r="E9" s="13" t="n">
        <v>2.9</v>
      </c>
      <c r="F9" s="12" t="n">
        <v>1000</v>
      </c>
      <c r="G9" s="4" t="n">
        <f aca="false">F9*E9</f>
        <v>2900</v>
      </c>
      <c r="H9" s="14" t="n">
        <v>45422</v>
      </c>
      <c r="I9" s="15"/>
      <c r="J9" s="6" t="n">
        <f aca="false">G9*4.35</f>
        <v>12615</v>
      </c>
    </row>
    <row r="10" customFormat="false" ht="15" hidden="false" customHeight="false" outlineLevel="0" collapsed="false">
      <c r="A10" s="5" t="s">
        <v>39</v>
      </c>
      <c r="B10" s="12" t="s">
        <v>68</v>
      </c>
      <c r="C10" s="12" t="s">
        <v>65</v>
      </c>
      <c r="D10" s="12" t="s">
        <v>69</v>
      </c>
      <c r="E10" s="13" t="n">
        <v>5.98</v>
      </c>
      <c r="F10" s="12" t="n">
        <v>500</v>
      </c>
      <c r="G10" s="16" t="n">
        <f aca="false">F10*E10</f>
        <v>2990</v>
      </c>
      <c r="H10" s="14" t="n">
        <v>45422</v>
      </c>
      <c r="I10" s="15"/>
      <c r="J10" s="17" t="n">
        <f aca="false">G10</f>
        <v>2990</v>
      </c>
    </row>
    <row r="11" customFormat="false" ht="30" hidden="false" customHeight="false" outlineLevel="0" collapsed="false">
      <c r="A11" s="2" t="s">
        <v>43</v>
      </c>
      <c r="B11" s="2" t="s">
        <v>19</v>
      </c>
      <c r="C11" s="2" t="s">
        <v>12</v>
      </c>
      <c r="D11" s="2" t="s">
        <v>20</v>
      </c>
      <c r="E11" s="6" t="n">
        <v>5.8</v>
      </c>
      <c r="F11" s="2" t="n">
        <v>2750</v>
      </c>
      <c r="G11" s="7" t="n">
        <f aca="false">F11*E11</f>
        <v>15950</v>
      </c>
      <c r="H11" s="5" t="n">
        <v>45428</v>
      </c>
      <c r="J11" s="6" t="n">
        <f aca="false">G11</f>
        <v>15950</v>
      </c>
      <c r="M11" s="28"/>
      <c r="O11" s="18"/>
    </row>
    <row r="12" customFormat="false" ht="45" hidden="false" customHeight="false" outlineLevel="0" collapsed="false">
      <c r="A12" s="2" t="s">
        <v>45</v>
      </c>
      <c r="B12" s="2" t="s">
        <v>11</v>
      </c>
      <c r="C12" s="2" t="s">
        <v>12</v>
      </c>
      <c r="D12" s="2" t="s">
        <v>13</v>
      </c>
      <c r="E12" s="3" t="n">
        <v>2.07</v>
      </c>
      <c r="F12" s="2" t="n">
        <v>2000</v>
      </c>
      <c r="G12" s="4" t="n">
        <f aca="false">F12*E12</f>
        <v>4140</v>
      </c>
      <c r="H12" s="5" t="n">
        <v>45428</v>
      </c>
      <c r="I12" s="19" t="s">
        <v>72</v>
      </c>
      <c r="J12" s="6" t="n">
        <f aca="false">G12*4.35</f>
        <v>18009</v>
      </c>
      <c r="M12" s="28"/>
      <c r="O12" s="18"/>
    </row>
    <row r="13" customFormat="false" ht="45" hidden="false" customHeight="false" outlineLevel="0" collapsed="false">
      <c r="A13" s="5" t="s">
        <v>48</v>
      </c>
      <c r="B13" s="2" t="s">
        <v>74</v>
      </c>
      <c r="C13" s="2" t="s">
        <v>12</v>
      </c>
      <c r="D13" s="2" t="s">
        <v>75</v>
      </c>
      <c r="E13" s="6" t="n">
        <v>31.7</v>
      </c>
      <c r="F13" s="2" t="n">
        <v>25</v>
      </c>
      <c r="G13" s="7" t="n">
        <f aca="false">F13*E13</f>
        <v>792.5</v>
      </c>
      <c r="H13" s="5" t="n">
        <v>45428</v>
      </c>
      <c r="J13" s="6" t="n">
        <f aca="false">G13</f>
        <v>792.5</v>
      </c>
    </row>
    <row r="14" customFormat="false" ht="45" hidden="false" customHeight="false" outlineLevel="0" collapsed="false">
      <c r="A14" s="2" t="s">
        <v>51</v>
      </c>
      <c r="B14" s="2" t="s">
        <v>77</v>
      </c>
      <c r="C14" s="2" t="s">
        <v>12</v>
      </c>
      <c r="D14" s="2" t="s">
        <v>75</v>
      </c>
      <c r="E14" s="6" t="n">
        <v>31.07</v>
      </c>
      <c r="F14" s="2" t="n">
        <v>25</v>
      </c>
      <c r="G14" s="7" t="n">
        <f aca="false">F14*E14</f>
        <v>776.75</v>
      </c>
      <c r="H14" s="5" t="n">
        <v>45428</v>
      </c>
      <c r="J14" s="6" t="n">
        <f aca="false">G14</f>
        <v>776.75</v>
      </c>
    </row>
    <row r="15" customFormat="false" ht="15" hidden="false" customHeight="false" outlineLevel="0" collapsed="false">
      <c r="A15" s="2" t="s">
        <v>55</v>
      </c>
      <c r="B15" s="2" t="s">
        <v>79</v>
      </c>
      <c r="C15" s="2" t="s">
        <v>12</v>
      </c>
      <c r="D15" s="2" t="s">
        <v>75</v>
      </c>
      <c r="E15" s="6" t="n">
        <v>20.93</v>
      </c>
      <c r="F15" s="2" t="n">
        <v>50</v>
      </c>
      <c r="G15" s="7" t="n">
        <f aca="false">F15*E15</f>
        <v>1046.5</v>
      </c>
      <c r="H15" s="5" t="n">
        <v>45428</v>
      </c>
      <c r="J15" s="6" t="n">
        <f aca="false">G15</f>
        <v>1046.5</v>
      </c>
    </row>
    <row r="16" customFormat="false" ht="30" hidden="false" customHeight="false" outlineLevel="0" collapsed="false">
      <c r="A16" s="2" t="s">
        <v>57</v>
      </c>
      <c r="B16" s="2" t="s">
        <v>44</v>
      </c>
      <c r="C16" s="2" t="s">
        <v>41</v>
      </c>
      <c r="D16" s="2" t="s">
        <v>20</v>
      </c>
      <c r="E16" s="6" t="n">
        <v>6.65</v>
      </c>
      <c r="F16" s="2" t="n">
        <v>1375</v>
      </c>
      <c r="G16" s="7" t="n">
        <f aca="false">F16*E16</f>
        <v>9143.75</v>
      </c>
      <c r="H16" s="5" t="n">
        <v>45428</v>
      </c>
      <c r="J16" s="6" t="n">
        <f aca="false">G16</f>
        <v>9143.75</v>
      </c>
    </row>
    <row r="17" customFormat="false" ht="30" hidden="false" customHeight="false" outlineLevel="0" collapsed="false">
      <c r="A17" s="29" t="s">
        <v>59</v>
      </c>
      <c r="B17" s="29" t="s">
        <v>35</v>
      </c>
      <c r="C17" s="29" t="s">
        <v>92</v>
      </c>
      <c r="D17" s="29" t="s">
        <v>37</v>
      </c>
      <c r="E17" s="30" t="n">
        <v>4.5</v>
      </c>
      <c r="F17" s="29" t="n">
        <v>2000</v>
      </c>
      <c r="G17" s="31" t="n">
        <f aca="false">F17*E17</f>
        <v>9000</v>
      </c>
      <c r="H17" s="32" t="n">
        <v>45428</v>
      </c>
      <c r="I17" s="33" t="s">
        <v>87</v>
      </c>
      <c r="J17" s="30" t="n">
        <f aca="false">G17</f>
        <v>9000</v>
      </c>
      <c r="L17" s="34" t="s">
        <v>93</v>
      </c>
      <c r="M17" s="34"/>
    </row>
    <row r="18" customFormat="false" ht="15" hidden="false" customHeight="false" outlineLevel="0" collapsed="false">
      <c r="A18" s="2" t="s">
        <v>61</v>
      </c>
      <c r="B18" s="2" t="s">
        <v>94</v>
      </c>
      <c r="C18" s="2" t="s">
        <v>23</v>
      </c>
      <c r="D18" s="2" t="s">
        <v>95</v>
      </c>
      <c r="E18" s="13" t="n">
        <v>2.9</v>
      </c>
      <c r="F18" s="12" t="n">
        <v>2700</v>
      </c>
      <c r="G18" s="4" t="n">
        <f aca="false">F18*E18</f>
        <v>7830</v>
      </c>
      <c r="H18" s="14" t="n">
        <v>45422</v>
      </c>
      <c r="I18" s="15"/>
      <c r="J18" s="17" t="n">
        <f aca="false">G18*4.35</f>
        <v>34060.5</v>
      </c>
    </row>
    <row r="19" customFormat="false" ht="60" hidden="false" customHeight="false" outlineLevel="0" collapsed="false">
      <c r="A19" s="2" t="s">
        <v>63</v>
      </c>
      <c r="B19" s="2" t="s">
        <v>81</v>
      </c>
      <c r="C19" s="2" t="s">
        <v>82</v>
      </c>
      <c r="D19" s="2" t="s">
        <v>20</v>
      </c>
      <c r="E19" s="6" t="n">
        <v>11.4</v>
      </c>
      <c r="F19" s="2" t="n">
        <v>500</v>
      </c>
      <c r="G19" s="7" t="n">
        <f aca="false">F19*E19</f>
        <v>5700</v>
      </c>
      <c r="H19" s="5" t="n">
        <v>45434</v>
      </c>
      <c r="J19" s="6" t="n">
        <f aca="false">G19</f>
        <v>5700</v>
      </c>
    </row>
    <row r="20" customFormat="false" ht="15" hidden="false" customHeight="false" outlineLevel="0" collapsed="false">
      <c r="A20" s="2" t="s">
        <v>67</v>
      </c>
      <c r="B20" s="2" t="s">
        <v>96</v>
      </c>
      <c r="C20" s="2" t="s">
        <v>23</v>
      </c>
      <c r="D20" s="2" t="s">
        <v>95</v>
      </c>
      <c r="E20" s="13" t="n">
        <v>3</v>
      </c>
      <c r="F20" s="12" t="n">
        <v>5000</v>
      </c>
      <c r="G20" s="4" t="n">
        <f aca="false">F20*E20</f>
        <v>15000</v>
      </c>
      <c r="H20" s="14" t="n">
        <v>45436</v>
      </c>
      <c r="I20" s="15"/>
      <c r="J20" s="6" t="n">
        <f aca="false">G20*4.35</f>
        <v>65250</v>
      </c>
    </row>
    <row r="21" customFormat="false" ht="15" hidden="false" customHeight="false" outlineLevel="0" collapsed="false">
      <c r="A21" s="2" t="s">
        <v>70</v>
      </c>
      <c r="B21" s="2" t="s">
        <v>84</v>
      </c>
      <c r="C21" s="2" t="s">
        <v>85</v>
      </c>
      <c r="D21" s="2" t="s">
        <v>86</v>
      </c>
      <c r="E21" s="17" t="n">
        <v>4.6</v>
      </c>
      <c r="F21" s="12" t="n">
        <v>2000</v>
      </c>
      <c r="G21" s="16" t="n">
        <f aca="false">F21*E21</f>
        <v>9200</v>
      </c>
      <c r="H21" s="14" t="n">
        <v>45436</v>
      </c>
      <c r="I21" s="20" t="s">
        <v>87</v>
      </c>
      <c r="J21" s="6" t="n">
        <f aca="false">G21</f>
        <v>9200</v>
      </c>
    </row>
    <row r="22" customFormat="false" ht="30" hidden="false" customHeight="false" outlineLevel="0" collapsed="false">
      <c r="A22" s="2" t="s">
        <v>71</v>
      </c>
      <c r="B22" s="2" t="s">
        <v>89</v>
      </c>
      <c r="C22" s="2" t="s">
        <v>90</v>
      </c>
      <c r="D22" s="2" t="s">
        <v>37</v>
      </c>
      <c r="E22" s="6" t="n">
        <v>3.7</v>
      </c>
      <c r="F22" s="2" t="n">
        <v>2000</v>
      </c>
      <c r="G22" s="7" t="n">
        <f aca="false">F22*E22</f>
        <v>7400</v>
      </c>
      <c r="H22" s="5" t="n">
        <v>45440</v>
      </c>
      <c r="I22" s="20" t="s">
        <v>87</v>
      </c>
      <c r="J22" s="6" t="n">
        <f aca="false">G22</f>
        <v>7400</v>
      </c>
    </row>
    <row r="23" customFormat="false" ht="15" hidden="false" customHeight="false" outlineLevel="0" collapsed="false">
      <c r="A23" s="21"/>
      <c r="B23" s="21"/>
      <c r="C23" s="21"/>
      <c r="D23" s="21"/>
      <c r="E23" s="22"/>
      <c r="F23" s="21"/>
      <c r="G23" s="23"/>
      <c r="H23" s="24"/>
      <c r="I23" s="20"/>
      <c r="J23" s="22"/>
    </row>
    <row r="25" customFormat="false" ht="15" hidden="false" customHeight="false" outlineLevel="0" collapsed="false">
      <c r="J25" s="25" t="n">
        <f aca="false">SUM(J3:J22)</f>
        <v>225849</v>
      </c>
    </row>
    <row r="30" customFormat="false" ht="18" hidden="false" customHeight="false" outlineLevel="0" collapsed="false">
      <c r="E30" s="26"/>
    </row>
    <row r="31" customFormat="false" ht="18" hidden="false" customHeight="false" outlineLevel="0" collapsed="false">
      <c r="E31" s="26"/>
    </row>
    <row r="32" customFormat="false" ht="18" hidden="false" customHeight="false" outlineLevel="0" collapsed="false">
      <c r="E32" s="26"/>
    </row>
    <row r="33" customFormat="false" ht="18" hidden="false" customHeight="false" outlineLevel="0" collapsed="false">
      <c r="E33" s="26"/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8" activeCellId="0" sqref="B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24.72"/>
    <col collapsed="false" customWidth="true" hidden="false" outlineLevel="0" max="4" min="3" style="0" width="15.71"/>
    <col collapsed="false" customWidth="true" hidden="false" outlineLevel="0" max="5" min="5" style="0" width="9.85"/>
    <col collapsed="false" customWidth="true" hidden="false" outlineLevel="0" max="6" min="6" style="0" width="6.71"/>
    <col collapsed="false" customWidth="true" hidden="false" outlineLevel="0" max="7" min="7" style="0" width="10.71"/>
    <col collapsed="false" customWidth="true" hidden="false" outlineLevel="0" max="8" min="8" style="0" width="8.71"/>
    <col collapsed="false" customWidth="true" hidden="false" outlineLevel="0" max="9" min="9" style="0" width="15.71"/>
    <col collapsed="false" customWidth="true" hidden="false" outlineLevel="0" max="10" min="10" style="0" width="16.71"/>
  </cols>
  <sheetData>
    <row r="1" customFormat="false" ht="40.5" hidden="false" customHeight="true" outlineLevel="0" collapsed="false">
      <c r="A1" s="1" t="s">
        <v>97</v>
      </c>
      <c r="B1" s="1"/>
      <c r="C1" s="1"/>
      <c r="D1" s="1"/>
      <c r="E1" s="1"/>
      <c r="F1" s="1"/>
      <c r="G1" s="1"/>
      <c r="H1" s="1"/>
    </row>
    <row r="2" customFormat="false" ht="30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J2" s="2" t="s">
        <v>9</v>
      </c>
    </row>
    <row r="3" customFormat="false" ht="15" hidden="false" customHeight="true" outlineLevel="0" collapsed="false">
      <c r="A3" s="12" t="s">
        <v>10</v>
      </c>
      <c r="B3" s="2" t="s">
        <v>98</v>
      </c>
      <c r="C3" s="2" t="s">
        <v>23</v>
      </c>
      <c r="D3" s="2" t="s">
        <v>99</v>
      </c>
      <c r="E3" s="13" t="n">
        <v>1.8</v>
      </c>
      <c r="F3" s="2" t="n">
        <v>2000</v>
      </c>
      <c r="G3" s="4" t="n">
        <f aca="false">F3*E3</f>
        <v>3600</v>
      </c>
      <c r="H3" s="5" t="n">
        <v>45450</v>
      </c>
      <c r="J3" s="6" t="n">
        <f aca="false">G3*4.35</f>
        <v>15660</v>
      </c>
    </row>
    <row r="4" customFormat="false" ht="15" hidden="false" customHeight="true" outlineLevel="0" collapsed="false">
      <c r="A4" s="12" t="s">
        <v>14</v>
      </c>
      <c r="B4" s="2" t="s">
        <v>84</v>
      </c>
      <c r="C4" s="2" t="s">
        <v>85</v>
      </c>
      <c r="D4" s="2" t="s">
        <v>86</v>
      </c>
      <c r="E4" s="17" t="n">
        <v>4.6</v>
      </c>
      <c r="F4" s="12" t="n">
        <v>2000</v>
      </c>
      <c r="G4" s="16" t="n">
        <f aca="false">F4*E4</f>
        <v>9200</v>
      </c>
      <c r="H4" s="14" t="n">
        <v>45453</v>
      </c>
      <c r="I4" s="20" t="s">
        <v>87</v>
      </c>
      <c r="J4" s="6" t="n">
        <f aca="false">G4</f>
        <v>9200</v>
      </c>
    </row>
    <row r="5" customFormat="false" ht="15" hidden="false" customHeight="true" outlineLevel="0" collapsed="false">
      <c r="A5" s="12" t="s">
        <v>18</v>
      </c>
      <c r="B5" s="2" t="s">
        <v>100</v>
      </c>
      <c r="C5" s="2" t="s">
        <v>101</v>
      </c>
      <c r="D5" s="2" t="s">
        <v>28</v>
      </c>
      <c r="E5" s="6" t="n">
        <v>3.5</v>
      </c>
      <c r="F5" s="2" t="n">
        <v>2000</v>
      </c>
      <c r="G5" s="7" t="n">
        <f aca="false">F5*E5</f>
        <v>7000</v>
      </c>
      <c r="H5" s="5" t="n">
        <v>45457</v>
      </c>
      <c r="J5" s="6" t="n">
        <f aca="false">G5</f>
        <v>7000</v>
      </c>
    </row>
    <row r="6" customFormat="false" ht="15" hidden="false" customHeight="true" outlineLevel="0" collapsed="false">
      <c r="A6" s="12" t="s">
        <v>21</v>
      </c>
      <c r="B6" s="2" t="s">
        <v>102</v>
      </c>
      <c r="C6" s="2" t="s">
        <v>23</v>
      </c>
      <c r="D6" s="2" t="s">
        <v>103</v>
      </c>
      <c r="E6" s="3" t="n">
        <v>3.95</v>
      </c>
      <c r="F6" s="2" t="n">
        <v>500</v>
      </c>
      <c r="G6" s="4" t="n">
        <f aca="false">F6*E6</f>
        <v>1975</v>
      </c>
      <c r="H6" s="5" t="n">
        <v>45461</v>
      </c>
      <c r="J6" s="6" t="n">
        <f aca="false">G6*4.35</f>
        <v>8591.25</v>
      </c>
    </row>
    <row r="7" customFormat="false" ht="15" hidden="false" customHeight="true" outlineLevel="0" collapsed="false">
      <c r="A7" s="12" t="s">
        <v>25</v>
      </c>
      <c r="B7" s="2" t="s">
        <v>104</v>
      </c>
      <c r="C7" s="2" t="s">
        <v>23</v>
      </c>
      <c r="D7" s="2" t="s">
        <v>24</v>
      </c>
      <c r="E7" s="35" t="n">
        <v>3.82</v>
      </c>
      <c r="F7" s="2" t="n">
        <v>15757</v>
      </c>
      <c r="G7" s="4" t="n">
        <f aca="false">F7*E7</f>
        <v>60191.74</v>
      </c>
      <c r="H7" s="5" t="n">
        <v>45464</v>
      </c>
      <c r="J7" s="6" t="n">
        <f aca="false">G7*4.35</f>
        <v>261834.069</v>
      </c>
    </row>
    <row r="8" customFormat="false" ht="30" hidden="false" customHeight="false" outlineLevel="0" collapsed="false">
      <c r="A8" s="12" t="s">
        <v>30</v>
      </c>
      <c r="B8" s="12" t="s">
        <v>105</v>
      </c>
      <c r="C8" s="12" t="s">
        <v>106</v>
      </c>
      <c r="D8" s="12" t="s">
        <v>33</v>
      </c>
      <c r="E8" s="3" t="n">
        <v>14.41</v>
      </c>
      <c r="F8" s="12" t="n">
        <v>125</v>
      </c>
      <c r="G8" s="4" t="n">
        <f aca="false">F8*E8</f>
        <v>1801.25</v>
      </c>
      <c r="H8" s="14" t="n">
        <v>45464</v>
      </c>
      <c r="I8" s="15"/>
      <c r="J8" s="6" t="n">
        <f aca="false">G8*4.35</f>
        <v>7835.4375</v>
      </c>
    </row>
    <row r="9" customFormat="false" ht="15" hidden="false" customHeight="true" outlineLevel="0" collapsed="false">
      <c r="A9" s="12" t="s">
        <v>34</v>
      </c>
      <c r="B9" s="2" t="s">
        <v>31</v>
      </c>
      <c r="C9" s="2" t="s">
        <v>32</v>
      </c>
      <c r="D9" s="2" t="s">
        <v>33</v>
      </c>
      <c r="E9" s="3" t="n">
        <v>15.32</v>
      </c>
      <c r="F9" s="2" t="n">
        <v>150</v>
      </c>
      <c r="G9" s="4" t="n">
        <f aca="false">F9*E9</f>
        <v>2298</v>
      </c>
      <c r="H9" s="5" t="n">
        <v>45468</v>
      </c>
      <c r="J9" s="6" t="n">
        <f aca="false">G9*4.35</f>
        <v>9996.3</v>
      </c>
    </row>
    <row r="10" customFormat="false" ht="30" hidden="false" customHeight="true" outlineLevel="0" collapsed="false">
      <c r="A10" s="12" t="s">
        <v>39</v>
      </c>
      <c r="B10" s="12" t="s">
        <v>35</v>
      </c>
      <c r="C10" s="12" t="s">
        <v>92</v>
      </c>
      <c r="D10" s="12" t="s">
        <v>37</v>
      </c>
      <c r="E10" s="17" t="n">
        <v>4.5</v>
      </c>
      <c r="F10" s="36" t="n">
        <v>4000</v>
      </c>
      <c r="G10" s="16" t="n">
        <f aca="false">F10*E10</f>
        <v>18000</v>
      </c>
      <c r="H10" s="14" t="n">
        <v>45468</v>
      </c>
      <c r="I10" s="37"/>
      <c r="J10" s="17" t="n">
        <f aca="false">G10</f>
        <v>18000</v>
      </c>
    </row>
    <row r="11" customFormat="false" ht="30" hidden="false" customHeight="false" outlineLevel="0" collapsed="false">
      <c r="A11" s="12" t="s">
        <v>43</v>
      </c>
      <c r="B11" s="12" t="s">
        <v>107</v>
      </c>
      <c r="C11" s="12" t="s">
        <v>106</v>
      </c>
      <c r="D11" s="12" t="s">
        <v>20</v>
      </c>
      <c r="E11" s="17" t="n">
        <v>12</v>
      </c>
      <c r="F11" s="12" t="n">
        <v>500</v>
      </c>
      <c r="G11" s="16" t="n">
        <f aca="false">F11*E11</f>
        <v>6000</v>
      </c>
      <c r="H11" s="14" t="n">
        <v>45469</v>
      </c>
      <c r="I11" s="15"/>
      <c r="J11" s="17" t="n">
        <f aca="false">G11</f>
        <v>6000</v>
      </c>
    </row>
    <row r="12" customFormat="false" ht="15" hidden="false" customHeight="false" outlineLevel="0" collapsed="false">
      <c r="A12" s="2" t="s">
        <v>45</v>
      </c>
      <c r="B12" s="12"/>
      <c r="C12" s="12"/>
      <c r="D12" s="12"/>
      <c r="E12" s="17"/>
      <c r="F12" s="12"/>
      <c r="G12" s="16"/>
      <c r="H12" s="14"/>
      <c r="I12" s="15"/>
      <c r="J12" s="6" t="n">
        <f aca="false">G12</f>
        <v>0</v>
      </c>
    </row>
    <row r="13" customFormat="false" ht="15" hidden="false" customHeight="false" outlineLevel="0" collapsed="false">
      <c r="A13" s="2" t="s">
        <v>48</v>
      </c>
      <c r="B13" s="2"/>
      <c r="C13" s="2"/>
      <c r="D13" s="2"/>
      <c r="E13" s="6"/>
      <c r="F13" s="2"/>
      <c r="G13" s="7"/>
      <c r="H13" s="5"/>
      <c r="J13" s="6" t="n">
        <f aca="false">G13</f>
        <v>0</v>
      </c>
    </row>
    <row r="14" customFormat="false" ht="15" hidden="false" customHeight="false" outlineLevel="0" collapsed="false">
      <c r="A14" s="2" t="s">
        <v>51</v>
      </c>
      <c r="B14" s="2"/>
      <c r="C14" s="2"/>
      <c r="D14" s="2"/>
      <c r="E14" s="3"/>
      <c r="F14" s="2"/>
      <c r="G14" s="4"/>
      <c r="H14" s="5"/>
      <c r="I14" s="19"/>
      <c r="J14" s="6" t="n">
        <f aca="false">G14*4.35</f>
        <v>0</v>
      </c>
    </row>
    <row r="15" customFormat="false" ht="15" hidden="false" customHeight="false" outlineLevel="0" collapsed="false">
      <c r="A15" s="2" t="s">
        <v>55</v>
      </c>
      <c r="B15" s="2"/>
      <c r="C15" s="2"/>
      <c r="D15" s="2"/>
      <c r="E15" s="6"/>
      <c r="F15" s="2"/>
      <c r="G15" s="7"/>
      <c r="H15" s="5"/>
      <c r="J15" s="6" t="n">
        <f aca="false">G15</f>
        <v>0</v>
      </c>
    </row>
    <row r="16" customFormat="false" ht="15" hidden="false" customHeight="false" outlineLevel="0" collapsed="false">
      <c r="A16" s="2" t="s">
        <v>57</v>
      </c>
      <c r="B16" s="2"/>
      <c r="C16" s="2"/>
      <c r="D16" s="2"/>
      <c r="E16" s="6"/>
      <c r="F16" s="2"/>
      <c r="G16" s="7"/>
      <c r="H16" s="5"/>
      <c r="J16" s="6" t="n">
        <f aca="false">G16</f>
        <v>0</v>
      </c>
    </row>
    <row r="17" customFormat="false" ht="15" hidden="false" customHeight="false" outlineLevel="0" collapsed="false">
      <c r="A17" s="2" t="s">
        <v>59</v>
      </c>
      <c r="B17" s="2"/>
      <c r="C17" s="2"/>
      <c r="D17" s="2"/>
      <c r="E17" s="6"/>
      <c r="F17" s="2"/>
      <c r="G17" s="7"/>
      <c r="H17" s="5"/>
      <c r="J17" s="6" t="n">
        <f aca="false">G17</f>
        <v>0</v>
      </c>
    </row>
    <row r="18" customFormat="false" ht="15" hidden="false" customHeight="false" outlineLevel="0" collapsed="false">
      <c r="A18" s="2" t="s">
        <v>61</v>
      </c>
      <c r="B18" s="2"/>
      <c r="C18" s="2"/>
      <c r="D18" s="2"/>
      <c r="E18" s="6"/>
      <c r="F18" s="2"/>
      <c r="G18" s="7"/>
      <c r="H18" s="5"/>
      <c r="J18" s="6" t="n">
        <f aca="false">G18</f>
        <v>0</v>
      </c>
    </row>
    <row r="19" customFormat="false" ht="15" hidden="false" customHeight="false" outlineLevel="0" collapsed="false">
      <c r="A19" s="2" t="s">
        <v>63</v>
      </c>
      <c r="B19" s="12"/>
      <c r="C19" s="12"/>
      <c r="D19" s="12"/>
      <c r="E19" s="17"/>
      <c r="F19" s="12"/>
      <c r="G19" s="16"/>
      <c r="H19" s="14"/>
      <c r="I19" s="38"/>
      <c r="J19" s="17" t="n">
        <f aca="false">G19</f>
        <v>0</v>
      </c>
    </row>
    <row r="20" customFormat="false" ht="15" hidden="false" customHeight="false" outlineLevel="0" collapsed="false">
      <c r="A20" s="2" t="s">
        <v>67</v>
      </c>
      <c r="B20" s="2"/>
      <c r="C20" s="2"/>
      <c r="D20" s="2"/>
      <c r="E20" s="13"/>
      <c r="F20" s="12"/>
      <c r="G20" s="4"/>
      <c r="H20" s="14"/>
      <c r="I20" s="15"/>
      <c r="J20" s="17" t="n">
        <f aca="false">G20*4.35</f>
        <v>0</v>
      </c>
    </row>
    <row r="21" customFormat="false" ht="15" hidden="false" customHeight="false" outlineLevel="0" collapsed="false">
      <c r="A21" s="2" t="s">
        <v>70</v>
      </c>
      <c r="B21" s="2"/>
      <c r="C21" s="2"/>
      <c r="D21" s="2"/>
      <c r="E21" s="6"/>
      <c r="F21" s="2"/>
      <c r="G21" s="7"/>
      <c r="H21" s="5"/>
      <c r="J21" s="6" t="n">
        <f aca="false">G21</f>
        <v>0</v>
      </c>
    </row>
    <row r="22" customFormat="false" ht="15" hidden="false" customHeight="false" outlineLevel="0" collapsed="false">
      <c r="A22" s="2" t="s">
        <v>71</v>
      </c>
      <c r="B22" s="2"/>
      <c r="C22" s="2"/>
      <c r="D22" s="2"/>
      <c r="E22" s="13"/>
      <c r="F22" s="12"/>
      <c r="G22" s="4"/>
      <c r="H22" s="14"/>
      <c r="I22" s="15"/>
      <c r="J22" s="6" t="n">
        <f aca="false">G22*4.35</f>
        <v>0</v>
      </c>
    </row>
    <row r="23" customFormat="false" ht="15" hidden="false" customHeight="false" outlineLevel="0" collapsed="false">
      <c r="A23" s="2" t="s">
        <v>73</v>
      </c>
      <c r="B23" s="2"/>
      <c r="C23" s="2"/>
      <c r="D23" s="2"/>
      <c r="E23" s="17"/>
      <c r="F23" s="12"/>
      <c r="G23" s="16"/>
      <c r="H23" s="14"/>
      <c r="I23" s="20"/>
      <c r="J23" s="6" t="n">
        <f aca="false">G23</f>
        <v>0</v>
      </c>
    </row>
    <row r="24" customFormat="false" ht="15" hidden="false" customHeight="false" outlineLevel="0" collapsed="false">
      <c r="A24" s="2" t="s">
        <v>76</v>
      </c>
      <c r="B24" s="2"/>
      <c r="C24" s="2"/>
      <c r="D24" s="2"/>
      <c r="E24" s="6"/>
      <c r="F24" s="2"/>
      <c r="G24" s="7"/>
      <c r="H24" s="5"/>
      <c r="I24" s="20"/>
      <c r="J24" s="6" t="n">
        <f aca="false">G24</f>
        <v>0</v>
      </c>
    </row>
    <row r="25" customFormat="false" ht="15" hidden="false" customHeight="false" outlineLevel="0" collapsed="false">
      <c r="A25" s="21"/>
      <c r="B25" s="21"/>
      <c r="C25" s="21"/>
      <c r="D25" s="21"/>
      <c r="E25" s="22"/>
      <c r="F25" s="21"/>
      <c r="G25" s="23"/>
      <c r="H25" s="24"/>
      <c r="I25" s="20"/>
      <c r="J25" s="22"/>
    </row>
    <row r="27" customFormat="false" ht="15" hidden="false" customHeight="false" outlineLevel="0" collapsed="false">
      <c r="J27" s="25" t="n">
        <f aca="false">SUM(J3:J24)</f>
        <v>344117.0565</v>
      </c>
    </row>
    <row r="32" customFormat="false" ht="18" hidden="false" customHeight="false" outlineLevel="0" collapsed="false">
      <c r="E32" s="26"/>
    </row>
    <row r="33" customFormat="false" ht="18" hidden="false" customHeight="false" outlineLevel="0" collapsed="false">
      <c r="E33" s="26"/>
    </row>
    <row r="34" customFormat="false" ht="18" hidden="false" customHeight="false" outlineLevel="0" collapsed="false">
      <c r="E34" s="26"/>
    </row>
    <row r="35" customFormat="false" ht="18" hidden="false" customHeight="false" outlineLevel="0" collapsed="false">
      <c r="E35" s="26"/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24.72"/>
    <col collapsed="false" customWidth="true" hidden="false" outlineLevel="0" max="4" min="3" style="0" width="15.71"/>
    <col collapsed="false" customWidth="true" hidden="false" outlineLevel="0" max="5" min="5" style="0" width="9.85"/>
    <col collapsed="false" customWidth="true" hidden="false" outlineLevel="0" max="6" min="6" style="0" width="6.71"/>
    <col collapsed="false" customWidth="true" hidden="false" outlineLevel="0" max="7" min="7" style="0" width="10.71"/>
    <col collapsed="false" customWidth="true" hidden="false" outlineLevel="0" max="8" min="8" style="0" width="8.71"/>
    <col collapsed="false" customWidth="true" hidden="false" outlineLevel="0" max="9" min="9" style="0" width="20.28"/>
    <col collapsed="false" customWidth="true" hidden="false" outlineLevel="0" max="10" min="10" style="0" width="16.71"/>
  </cols>
  <sheetData>
    <row r="1" customFormat="false" ht="40.5" hidden="false" customHeight="true" outlineLevel="0" collapsed="false">
      <c r="A1" s="1" t="s">
        <v>108</v>
      </c>
      <c r="B1" s="1"/>
      <c r="C1" s="1"/>
      <c r="D1" s="1"/>
      <c r="E1" s="1"/>
      <c r="F1" s="1"/>
      <c r="G1" s="1"/>
      <c r="H1" s="1"/>
    </row>
    <row r="2" customFormat="false" ht="30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J2" s="2" t="s">
        <v>9</v>
      </c>
    </row>
    <row r="3" customFormat="false" ht="30" hidden="false" customHeight="true" outlineLevel="0" collapsed="false">
      <c r="A3" s="2" t="s">
        <v>10</v>
      </c>
      <c r="B3" s="2" t="s">
        <v>109</v>
      </c>
      <c r="C3" s="2" t="s">
        <v>110</v>
      </c>
      <c r="D3" s="2" t="s">
        <v>20</v>
      </c>
      <c r="E3" s="6" t="n">
        <v>12.8</v>
      </c>
      <c r="F3" s="2" t="n">
        <v>25</v>
      </c>
      <c r="G3" s="7" t="n">
        <f aca="false">F3*E3</f>
        <v>320</v>
      </c>
      <c r="H3" s="5" t="n">
        <v>45477</v>
      </c>
      <c r="J3" s="6" t="n">
        <f aca="false">G3</f>
        <v>320</v>
      </c>
    </row>
    <row r="4" customFormat="false" ht="30" hidden="false" customHeight="true" outlineLevel="0" collapsed="false">
      <c r="A4" s="12" t="s">
        <v>14</v>
      </c>
      <c r="B4" s="2" t="s">
        <v>111</v>
      </c>
      <c r="C4" s="2" t="s">
        <v>112</v>
      </c>
      <c r="D4" s="2" t="s">
        <v>37</v>
      </c>
      <c r="E4" s="6" t="n">
        <v>5.2</v>
      </c>
      <c r="F4" s="2" t="n">
        <v>1000</v>
      </c>
      <c r="G4" s="7" t="n">
        <f aca="false">F4*E4</f>
        <v>5200</v>
      </c>
      <c r="H4" s="5" t="n">
        <v>45478</v>
      </c>
      <c r="I4" s="0" t="s">
        <v>113</v>
      </c>
      <c r="J4" s="6" t="n">
        <f aca="false">G4</f>
        <v>5200</v>
      </c>
    </row>
    <row r="5" customFormat="false" ht="30" hidden="false" customHeight="true" outlineLevel="0" collapsed="false">
      <c r="A5" s="12" t="s">
        <v>18</v>
      </c>
      <c r="B5" s="2" t="s">
        <v>114</v>
      </c>
      <c r="C5" s="2" t="s">
        <v>115</v>
      </c>
      <c r="D5" s="2" t="s">
        <v>20</v>
      </c>
      <c r="E5" s="6" t="n">
        <v>10.8</v>
      </c>
      <c r="F5" s="2" t="n">
        <v>150</v>
      </c>
      <c r="G5" s="7" t="n">
        <f aca="false">F5*E5</f>
        <v>1620</v>
      </c>
      <c r="H5" s="5" t="n">
        <v>45478</v>
      </c>
      <c r="J5" s="6" t="n">
        <f aca="false">G5</f>
        <v>1620</v>
      </c>
    </row>
    <row r="6" customFormat="false" ht="30" hidden="false" customHeight="true" outlineLevel="0" collapsed="false">
      <c r="A6" s="2" t="s">
        <v>21</v>
      </c>
      <c r="B6" s="2" t="s">
        <v>116</v>
      </c>
      <c r="C6" s="2" t="s">
        <v>117</v>
      </c>
      <c r="D6" s="2" t="s">
        <v>54</v>
      </c>
      <c r="E6" s="6" t="n">
        <v>6</v>
      </c>
      <c r="F6" s="2" t="n">
        <v>5000</v>
      </c>
      <c r="G6" s="7" t="n">
        <f aca="false">F6*E6</f>
        <v>30000</v>
      </c>
      <c r="H6" s="5" t="n">
        <v>45484</v>
      </c>
      <c r="J6" s="6" t="n">
        <f aca="false">G6</f>
        <v>30000</v>
      </c>
    </row>
    <row r="7" customFormat="false" ht="30" hidden="false" customHeight="true" outlineLevel="0" collapsed="false">
      <c r="A7" s="12" t="s">
        <v>25</v>
      </c>
      <c r="B7" s="2" t="s">
        <v>118</v>
      </c>
      <c r="C7" s="2" t="s">
        <v>119</v>
      </c>
      <c r="D7" s="2" t="s">
        <v>54</v>
      </c>
      <c r="E7" s="6" t="n">
        <v>6.9</v>
      </c>
      <c r="F7" s="2" t="n">
        <v>1000</v>
      </c>
      <c r="G7" s="7" t="n">
        <f aca="false">F7*E7</f>
        <v>6900</v>
      </c>
      <c r="H7" s="5" t="n">
        <v>45484</v>
      </c>
      <c r="J7" s="6" t="n">
        <f aca="false">G7</f>
        <v>6900</v>
      </c>
    </row>
    <row r="8" customFormat="false" ht="30" hidden="false" customHeight="true" outlineLevel="0" collapsed="false">
      <c r="A8" s="12" t="s">
        <v>30</v>
      </c>
      <c r="B8" s="2" t="s">
        <v>120</v>
      </c>
      <c r="C8" s="2" t="s">
        <v>65</v>
      </c>
      <c r="D8" s="2" t="s">
        <v>121</v>
      </c>
      <c r="E8" s="3" t="n">
        <v>2.9</v>
      </c>
      <c r="F8" s="12" t="n">
        <v>1000</v>
      </c>
      <c r="G8" s="4" t="n">
        <f aca="false">F8*E8</f>
        <v>2900</v>
      </c>
      <c r="H8" s="14" t="n">
        <v>45484</v>
      </c>
      <c r="I8" s="15"/>
      <c r="J8" s="6" t="n">
        <f aca="false">G8*4.35</f>
        <v>12615</v>
      </c>
    </row>
    <row r="9" customFormat="false" ht="30" hidden="false" customHeight="true" outlineLevel="0" collapsed="false">
      <c r="A9" s="2" t="s">
        <v>34</v>
      </c>
      <c r="B9" s="2" t="s">
        <v>122</v>
      </c>
      <c r="C9" s="2" t="s">
        <v>123</v>
      </c>
      <c r="D9" s="2" t="s">
        <v>13</v>
      </c>
      <c r="E9" s="3" t="n">
        <v>6</v>
      </c>
      <c r="F9" s="12" t="n">
        <v>300</v>
      </c>
      <c r="G9" s="4" t="n">
        <f aca="false">F9*E9</f>
        <v>1800</v>
      </c>
      <c r="H9" s="14" t="n">
        <v>45489</v>
      </c>
      <c r="I9" s="15"/>
      <c r="J9" s="6" t="n">
        <f aca="false">G9*4.35</f>
        <v>7830</v>
      </c>
    </row>
    <row r="10" customFormat="false" ht="30" hidden="false" customHeight="true" outlineLevel="0" collapsed="false">
      <c r="A10" s="12" t="s">
        <v>39</v>
      </c>
      <c r="B10" s="2" t="s">
        <v>124</v>
      </c>
      <c r="C10" s="2" t="s">
        <v>16</v>
      </c>
      <c r="D10" s="2" t="s">
        <v>125</v>
      </c>
      <c r="E10" s="6" t="n">
        <v>7.62</v>
      </c>
      <c r="F10" s="2" t="n">
        <v>800</v>
      </c>
      <c r="G10" s="7" t="n">
        <f aca="false">F10*E10</f>
        <v>6096</v>
      </c>
      <c r="H10" s="5" t="n">
        <v>45490</v>
      </c>
      <c r="J10" s="6" t="n">
        <f aca="false">G10</f>
        <v>6096</v>
      </c>
    </row>
    <row r="11" customFormat="false" ht="39.75" hidden="false" customHeight="true" outlineLevel="0" collapsed="false">
      <c r="A11" s="12" t="s">
        <v>43</v>
      </c>
      <c r="B11" s="2" t="s">
        <v>44</v>
      </c>
      <c r="C11" s="2" t="s">
        <v>41</v>
      </c>
      <c r="D11" s="2" t="s">
        <v>20</v>
      </c>
      <c r="E11" s="6" t="n">
        <v>6.4</v>
      </c>
      <c r="F11" s="2" t="n">
        <v>4125</v>
      </c>
      <c r="G11" s="7" t="n">
        <f aca="false">F11*E11</f>
        <v>26400</v>
      </c>
      <c r="H11" s="5" t="n">
        <v>45493</v>
      </c>
      <c r="J11" s="6" t="n">
        <f aca="false">G11</f>
        <v>26400</v>
      </c>
    </row>
    <row r="12" customFormat="false" ht="15" hidden="false" customHeight="true" outlineLevel="0" collapsed="false">
      <c r="A12" s="2" t="s">
        <v>45</v>
      </c>
      <c r="B12" s="2" t="s">
        <v>40</v>
      </c>
      <c r="C12" s="2" t="s">
        <v>41</v>
      </c>
      <c r="D12" s="2" t="s">
        <v>20</v>
      </c>
      <c r="E12" s="17" t="n">
        <v>5.85</v>
      </c>
      <c r="F12" s="12" t="n">
        <v>2750</v>
      </c>
      <c r="G12" s="7" t="n">
        <f aca="false">F12*E12</f>
        <v>16087.5</v>
      </c>
      <c r="H12" s="5" t="n">
        <v>45493</v>
      </c>
      <c r="I12" s="20"/>
      <c r="J12" s="6" t="n">
        <f aca="false">G12</f>
        <v>16087.5</v>
      </c>
    </row>
    <row r="13" customFormat="false" ht="15" hidden="false" customHeight="true" outlineLevel="0" collapsed="false">
      <c r="A13" s="12" t="s">
        <v>48</v>
      </c>
      <c r="B13" s="2" t="s">
        <v>126</v>
      </c>
      <c r="C13" s="2" t="s">
        <v>23</v>
      </c>
      <c r="D13" s="2" t="s">
        <v>127</v>
      </c>
      <c r="E13" s="6" t="n">
        <v>73.63</v>
      </c>
      <c r="F13" s="2" t="n">
        <v>50</v>
      </c>
      <c r="G13" s="7" t="n">
        <f aca="false">F13*E13</f>
        <v>3681.5</v>
      </c>
      <c r="H13" s="32" t="n">
        <v>45495</v>
      </c>
      <c r="J13" s="6" t="n">
        <f aca="false">G13</f>
        <v>3681.5</v>
      </c>
    </row>
    <row r="14" customFormat="false" ht="40.5" hidden="false" customHeight="false" outlineLevel="0" collapsed="false">
      <c r="A14" s="2" t="s">
        <v>51</v>
      </c>
      <c r="B14" s="2" t="s">
        <v>128</v>
      </c>
      <c r="C14" s="2" t="s">
        <v>129</v>
      </c>
      <c r="D14" s="39" t="s">
        <v>130</v>
      </c>
      <c r="E14" s="6" t="n">
        <v>9.63</v>
      </c>
      <c r="F14" s="2" t="n">
        <v>300</v>
      </c>
      <c r="G14" s="7" t="n">
        <f aca="false">F14*E14</f>
        <v>2889</v>
      </c>
      <c r="H14" s="5" t="n">
        <v>45504</v>
      </c>
      <c r="J14" s="6" t="n">
        <f aca="false">G14</f>
        <v>2889</v>
      </c>
    </row>
    <row r="15" customFormat="false" ht="40.5" hidden="false" customHeight="false" outlineLevel="0" collapsed="false">
      <c r="A15" s="12" t="s">
        <v>55</v>
      </c>
      <c r="B15" s="2" t="s">
        <v>131</v>
      </c>
      <c r="C15" s="2" t="s">
        <v>129</v>
      </c>
      <c r="D15" s="39" t="s">
        <v>130</v>
      </c>
      <c r="E15" s="6" t="n">
        <v>10.65</v>
      </c>
      <c r="F15" s="2" t="n">
        <v>150</v>
      </c>
      <c r="G15" s="7" t="n">
        <f aca="false">F15*E15</f>
        <v>1597.5</v>
      </c>
      <c r="H15" s="5" t="n">
        <v>45504</v>
      </c>
      <c r="I15" s="19"/>
      <c r="J15" s="6" t="n">
        <f aca="false">G15</f>
        <v>1597.5</v>
      </c>
    </row>
    <row r="16" customFormat="false" ht="15" hidden="false" customHeight="false" outlineLevel="0" collapsed="false">
      <c r="A16" s="2" t="s">
        <v>57</v>
      </c>
      <c r="B16" s="2"/>
      <c r="C16" s="2"/>
      <c r="D16" s="2"/>
      <c r="E16" s="6"/>
      <c r="F16" s="2"/>
      <c r="G16" s="7"/>
      <c r="H16" s="5"/>
      <c r="J16" s="6" t="n">
        <f aca="false">G16</f>
        <v>0</v>
      </c>
    </row>
    <row r="17" customFormat="false" ht="15" hidden="false" customHeight="false" outlineLevel="0" collapsed="false">
      <c r="A17" s="12" t="s">
        <v>59</v>
      </c>
      <c r="B17" s="2"/>
      <c r="C17" s="2"/>
      <c r="D17" s="2"/>
      <c r="E17" s="6"/>
      <c r="F17" s="2"/>
      <c r="G17" s="7"/>
      <c r="H17" s="5"/>
      <c r="J17" s="6" t="n">
        <f aca="false">G17</f>
        <v>0</v>
      </c>
    </row>
    <row r="18" customFormat="false" ht="15" hidden="false" customHeight="false" outlineLevel="0" collapsed="false">
      <c r="A18" s="12" t="s">
        <v>61</v>
      </c>
      <c r="B18" s="2"/>
      <c r="C18" s="2"/>
      <c r="D18" s="2"/>
      <c r="E18" s="6"/>
      <c r="F18" s="2"/>
      <c r="G18" s="7"/>
      <c r="H18" s="5"/>
      <c r="J18" s="6" t="n">
        <f aca="false">G18</f>
        <v>0</v>
      </c>
    </row>
    <row r="19" customFormat="false" ht="15" hidden="false" customHeight="false" outlineLevel="0" collapsed="false">
      <c r="A19" s="2" t="s">
        <v>63</v>
      </c>
      <c r="B19" s="2"/>
      <c r="C19" s="2"/>
      <c r="D19" s="2"/>
      <c r="E19" s="6"/>
      <c r="F19" s="2"/>
      <c r="G19" s="7"/>
      <c r="H19" s="5"/>
      <c r="J19" s="6" t="n">
        <f aca="false">G19</f>
        <v>0</v>
      </c>
    </row>
    <row r="20" customFormat="false" ht="15" hidden="false" customHeight="false" outlineLevel="0" collapsed="false">
      <c r="A20" s="12" t="s">
        <v>67</v>
      </c>
      <c r="B20" s="12"/>
      <c r="C20" s="12"/>
      <c r="D20" s="12"/>
      <c r="E20" s="17"/>
      <c r="F20" s="12"/>
      <c r="G20" s="16"/>
      <c r="H20" s="14"/>
      <c r="I20" s="38"/>
      <c r="J20" s="17" t="n">
        <f aca="false">G20</f>
        <v>0</v>
      </c>
    </row>
    <row r="21" customFormat="false" ht="15" hidden="false" customHeight="false" outlineLevel="0" collapsed="false">
      <c r="A21" s="2" t="s">
        <v>70</v>
      </c>
      <c r="B21" s="2"/>
      <c r="C21" s="2"/>
      <c r="D21" s="2"/>
      <c r="E21" s="13"/>
      <c r="F21" s="12"/>
      <c r="G21" s="4"/>
      <c r="H21" s="14"/>
      <c r="I21" s="15"/>
      <c r="J21" s="17" t="n">
        <f aca="false">G21*4.35</f>
        <v>0</v>
      </c>
    </row>
    <row r="22" customFormat="false" ht="15" hidden="false" customHeight="false" outlineLevel="0" collapsed="false">
      <c r="A22" s="12" t="s">
        <v>71</v>
      </c>
      <c r="B22" s="2"/>
      <c r="C22" s="2"/>
      <c r="D22" s="2"/>
      <c r="E22" s="6"/>
      <c r="F22" s="2"/>
      <c r="G22" s="7"/>
      <c r="H22" s="5"/>
      <c r="J22" s="6" t="n">
        <f aca="false">G22</f>
        <v>0</v>
      </c>
    </row>
    <row r="23" customFormat="false" ht="15" hidden="false" customHeight="false" outlineLevel="0" collapsed="false">
      <c r="A23" s="2" t="s">
        <v>73</v>
      </c>
      <c r="B23" s="2"/>
      <c r="C23" s="2"/>
      <c r="D23" s="2"/>
      <c r="E23" s="13"/>
      <c r="F23" s="12"/>
      <c r="G23" s="4"/>
      <c r="H23" s="14"/>
      <c r="I23" s="15"/>
      <c r="J23" s="6" t="n">
        <f aca="false">G23*4.35</f>
        <v>0</v>
      </c>
    </row>
    <row r="24" customFormat="false" ht="15" hidden="false" customHeight="false" outlineLevel="0" collapsed="false">
      <c r="A24" s="12" t="s">
        <v>76</v>
      </c>
      <c r="B24" s="2"/>
      <c r="C24" s="2"/>
      <c r="D24" s="2"/>
      <c r="E24" s="17"/>
      <c r="F24" s="12"/>
      <c r="G24" s="16"/>
      <c r="H24" s="14"/>
      <c r="I24" s="20"/>
      <c r="J24" s="6" t="n">
        <f aca="false">G24</f>
        <v>0</v>
      </c>
    </row>
    <row r="25" customFormat="false" ht="15" hidden="false" customHeight="false" outlineLevel="0" collapsed="false">
      <c r="A25" s="12" t="s">
        <v>78</v>
      </c>
      <c r="B25" s="2"/>
      <c r="C25" s="2"/>
      <c r="D25" s="2"/>
      <c r="E25" s="6"/>
      <c r="F25" s="2"/>
      <c r="G25" s="7"/>
      <c r="H25" s="5"/>
      <c r="I25" s="20"/>
      <c r="J25" s="6" t="n">
        <f aca="false">G25</f>
        <v>0</v>
      </c>
    </row>
    <row r="26" customFormat="false" ht="15" hidden="false" customHeight="false" outlineLevel="0" collapsed="false">
      <c r="A26" s="21"/>
      <c r="B26" s="21"/>
      <c r="C26" s="21"/>
      <c r="D26" s="21"/>
      <c r="E26" s="22"/>
      <c r="F26" s="21"/>
      <c r="G26" s="23"/>
      <c r="H26" s="24"/>
      <c r="I26" s="20"/>
      <c r="J26" s="22"/>
    </row>
    <row r="27" customFormat="false" ht="15" hidden="false" customHeight="false" outlineLevel="0" collapsed="false">
      <c r="B27" s="40"/>
    </row>
    <row r="28" customFormat="false" ht="15" hidden="false" customHeight="false" outlineLevel="0" collapsed="false">
      <c r="B28" s="41"/>
      <c r="J28" s="25" t="n">
        <f aca="false">SUM(J3:J25)</f>
        <v>121236.5</v>
      </c>
    </row>
    <row r="29" customFormat="false" ht="15" hidden="false" customHeight="false" outlineLevel="0" collapsed="false">
      <c r="B29" s="41"/>
    </row>
    <row r="33" customFormat="false" ht="18" hidden="false" customHeight="false" outlineLevel="0" collapsed="false">
      <c r="E33" s="26"/>
    </row>
    <row r="34" customFormat="false" ht="18" hidden="false" customHeight="false" outlineLevel="0" collapsed="false">
      <c r="E34" s="26"/>
    </row>
    <row r="35" customFormat="false" ht="18" hidden="false" customHeight="false" outlineLevel="0" collapsed="false">
      <c r="E35" s="26"/>
    </row>
    <row r="36" customFormat="false" ht="18" hidden="false" customHeight="false" outlineLevel="0" collapsed="false">
      <c r="E36" s="26"/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21" activeCellId="0" sqref="L2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24.72"/>
    <col collapsed="false" customWidth="true" hidden="false" outlineLevel="0" max="4" min="3" style="0" width="15.71"/>
    <col collapsed="false" customWidth="true" hidden="false" outlineLevel="0" max="5" min="5" style="0" width="9.85"/>
    <col collapsed="false" customWidth="true" hidden="false" outlineLevel="0" max="6" min="6" style="0" width="6.71"/>
    <col collapsed="false" customWidth="true" hidden="false" outlineLevel="0" max="7" min="7" style="0" width="10.71"/>
    <col collapsed="false" customWidth="true" hidden="false" outlineLevel="0" max="8" min="8" style="0" width="8.71"/>
    <col collapsed="false" customWidth="true" hidden="false" outlineLevel="0" max="9" min="9" style="0" width="20.28"/>
    <col collapsed="false" customWidth="true" hidden="false" outlineLevel="0" max="10" min="10" style="0" width="16.71"/>
  </cols>
  <sheetData>
    <row r="1" customFormat="false" ht="40.5" hidden="false" customHeight="true" outlineLevel="0" collapsed="false">
      <c r="A1" s="1" t="s">
        <v>132</v>
      </c>
      <c r="B1" s="1"/>
      <c r="C1" s="1"/>
      <c r="D1" s="1"/>
      <c r="E1" s="1"/>
      <c r="F1" s="1"/>
      <c r="G1" s="1"/>
      <c r="H1" s="1"/>
    </row>
    <row r="2" customFormat="false" ht="30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J2" s="2" t="s">
        <v>9</v>
      </c>
    </row>
    <row r="3" customFormat="false" ht="30" hidden="false" customHeight="true" outlineLevel="0" collapsed="false">
      <c r="A3" s="2" t="s">
        <v>10</v>
      </c>
      <c r="B3" s="2" t="s">
        <v>133</v>
      </c>
      <c r="C3" s="2" t="s">
        <v>106</v>
      </c>
      <c r="D3" s="2" t="s">
        <v>20</v>
      </c>
      <c r="E3" s="6" t="n">
        <v>13</v>
      </c>
      <c r="F3" s="2" t="n">
        <v>250</v>
      </c>
      <c r="G3" s="7" t="n">
        <f aca="false">F3*E3</f>
        <v>3250</v>
      </c>
      <c r="H3" s="5" t="n">
        <v>45509</v>
      </c>
      <c r="J3" s="6" t="n">
        <f aca="false">G3</f>
        <v>3250</v>
      </c>
    </row>
    <row r="4" customFormat="false" ht="15" hidden="false" customHeight="true" outlineLevel="0" collapsed="false">
      <c r="A4" s="12" t="s">
        <v>14</v>
      </c>
      <c r="B4" s="2" t="s">
        <v>134</v>
      </c>
      <c r="C4" s="2" t="s">
        <v>135</v>
      </c>
      <c r="D4" s="2" t="s">
        <v>20</v>
      </c>
      <c r="E4" s="6" t="n">
        <v>10.9</v>
      </c>
      <c r="F4" s="2" t="n">
        <v>600</v>
      </c>
      <c r="G4" s="7" t="n">
        <f aca="false">F4*E4</f>
        <v>6540</v>
      </c>
      <c r="H4" s="5" t="n">
        <v>45509</v>
      </c>
      <c r="J4" s="6" t="n">
        <f aca="false">G4</f>
        <v>6540</v>
      </c>
    </row>
    <row r="5" customFormat="false" ht="15" hidden="false" customHeight="true" outlineLevel="0" collapsed="false">
      <c r="A5" s="12" t="s">
        <v>18</v>
      </c>
      <c r="B5" s="12" t="s">
        <v>35</v>
      </c>
      <c r="C5" s="12" t="s">
        <v>92</v>
      </c>
      <c r="D5" s="12" t="s">
        <v>37</v>
      </c>
      <c r="E5" s="17" t="n">
        <v>4.5</v>
      </c>
      <c r="F5" s="12" t="n">
        <v>2000</v>
      </c>
      <c r="G5" s="16" t="n">
        <f aca="false">F5*E5</f>
        <v>9000</v>
      </c>
      <c r="H5" s="14" t="n">
        <v>45509</v>
      </c>
      <c r="I5" s="37"/>
      <c r="J5" s="17" t="n">
        <f aca="false">G5</f>
        <v>9000</v>
      </c>
    </row>
    <row r="6" customFormat="false" ht="15" hidden="false" customHeight="true" outlineLevel="0" collapsed="false">
      <c r="A6" s="2" t="s">
        <v>21</v>
      </c>
      <c r="B6" s="2" t="s">
        <v>116</v>
      </c>
      <c r="C6" s="2" t="s">
        <v>117</v>
      </c>
      <c r="D6" s="2" t="s">
        <v>54</v>
      </c>
      <c r="E6" s="6" t="n">
        <v>6</v>
      </c>
      <c r="F6" s="2" t="n">
        <v>3000</v>
      </c>
      <c r="G6" s="7" t="n">
        <f aca="false">F6*E6</f>
        <v>18000</v>
      </c>
      <c r="H6" s="5" t="n">
        <v>45510</v>
      </c>
      <c r="J6" s="6" t="n">
        <f aca="false">G6</f>
        <v>18000</v>
      </c>
    </row>
    <row r="7" customFormat="false" ht="15" hidden="false" customHeight="true" outlineLevel="0" collapsed="false">
      <c r="A7" s="2" t="s">
        <v>25</v>
      </c>
      <c r="B7" s="2" t="s">
        <v>120</v>
      </c>
      <c r="C7" s="2" t="s">
        <v>65</v>
      </c>
      <c r="D7" s="2" t="s">
        <v>121</v>
      </c>
      <c r="E7" s="3" t="n">
        <v>2.9</v>
      </c>
      <c r="F7" s="12" t="n">
        <v>1000</v>
      </c>
      <c r="G7" s="4" t="n">
        <f aca="false">F7*E7</f>
        <v>2900</v>
      </c>
      <c r="H7" s="14" t="n">
        <v>45512</v>
      </c>
      <c r="I7" s="15"/>
      <c r="J7" s="6" t="n">
        <f aca="false">G7*4.35</f>
        <v>12615</v>
      </c>
    </row>
    <row r="8" customFormat="false" ht="15" hidden="false" customHeight="true" outlineLevel="0" collapsed="false">
      <c r="A8" s="12" t="s">
        <v>30</v>
      </c>
      <c r="B8" s="2" t="s">
        <v>116</v>
      </c>
      <c r="C8" s="2" t="s">
        <v>136</v>
      </c>
      <c r="D8" s="2" t="s">
        <v>137</v>
      </c>
      <c r="E8" s="6" t="n">
        <v>6</v>
      </c>
      <c r="F8" s="2" t="n">
        <v>1100</v>
      </c>
      <c r="G8" s="7" t="n">
        <f aca="false">F8*E8</f>
        <v>6600</v>
      </c>
      <c r="H8" s="5" t="n">
        <v>45512</v>
      </c>
      <c r="J8" s="6" t="n">
        <f aca="false">G8</f>
        <v>6600</v>
      </c>
    </row>
    <row r="9" customFormat="false" ht="15" hidden="false" customHeight="true" outlineLevel="0" collapsed="false">
      <c r="A9" s="12" t="s">
        <v>34</v>
      </c>
      <c r="B9" s="2" t="s">
        <v>96</v>
      </c>
      <c r="C9" s="2" t="s">
        <v>23</v>
      </c>
      <c r="D9" s="2" t="s">
        <v>95</v>
      </c>
      <c r="E9" s="13" t="n">
        <v>3.01</v>
      </c>
      <c r="F9" s="12" t="n">
        <v>3000</v>
      </c>
      <c r="G9" s="4" t="n">
        <f aca="false">F9*E9</f>
        <v>9030</v>
      </c>
      <c r="H9" s="14" t="n">
        <v>45516</v>
      </c>
      <c r="I9" s="15"/>
      <c r="J9" s="6" t="n">
        <f aca="false">G9*4.35</f>
        <v>39280.5</v>
      </c>
      <c r="L9" s="27"/>
      <c r="M9" s="27"/>
    </row>
    <row r="10" customFormat="false" ht="15" hidden="false" customHeight="true" outlineLevel="0" collapsed="false">
      <c r="A10" s="2" t="s">
        <v>39</v>
      </c>
      <c r="B10" s="2" t="s">
        <v>116</v>
      </c>
      <c r="C10" s="2" t="s">
        <v>136</v>
      </c>
      <c r="D10" s="2" t="s">
        <v>137</v>
      </c>
      <c r="E10" s="6" t="n">
        <v>6</v>
      </c>
      <c r="F10" s="2" t="n">
        <v>1100</v>
      </c>
      <c r="G10" s="7" t="n">
        <f aca="false">F10*E10</f>
        <v>6600</v>
      </c>
      <c r="H10" s="5" t="n">
        <v>45516</v>
      </c>
      <c r="J10" s="6" t="n">
        <f aca="false">G10</f>
        <v>6600</v>
      </c>
      <c r="L10" s="27"/>
      <c r="M10" s="27"/>
    </row>
    <row r="11" customFormat="false" ht="15" hidden="false" customHeight="true" outlineLevel="0" collapsed="false">
      <c r="A11" s="2" t="s">
        <v>43</v>
      </c>
      <c r="B11" s="2" t="s">
        <v>84</v>
      </c>
      <c r="C11" s="2" t="s">
        <v>85</v>
      </c>
      <c r="D11" s="2" t="s">
        <v>86</v>
      </c>
      <c r="E11" s="17" t="n">
        <v>4.6</v>
      </c>
      <c r="F11" s="12" t="n">
        <v>1000</v>
      </c>
      <c r="G11" s="16" t="n">
        <f aca="false">F11*E11</f>
        <v>4600</v>
      </c>
      <c r="H11" s="14" t="n">
        <v>45453</v>
      </c>
      <c r="I11" s="20" t="s">
        <v>87</v>
      </c>
      <c r="J11" s="6" t="n">
        <f aca="false">G11</f>
        <v>4600</v>
      </c>
    </row>
    <row r="12" customFormat="false" ht="15" hidden="false" customHeight="true" outlineLevel="0" collapsed="false">
      <c r="A12" s="12" t="s">
        <v>45</v>
      </c>
      <c r="B12" s="2" t="s">
        <v>104</v>
      </c>
      <c r="C12" s="2" t="s">
        <v>23</v>
      </c>
      <c r="D12" s="2" t="s">
        <v>24</v>
      </c>
      <c r="E12" s="35" t="n">
        <v>3.82</v>
      </c>
      <c r="F12" s="2" t="n">
        <v>2400</v>
      </c>
      <c r="G12" s="4" t="n">
        <f aca="false">F12*E12</f>
        <v>9168</v>
      </c>
      <c r="H12" s="5" t="n">
        <v>45523</v>
      </c>
      <c r="J12" s="6" t="n">
        <f aca="false">G12*4.35</f>
        <v>39880.8</v>
      </c>
    </row>
    <row r="13" customFormat="false" ht="30" hidden="false" customHeight="true" outlineLevel="0" collapsed="false">
      <c r="A13" s="12" t="s">
        <v>48</v>
      </c>
      <c r="B13" s="2" t="s">
        <v>49</v>
      </c>
      <c r="C13" s="2" t="s">
        <v>50</v>
      </c>
      <c r="D13" s="2" t="s">
        <v>13</v>
      </c>
      <c r="E13" s="35" t="n">
        <v>1.85</v>
      </c>
      <c r="F13" s="2" t="n">
        <v>600</v>
      </c>
      <c r="G13" s="4" t="n">
        <f aca="false">F13*E13</f>
        <v>1110</v>
      </c>
      <c r="H13" s="5" t="n">
        <v>45523</v>
      </c>
      <c r="J13" s="6" t="n">
        <f aca="false">G13*4.35</f>
        <v>4828.5</v>
      </c>
    </row>
    <row r="14" customFormat="false" ht="30" hidden="false" customHeight="true" outlineLevel="0" collapsed="false">
      <c r="A14" s="2" t="s">
        <v>51</v>
      </c>
      <c r="B14" s="2" t="s">
        <v>138</v>
      </c>
      <c r="C14" s="2" t="s">
        <v>53</v>
      </c>
      <c r="D14" s="2" t="s">
        <v>54</v>
      </c>
      <c r="E14" s="6" t="n">
        <v>12</v>
      </c>
      <c r="F14" s="2" t="n">
        <v>500</v>
      </c>
      <c r="G14" s="7" t="n">
        <f aca="false">F14*E14</f>
        <v>6000</v>
      </c>
      <c r="H14" s="42" t="s">
        <v>139</v>
      </c>
      <c r="J14" s="6" t="n">
        <f aca="false">G14</f>
        <v>6000</v>
      </c>
    </row>
    <row r="15" customFormat="false" ht="30" hidden="false" customHeight="true" outlineLevel="0" collapsed="false">
      <c r="A15" s="2" t="s">
        <v>55</v>
      </c>
      <c r="B15" s="2" t="s">
        <v>140</v>
      </c>
      <c r="C15" s="2" t="s">
        <v>53</v>
      </c>
      <c r="D15" s="2" t="s">
        <v>54</v>
      </c>
      <c r="E15" s="6" t="n">
        <v>12</v>
      </c>
      <c r="F15" s="2" t="n">
        <v>500</v>
      </c>
      <c r="G15" s="7" t="n">
        <f aca="false">F15*E15</f>
        <v>6000</v>
      </c>
      <c r="H15" s="42" t="s">
        <v>139</v>
      </c>
      <c r="J15" s="6" t="n">
        <f aca="false">G15</f>
        <v>6000</v>
      </c>
    </row>
    <row r="16" customFormat="false" ht="30" hidden="false" customHeight="true" outlineLevel="0" collapsed="false">
      <c r="A16" s="12" t="s">
        <v>57</v>
      </c>
      <c r="B16" s="2" t="s">
        <v>141</v>
      </c>
      <c r="C16" s="2" t="s">
        <v>53</v>
      </c>
      <c r="D16" s="2" t="s">
        <v>54</v>
      </c>
      <c r="E16" s="6" t="n">
        <v>12</v>
      </c>
      <c r="F16" s="2" t="n">
        <v>500</v>
      </c>
      <c r="G16" s="7" t="n">
        <f aca="false">F16*E16</f>
        <v>6000</v>
      </c>
      <c r="H16" s="42" t="s">
        <v>139</v>
      </c>
      <c r="J16" s="6" t="n">
        <f aca="false">G16</f>
        <v>6000</v>
      </c>
    </row>
    <row r="17" customFormat="false" ht="15" hidden="false" customHeight="true" outlineLevel="0" collapsed="false">
      <c r="A17" s="12" t="s">
        <v>59</v>
      </c>
      <c r="B17" s="11" t="s">
        <v>142</v>
      </c>
      <c r="C17" s="2" t="s">
        <v>53</v>
      </c>
      <c r="D17" s="2" t="s">
        <v>54</v>
      </c>
      <c r="E17" s="6" t="n">
        <v>12</v>
      </c>
      <c r="F17" s="2" t="n">
        <v>500</v>
      </c>
      <c r="G17" s="7" t="n">
        <f aca="false">F17*E17</f>
        <v>6000</v>
      </c>
      <c r="H17" s="42" t="s">
        <v>139</v>
      </c>
      <c r="J17" s="6" t="n">
        <f aca="false">G17</f>
        <v>6000</v>
      </c>
    </row>
    <row r="18" customFormat="false" ht="15" hidden="false" customHeight="true" outlineLevel="0" collapsed="false">
      <c r="A18" s="2" t="s">
        <v>61</v>
      </c>
      <c r="B18" s="12" t="s">
        <v>143</v>
      </c>
      <c r="C18" s="12" t="s">
        <v>123</v>
      </c>
      <c r="D18" s="12" t="s">
        <v>13</v>
      </c>
      <c r="E18" s="3" t="n">
        <v>2.15</v>
      </c>
      <c r="F18" s="12" t="n">
        <v>500</v>
      </c>
      <c r="G18" s="4" t="n">
        <f aca="false">F18*E18</f>
        <v>1075</v>
      </c>
      <c r="H18" s="14" t="n">
        <v>45502</v>
      </c>
      <c r="I18" s="15"/>
      <c r="J18" s="6" t="n">
        <f aca="false">G18*4.35</f>
        <v>4676.25</v>
      </c>
    </row>
    <row r="19" customFormat="false" ht="15" hidden="false" customHeight="true" outlineLevel="0" collapsed="false">
      <c r="A19" s="2" t="s">
        <v>63</v>
      </c>
      <c r="B19" s="12" t="s">
        <v>144</v>
      </c>
      <c r="C19" s="12" t="s">
        <v>32</v>
      </c>
      <c r="D19" s="12" t="s">
        <v>33</v>
      </c>
      <c r="E19" s="3" t="n">
        <v>16.26</v>
      </c>
      <c r="F19" s="12" t="n">
        <v>75</v>
      </c>
      <c r="G19" s="4" t="n">
        <f aca="false">F19*E19</f>
        <v>1219.5</v>
      </c>
      <c r="H19" s="14" t="n">
        <v>45525</v>
      </c>
      <c r="I19" s="15"/>
      <c r="J19" s="6" t="n">
        <f aca="false">G19*4.35</f>
        <v>5304.825</v>
      </c>
    </row>
    <row r="20" customFormat="false" ht="15" hidden="false" customHeight="true" outlineLevel="0" collapsed="false">
      <c r="A20" s="12" t="s">
        <v>67</v>
      </c>
      <c r="B20" s="2" t="s">
        <v>116</v>
      </c>
      <c r="C20" s="2" t="s">
        <v>117</v>
      </c>
      <c r="D20" s="2" t="s">
        <v>54</v>
      </c>
      <c r="E20" s="6" t="n">
        <v>6</v>
      </c>
      <c r="F20" s="2" t="n">
        <v>2000</v>
      </c>
      <c r="G20" s="7" t="n">
        <f aca="false">F20*E20</f>
        <v>12000</v>
      </c>
      <c r="H20" s="5" t="n">
        <v>45527</v>
      </c>
      <c r="J20" s="6" t="n">
        <f aca="false">G20</f>
        <v>12000</v>
      </c>
      <c r="N20" s="43"/>
    </row>
    <row r="21" customFormat="false" ht="30" hidden="false" customHeight="true" outlineLevel="0" collapsed="false">
      <c r="A21" s="12" t="s">
        <v>70</v>
      </c>
      <c r="B21" s="2" t="s">
        <v>145</v>
      </c>
      <c r="C21" s="2" t="s">
        <v>16</v>
      </c>
      <c r="D21" s="2" t="s">
        <v>20</v>
      </c>
      <c r="E21" s="6" t="n">
        <v>10.9</v>
      </c>
      <c r="F21" s="2" t="n">
        <v>500</v>
      </c>
      <c r="G21" s="7" t="n">
        <f aca="false">F21*E21</f>
        <v>5450</v>
      </c>
      <c r="H21" s="5" t="n">
        <v>45531</v>
      </c>
      <c r="J21" s="6" t="n">
        <f aca="false">G21</f>
        <v>5450</v>
      </c>
      <c r="N21" s="43"/>
    </row>
    <row r="22" customFormat="false" ht="15" hidden="false" customHeight="false" outlineLevel="0" collapsed="false">
      <c r="A22" s="2" t="s">
        <v>71</v>
      </c>
      <c r="B22" s="2"/>
      <c r="C22" s="2"/>
      <c r="D22" s="2"/>
      <c r="E22" s="3"/>
      <c r="F22" s="2"/>
      <c r="G22" s="4"/>
      <c r="H22" s="5"/>
      <c r="I22" s="19"/>
      <c r="J22" s="6" t="n">
        <f aca="false">G22*4.35</f>
        <v>0</v>
      </c>
      <c r="N22" s="43"/>
    </row>
    <row r="23" customFormat="false" ht="15" hidden="false" customHeight="false" outlineLevel="0" collapsed="false">
      <c r="A23" s="2" t="s">
        <v>73</v>
      </c>
      <c r="B23" s="2"/>
      <c r="C23" s="2"/>
      <c r="D23" s="2"/>
      <c r="E23" s="6"/>
      <c r="F23" s="2"/>
      <c r="G23" s="7"/>
      <c r="H23" s="5"/>
      <c r="J23" s="6" t="n">
        <f aca="false">G23</f>
        <v>0</v>
      </c>
      <c r="N23" s="43"/>
    </row>
    <row r="24" customFormat="false" ht="15" hidden="false" customHeight="false" outlineLevel="0" collapsed="false">
      <c r="A24" s="12" t="s">
        <v>76</v>
      </c>
      <c r="B24" s="2"/>
      <c r="C24" s="2"/>
      <c r="D24" s="2"/>
      <c r="E24" s="17"/>
      <c r="F24" s="12"/>
      <c r="G24" s="7"/>
      <c r="H24" s="5"/>
      <c r="I24" s="20"/>
      <c r="J24" s="6" t="n">
        <f aca="false">G24</f>
        <v>0</v>
      </c>
    </row>
    <row r="25" customFormat="false" ht="15" hidden="false" customHeight="false" outlineLevel="0" collapsed="false">
      <c r="A25" s="21"/>
      <c r="B25" s="21"/>
      <c r="C25" s="21"/>
      <c r="D25" s="21"/>
      <c r="E25" s="22"/>
      <c r="F25" s="21"/>
      <c r="G25" s="23"/>
      <c r="H25" s="24"/>
      <c r="I25" s="20"/>
      <c r="J25" s="22"/>
    </row>
    <row r="26" customFormat="false" ht="15" hidden="false" customHeight="false" outlineLevel="0" collapsed="false">
      <c r="J26" s="25" t="n">
        <f aca="false">SUM(J3:J24)</f>
        <v>202625.875</v>
      </c>
    </row>
    <row r="30" customFormat="false" ht="26.25" hidden="false" customHeight="true" outlineLevel="0" collapsed="false">
      <c r="A30" s="1" t="s">
        <v>146</v>
      </c>
      <c r="B30" s="1"/>
      <c r="C30" s="1"/>
      <c r="D30" s="1"/>
      <c r="E30" s="1"/>
      <c r="F30" s="1"/>
      <c r="G30" s="1"/>
      <c r="H30" s="1"/>
    </row>
    <row r="31" customFormat="false" ht="30" hidden="false" customHeight="false" outlineLevel="0" collapsed="false">
      <c r="A31" s="44" t="s">
        <v>43</v>
      </c>
      <c r="B31" s="2" t="s">
        <v>11</v>
      </c>
      <c r="C31" s="2" t="s">
        <v>12</v>
      </c>
      <c r="D31" s="2" t="s">
        <v>13</v>
      </c>
      <c r="E31" s="3" t="n">
        <v>2.06</v>
      </c>
      <c r="F31" s="2" t="n">
        <v>2000</v>
      </c>
      <c r="G31" s="4" t="n">
        <f aca="false">F31*E31</f>
        <v>4120</v>
      </c>
      <c r="H31" s="5" t="n">
        <v>45428</v>
      </c>
      <c r="I31" s="19" t="s">
        <v>72</v>
      </c>
      <c r="J31" s="6" t="n">
        <f aca="false">G31*4.35</f>
        <v>17922</v>
      </c>
    </row>
    <row r="32" customFormat="false" ht="18" hidden="false" customHeight="false" outlineLevel="0" collapsed="false">
      <c r="E32" s="26"/>
    </row>
    <row r="33" customFormat="false" ht="18" hidden="false" customHeight="false" outlineLevel="0" collapsed="false">
      <c r="E33" s="26"/>
    </row>
    <row r="34" customFormat="false" ht="18" hidden="false" customHeight="false" outlineLevel="0" collapsed="false">
      <c r="E34" s="26"/>
    </row>
    <row r="35" customFormat="false" ht="18" hidden="false" customHeight="false" outlineLevel="0" collapsed="false">
      <c r="E35" s="26"/>
    </row>
  </sheetData>
  <mergeCells count="2">
    <mergeCell ref="A1:H1"/>
    <mergeCell ref="A30:H3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7" activeCellId="0" sqref="K2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24.72"/>
    <col collapsed="false" customWidth="true" hidden="false" outlineLevel="0" max="4" min="3" style="0" width="15.71"/>
    <col collapsed="false" customWidth="true" hidden="false" outlineLevel="0" max="5" min="5" style="0" width="9.85"/>
    <col collapsed="false" customWidth="true" hidden="false" outlineLevel="0" max="6" min="6" style="0" width="6.71"/>
    <col collapsed="false" customWidth="true" hidden="false" outlineLevel="0" max="7" min="7" style="0" width="10.71"/>
    <col collapsed="false" customWidth="true" hidden="false" outlineLevel="0" max="8" min="8" style="0" width="8.71"/>
    <col collapsed="false" customWidth="true" hidden="false" outlineLevel="0" max="9" min="9" style="0" width="20.28"/>
    <col collapsed="false" customWidth="true" hidden="false" outlineLevel="0" max="10" min="10" style="0" width="16.71"/>
  </cols>
  <sheetData>
    <row r="1" customFormat="false" ht="40.5" hidden="false" customHeight="true" outlineLevel="0" collapsed="false">
      <c r="A1" s="1" t="s">
        <v>147</v>
      </c>
      <c r="B1" s="1"/>
      <c r="C1" s="1"/>
      <c r="D1" s="1"/>
      <c r="E1" s="1"/>
      <c r="F1" s="1"/>
      <c r="G1" s="1"/>
      <c r="H1" s="1"/>
    </row>
    <row r="2" customFormat="false" ht="30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J2" s="2" t="s">
        <v>9</v>
      </c>
    </row>
    <row r="3" customFormat="false" ht="15" hidden="false" customHeight="true" outlineLevel="0" collapsed="false">
      <c r="A3" s="12" t="s">
        <v>10</v>
      </c>
      <c r="B3" s="2" t="s">
        <v>11</v>
      </c>
      <c r="C3" s="2" t="s">
        <v>12</v>
      </c>
      <c r="D3" s="2" t="s">
        <v>13</v>
      </c>
      <c r="E3" s="3" t="n">
        <v>2.06</v>
      </c>
      <c r="F3" s="2" t="n">
        <v>1000</v>
      </c>
      <c r="G3" s="4" t="n">
        <f aca="false">F3*E3</f>
        <v>2060</v>
      </c>
      <c r="H3" s="5" t="n">
        <v>45538</v>
      </c>
      <c r="I3" s="19" t="s">
        <v>72</v>
      </c>
      <c r="J3" s="6" t="n">
        <f aca="false">G3*4.35</f>
        <v>8961</v>
      </c>
    </row>
    <row r="4" customFormat="false" ht="15" hidden="false" customHeight="true" outlineLevel="0" collapsed="false">
      <c r="A4" s="2" t="s">
        <v>14</v>
      </c>
      <c r="B4" s="2" t="s">
        <v>44</v>
      </c>
      <c r="C4" s="2" t="s">
        <v>41</v>
      </c>
      <c r="D4" s="2" t="s">
        <v>69</v>
      </c>
      <c r="E4" s="6" t="n">
        <v>6.35</v>
      </c>
      <c r="F4" s="2" t="n">
        <v>4050</v>
      </c>
      <c r="G4" s="7" t="n">
        <f aca="false">F4*E4</f>
        <v>25717.5</v>
      </c>
      <c r="H4" s="5" t="n">
        <v>45538</v>
      </c>
      <c r="J4" s="6" t="n">
        <f aca="false">G4</f>
        <v>25717.5</v>
      </c>
    </row>
    <row r="5" customFormat="false" ht="15" hidden="false" customHeight="true" outlineLevel="0" collapsed="false">
      <c r="A5" s="12" t="s">
        <v>18</v>
      </c>
      <c r="B5" s="12" t="s">
        <v>148</v>
      </c>
      <c r="C5" s="12" t="s">
        <v>65</v>
      </c>
      <c r="D5" s="12" t="s">
        <v>149</v>
      </c>
      <c r="E5" s="17" t="n">
        <v>6.7</v>
      </c>
      <c r="F5" s="12" t="n">
        <v>600</v>
      </c>
      <c r="G5" s="16" t="n">
        <f aca="false">F5*E5</f>
        <v>4020</v>
      </c>
      <c r="H5" s="14" t="n">
        <v>45539</v>
      </c>
      <c r="I5" s="37"/>
      <c r="J5" s="17" t="n">
        <f aca="false">G5</f>
        <v>4020</v>
      </c>
    </row>
    <row r="6" customFormat="false" ht="15" hidden="false" customHeight="true" outlineLevel="0" collapsed="false">
      <c r="A6" s="12" t="s">
        <v>21</v>
      </c>
      <c r="B6" s="12" t="s">
        <v>35</v>
      </c>
      <c r="C6" s="12" t="s">
        <v>92</v>
      </c>
      <c r="D6" s="12" t="s">
        <v>37</v>
      </c>
      <c r="E6" s="17" t="n">
        <v>4.5</v>
      </c>
      <c r="F6" s="12" t="n">
        <v>5000</v>
      </c>
      <c r="G6" s="16" t="n">
        <f aca="false">F6*E6</f>
        <v>22500</v>
      </c>
      <c r="H6" s="14" t="n">
        <v>45541</v>
      </c>
      <c r="I6" s="37"/>
      <c r="J6" s="17" t="n">
        <f aca="false">G6</f>
        <v>22500</v>
      </c>
    </row>
    <row r="7" customFormat="false" ht="15" hidden="false" customHeight="true" outlineLevel="0" collapsed="false">
      <c r="A7" s="2" t="s">
        <v>25</v>
      </c>
      <c r="B7" s="2" t="s">
        <v>150</v>
      </c>
      <c r="C7" s="2" t="s">
        <v>151</v>
      </c>
      <c r="D7" s="2" t="s">
        <v>152</v>
      </c>
      <c r="E7" s="6" t="n">
        <v>18</v>
      </c>
      <c r="F7" s="12" t="n">
        <v>10</v>
      </c>
      <c r="G7" s="16" t="n">
        <f aca="false">F7*E7</f>
        <v>180</v>
      </c>
      <c r="H7" s="14" t="n">
        <v>45541</v>
      </c>
      <c r="I7" s="37"/>
      <c r="J7" s="17" t="n">
        <f aca="false">G7</f>
        <v>180</v>
      </c>
    </row>
    <row r="8" customFormat="false" ht="15" hidden="false" customHeight="true" outlineLevel="0" collapsed="false">
      <c r="A8" s="12" t="s">
        <v>30</v>
      </c>
      <c r="B8" s="2" t="s">
        <v>153</v>
      </c>
      <c r="C8" s="2" t="s">
        <v>151</v>
      </c>
      <c r="D8" s="2" t="s">
        <v>152</v>
      </c>
      <c r="E8" s="6" t="n">
        <v>15</v>
      </c>
      <c r="F8" s="2" t="n">
        <v>10</v>
      </c>
      <c r="G8" s="16" t="n">
        <f aca="false">F8*E8</f>
        <v>150</v>
      </c>
      <c r="H8" s="14" t="n">
        <v>45541</v>
      </c>
      <c r="I8" s="37"/>
      <c r="J8" s="17" t="n">
        <f aca="false">G8</f>
        <v>150</v>
      </c>
    </row>
    <row r="9" customFormat="false" ht="15" hidden="false" customHeight="true" outlineLevel="0" collapsed="false">
      <c r="A9" s="12" t="s">
        <v>34</v>
      </c>
      <c r="B9" s="45" t="s">
        <v>154</v>
      </c>
      <c r="C9" s="2" t="s">
        <v>151</v>
      </c>
      <c r="D9" s="2" t="s">
        <v>152</v>
      </c>
      <c r="E9" s="17" t="n">
        <v>18</v>
      </c>
      <c r="F9" s="12" t="n">
        <v>10</v>
      </c>
      <c r="G9" s="16" t="n">
        <f aca="false">F9*E9</f>
        <v>180</v>
      </c>
      <c r="H9" s="14" t="n">
        <v>45541</v>
      </c>
      <c r="I9" s="37"/>
      <c r="J9" s="17" t="n">
        <f aca="false">G9</f>
        <v>180</v>
      </c>
      <c r="L9" s="27"/>
      <c r="M9" s="27"/>
    </row>
    <row r="10" customFormat="false" ht="30" hidden="false" customHeight="true" outlineLevel="0" collapsed="false">
      <c r="A10" s="2" t="s">
        <v>39</v>
      </c>
      <c r="B10" s="12" t="s">
        <v>107</v>
      </c>
      <c r="C10" s="12" t="s">
        <v>106</v>
      </c>
      <c r="D10" s="12" t="s">
        <v>20</v>
      </c>
      <c r="E10" s="17" t="n">
        <v>12</v>
      </c>
      <c r="F10" s="12" t="n">
        <v>250</v>
      </c>
      <c r="G10" s="16" t="n">
        <f aca="false">F10*E10</f>
        <v>3000</v>
      </c>
      <c r="H10" s="14" t="n">
        <v>45546</v>
      </c>
      <c r="I10" s="15"/>
      <c r="J10" s="17" t="n">
        <f aca="false">G10</f>
        <v>3000</v>
      </c>
      <c r="L10" s="27"/>
      <c r="M10" s="27"/>
    </row>
    <row r="11" customFormat="false" ht="15" hidden="false" customHeight="true" outlineLevel="0" collapsed="false">
      <c r="A11" s="12" t="s">
        <v>43</v>
      </c>
      <c r="B11" s="2" t="s">
        <v>155</v>
      </c>
      <c r="C11" s="2" t="s">
        <v>23</v>
      </c>
      <c r="D11" s="2" t="s">
        <v>95</v>
      </c>
      <c r="E11" s="3" t="n">
        <v>3.34</v>
      </c>
      <c r="F11" s="2" t="n">
        <v>1000</v>
      </c>
      <c r="G11" s="4" t="n">
        <f aca="false">F11*E11</f>
        <v>3340</v>
      </c>
      <c r="H11" s="14" t="n">
        <v>45551</v>
      </c>
      <c r="J11" s="6" t="n">
        <f aca="false">G11*4.35</f>
        <v>14529</v>
      </c>
    </row>
    <row r="12" customFormat="false" ht="15" hidden="false" customHeight="true" outlineLevel="0" collapsed="false">
      <c r="A12" s="12" t="s">
        <v>45</v>
      </c>
      <c r="B12" s="46" t="s">
        <v>156</v>
      </c>
      <c r="C12" s="2" t="s">
        <v>23</v>
      </c>
      <c r="D12" s="2" t="s">
        <v>157</v>
      </c>
      <c r="E12" s="3" t="n">
        <v>70.36</v>
      </c>
      <c r="F12" s="2" t="n">
        <v>10</v>
      </c>
      <c r="G12" s="4" t="n">
        <f aca="false">F12*E12</f>
        <v>703.6</v>
      </c>
      <c r="H12" s="5" t="n">
        <v>45551</v>
      </c>
      <c r="I12" s="19"/>
      <c r="J12" s="6" t="n">
        <f aca="false">G12*4.35</f>
        <v>3060.66</v>
      </c>
    </row>
    <row r="13" customFormat="false" ht="15" hidden="false" customHeight="true" outlineLevel="0" collapsed="false">
      <c r="A13" s="2" t="s">
        <v>48</v>
      </c>
      <c r="B13" s="12" t="s">
        <v>158</v>
      </c>
      <c r="C13" s="12" t="s">
        <v>159</v>
      </c>
      <c r="D13" s="12" t="s">
        <v>37</v>
      </c>
      <c r="E13" s="17" t="n">
        <v>5.2</v>
      </c>
      <c r="F13" s="12" t="n">
        <v>1000</v>
      </c>
      <c r="G13" s="16" t="n">
        <f aca="false">F13*E13</f>
        <v>5200</v>
      </c>
      <c r="H13" s="14" t="n">
        <v>45551</v>
      </c>
      <c r="I13" s="37" t="s">
        <v>160</v>
      </c>
      <c r="J13" s="17" t="n">
        <f aca="false">G13</f>
        <v>5200</v>
      </c>
    </row>
    <row r="14" customFormat="false" ht="15" hidden="false" customHeight="true" outlineLevel="0" collapsed="false">
      <c r="A14" s="2" t="s">
        <v>25</v>
      </c>
      <c r="B14" s="2" t="s">
        <v>150</v>
      </c>
      <c r="C14" s="2" t="s">
        <v>151</v>
      </c>
      <c r="D14" s="2" t="s">
        <v>152</v>
      </c>
      <c r="E14" s="6" t="n">
        <v>18</v>
      </c>
      <c r="F14" s="12" t="n">
        <v>25</v>
      </c>
      <c r="G14" s="16" t="n">
        <f aca="false">F14*E14</f>
        <v>450</v>
      </c>
      <c r="H14" s="14" t="n">
        <v>45541</v>
      </c>
      <c r="I14" s="37"/>
      <c r="J14" s="17" t="n">
        <f aca="false">G14</f>
        <v>450</v>
      </c>
    </row>
    <row r="15" customFormat="false" ht="15" hidden="false" customHeight="true" outlineLevel="0" collapsed="false">
      <c r="A15" s="12" t="s">
        <v>30</v>
      </c>
      <c r="B15" s="2" t="s">
        <v>153</v>
      </c>
      <c r="C15" s="2" t="s">
        <v>151</v>
      </c>
      <c r="D15" s="2" t="s">
        <v>152</v>
      </c>
      <c r="E15" s="6" t="n">
        <v>15</v>
      </c>
      <c r="F15" s="2" t="n">
        <v>25</v>
      </c>
      <c r="G15" s="16" t="n">
        <f aca="false">F15*E15</f>
        <v>375</v>
      </c>
      <c r="H15" s="14" t="n">
        <v>45541</v>
      </c>
      <c r="I15" s="37"/>
      <c r="J15" s="17" t="n">
        <f aca="false">G15</f>
        <v>375</v>
      </c>
    </row>
    <row r="16" customFormat="false" ht="15" hidden="false" customHeight="true" outlineLevel="0" collapsed="false">
      <c r="A16" s="12" t="s">
        <v>51</v>
      </c>
      <c r="B16" s="2" t="s">
        <v>19</v>
      </c>
      <c r="C16" s="2" t="s">
        <v>161</v>
      </c>
      <c r="D16" s="2" t="s">
        <v>20</v>
      </c>
      <c r="E16" s="6" t="n">
        <v>5.5</v>
      </c>
      <c r="F16" s="2" t="n">
        <v>1375</v>
      </c>
      <c r="G16" s="7" t="n">
        <f aca="false">F16*E16</f>
        <v>7562.5</v>
      </c>
      <c r="H16" s="5" t="n">
        <v>45558</v>
      </c>
      <c r="J16" s="6" t="n">
        <f aca="false">G16</f>
        <v>7562.5</v>
      </c>
    </row>
    <row r="17" customFormat="false" ht="15" hidden="false" customHeight="true" outlineLevel="0" collapsed="false">
      <c r="A17" s="12" t="s">
        <v>55</v>
      </c>
      <c r="B17" s="2" t="s">
        <v>96</v>
      </c>
      <c r="C17" s="2" t="s">
        <v>23</v>
      </c>
      <c r="D17" s="2" t="s">
        <v>95</v>
      </c>
      <c r="E17" s="13" t="n">
        <v>3.01</v>
      </c>
      <c r="F17" s="12" t="n">
        <v>2000</v>
      </c>
      <c r="G17" s="4" t="n">
        <f aca="false">F17*E17</f>
        <v>6020</v>
      </c>
      <c r="H17" s="14" t="n">
        <v>45558</v>
      </c>
      <c r="I17" s="15"/>
      <c r="J17" s="6" t="n">
        <f aca="false">G17*4.35</f>
        <v>26187</v>
      </c>
    </row>
    <row r="18" customFormat="false" ht="15" hidden="false" customHeight="true" outlineLevel="0" collapsed="false">
      <c r="A18" s="2" t="s">
        <v>57</v>
      </c>
      <c r="B18" s="2" t="s">
        <v>84</v>
      </c>
      <c r="C18" s="2" t="s">
        <v>85</v>
      </c>
      <c r="D18" s="2" t="s">
        <v>86</v>
      </c>
      <c r="E18" s="17" t="n">
        <v>4.6</v>
      </c>
      <c r="F18" s="12" t="n">
        <v>1000</v>
      </c>
      <c r="G18" s="16" t="n">
        <f aca="false">F18*E18</f>
        <v>4600</v>
      </c>
      <c r="H18" s="14" t="n">
        <v>45562</v>
      </c>
      <c r="I18" s="20" t="s">
        <v>87</v>
      </c>
      <c r="J18" s="6" t="n">
        <f aca="false">G18</f>
        <v>4600</v>
      </c>
    </row>
    <row r="19" customFormat="false" ht="15" hidden="false" customHeight="true" outlineLevel="0" collapsed="false">
      <c r="A19" s="12" t="s">
        <v>59</v>
      </c>
      <c r="B19" s="11"/>
      <c r="C19" s="2"/>
      <c r="D19" s="2"/>
      <c r="E19" s="6"/>
      <c r="F19" s="2"/>
      <c r="G19" s="7"/>
      <c r="H19" s="42"/>
      <c r="J19" s="6" t="n">
        <f aca="false">G19</f>
        <v>0</v>
      </c>
    </row>
    <row r="20" customFormat="false" ht="15" hidden="false" customHeight="true" outlineLevel="0" collapsed="false">
      <c r="A20" s="12" t="s">
        <v>61</v>
      </c>
      <c r="B20" s="12"/>
      <c r="C20" s="12"/>
      <c r="D20" s="12"/>
      <c r="E20" s="3"/>
      <c r="F20" s="12"/>
      <c r="G20" s="4"/>
      <c r="H20" s="14"/>
      <c r="I20" s="15"/>
      <c r="J20" s="6" t="n">
        <f aca="false">G20*4.35</f>
        <v>0</v>
      </c>
    </row>
    <row r="21" customFormat="false" ht="15" hidden="false" customHeight="true" outlineLevel="0" collapsed="false">
      <c r="A21" s="2" t="s">
        <v>63</v>
      </c>
      <c r="B21" s="12"/>
      <c r="C21" s="12"/>
      <c r="D21" s="12"/>
      <c r="E21" s="3"/>
      <c r="F21" s="12"/>
      <c r="G21" s="4"/>
      <c r="H21" s="14"/>
      <c r="I21" s="15"/>
      <c r="J21" s="6" t="n">
        <f aca="false">G21*4.35</f>
        <v>0</v>
      </c>
    </row>
    <row r="22" customFormat="false" ht="15" hidden="false" customHeight="true" outlineLevel="0" collapsed="false">
      <c r="A22" s="12" t="s">
        <v>67</v>
      </c>
      <c r="B22" s="2"/>
      <c r="C22" s="2"/>
      <c r="D22" s="2"/>
      <c r="E22" s="6"/>
      <c r="F22" s="2"/>
      <c r="G22" s="7"/>
      <c r="H22" s="5"/>
      <c r="J22" s="6" t="n">
        <f aca="false">G22</f>
        <v>0</v>
      </c>
      <c r="N22" s="43"/>
    </row>
    <row r="23" customFormat="false" ht="15" hidden="false" customHeight="true" outlineLevel="0" collapsed="false">
      <c r="A23" s="12" t="s">
        <v>70</v>
      </c>
      <c r="B23" s="12"/>
      <c r="C23" s="12"/>
      <c r="D23" s="12"/>
      <c r="E23" s="17"/>
      <c r="F23" s="12"/>
      <c r="G23" s="16"/>
      <c r="H23" s="14"/>
      <c r="I23" s="15"/>
      <c r="J23" s="17"/>
      <c r="N23" s="43"/>
    </row>
    <row r="24" customFormat="false" ht="15" hidden="false" customHeight="true" outlineLevel="0" collapsed="false">
      <c r="A24" s="2" t="s">
        <v>71</v>
      </c>
      <c r="B24" s="12"/>
      <c r="C24" s="12"/>
      <c r="D24" s="12"/>
      <c r="E24" s="17"/>
      <c r="F24" s="12"/>
      <c r="G24" s="16"/>
      <c r="H24" s="14"/>
      <c r="I24" s="15"/>
      <c r="J24" s="17"/>
      <c r="N24" s="43"/>
    </row>
    <row r="25" customFormat="false" ht="15" hidden="false" customHeight="true" outlineLevel="0" collapsed="false">
      <c r="A25" s="12" t="s">
        <v>73</v>
      </c>
      <c r="B25" s="12"/>
      <c r="C25" s="12"/>
      <c r="D25" s="12"/>
      <c r="E25" s="17"/>
      <c r="F25" s="36"/>
      <c r="G25" s="16"/>
      <c r="H25" s="14"/>
      <c r="I25" s="37"/>
      <c r="J25" s="17"/>
      <c r="N25" s="43"/>
    </row>
    <row r="26" customFormat="false" ht="15" hidden="false" customHeight="true" outlineLevel="0" collapsed="false">
      <c r="A26" s="12" t="s">
        <v>76</v>
      </c>
      <c r="B26" s="2"/>
      <c r="C26" s="2"/>
      <c r="D26" s="2"/>
      <c r="E26" s="17"/>
      <c r="F26" s="12"/>
      <c r="G26" s="7"/>
      <c r="H26" s="5"/>
      <c r="I26" s="20"/>
      <c r="J26" s="6" t="n">
        <f aca="false">G26</f>
        <v>0</v>
      </c>
    </row>
    <row r="27" customFormat="false" ht="15" hidden="false" customHeight="false" outlineLevel="0" collapsed="false">
      <c r="A27" s="21"/>
      <c r="B27" s="21"/>
      <c r="C27" s="21"/>
      <c r="D27" s="21"/>
      <c r="E27" s="22"/>
      <c r="F27" s="21"/>
      <c r="G27" s="23"/>
      <c r="H27" s="24"/>
      <c r="I27" s="20"/>
      <c r="J27" s="22"/>
    </row>
    <row r="28" customFormat="false" ht="15" hidden="false" customHeight="false" outlineLevel="0" collapsed="false">
      <c r="J28" s="25" t="n">
        <f aca="false">SUM(J3:J26)</f>
        <v>126672.66</v>
      </c>
    </row>
    <row r="32" customFormat="false" ht="18" hidden="false" customHeight="false" outlineLevel="0" collapsed="false">
      <c r="E32" s="26"/>
    </row>
    <row r="33" customFormat="false" ht="18" hidden="false" customHeight="false" outlineLevel="0" collapsed="false">
      <c r="E33" s="26"/>
    </row>
    <row r="34" customFormat="false" ht="18" hidden="false" customHeight="false" outlineLevel="0" collapsed="false">
      <c r="E34" s="26"/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0" sqref="A9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24.72"/>
    <col collapsed="false" customWidth="true" hidden="false" outlineLevel="0" max="4" min="3" style="0" width="15.71"/>
    <col collapsed="false" customWidth="true" hidden="false" outlineLevel="0" max="5" min="5" style="0" width="9.85"/>
    <col collapsed="false" customWidth="true" hidden="false" outlineLevel="0" max="6" min="6" style="0" width="6.71"/>
    <col collapsed="false" customWidth="true" hidden="false" outlineLevel="0" max="7" min="7" style="0" width="10.71"/>
    <col collapsed="false" customWidth="true" hidden="false" outlineLevel="0" max="8" min="8" style="0" width="8.71"/>
    <col collapsed="false" customWidth="true" hidden="false" outlineLevel="0" max="9" min="9" style="0" width="20.28"/>
    <col collapsed="false" customWidth="true" hidden="false" outlineLevel="0" max="10" min="10" style="0" width="16.71"/>
  </cols>
  <sheetData>
    <row r="1" customFormat="false" ht="40.5" hidden="false" customHeight="true" outlineLevel="0" collapsed="false">
      <c r="A1" s="1" t="s">
        <v>162</v>
      </c>
      <c r="B1" s="1"/>
      <c r="C1" s="1"/>
      <c r="D1" s="1"/>
      <c r="E1" s="1"/>
      <c r="F1" s="1"/>
      <c r="G1" s="1"/>
      <c r="H1" s="1"/>
    </row>
    <row r="2" customFormat="false" ht="30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J2" s="2" t="s">
        <v>9</v>
      </c>
    </row>
    <row r="3" customFormat="false" ht="15" hidden="false" customHeight="true" outlineLevel="0" collapsed="false">
      <c r="A3" s="12" t="s">
        <v>10</v>
      </c>
      <c r="B3" s="2" t="s">
        <v>163</v>
      </c>
      <c r="C3" s="2" t="s">
        <v>65</v>
      </c>
      <c r="D3" s="2" t="s">
        <v>121</v>
      </c>
      <c r="E3" s="3" t="n">
        <v>2.9</v>
      </c>
      <c r="F3" s="2" t="n">
        <v>1000</v>
      </c>
      <c r="G3" s="4" t="n">
        <f aca="false">F3*E3</f>
        <v>2900</v>
      </c>
      <c r="H3" s="5" t="n">
        <v>45567</v>
      </c>
      <c r="I3" s="19"/>
      <c r="J3" s="6" t="n">
        <f aca="false">G3*4.35</f>
        <v>12615</v>
      </c>
    </row>
    <row r="4" customFormat="false" ht="30" hidden="false" customHeight="true" outlineLevel="0" collapsed="false">
      <c r="A4" s="2" t="s">
        <v>14</v>
      </c>
      <c r="B4" s="2" t="s">
        <v>40</v>
      </c>
      <c r="C4" s="2" t="s">
        <v>41</v>
      </c>
      <c r="D4" s="2" t="s">
        <v>20</v>
      </c>
      <c r="E4" s="17" t="n">
        <v>6.1</v>
      </c>
      <c r="F4" s="12" t="n">
        <v>1375</v>
      </c>
      <c r="G4" s="7" t="n">
        <f aca="false">F4*E4</f>
        <v>8387.5</v>
      </c>
      <c r="H4" s="5" t="n">
        <v>45572</v>
      </c>
      <c r="I4" s="20"/>
      <c r="J4" s="6" t="n">
        <f aca="false">G4</f>
        <v>8387.5</v>
      </c>
    </row>
    <row r="5" customFormat="false" ht="30" hidden="false" customHeight="true" outlineLevel="0" collapsed="false">
      <c r="A5" s="12" t="s">
        <v>18</v>
      </c>
      <c r="B5" s="12" t="s">
        <v>164</v>
      </c>
      <c r="C5" s="12" t="s">
        <v>165</v>
      </c>
      <c r="D5" s="2" t="s">
        <v>20</v>
      </c>
      <c r="E5" s="17" t="n">
        <v>8.1</v>
      </c>
      <c r="F5" s="12" t="n">
        <v>100</v>
      </c>
      <c r="G5" s="7" t="n">
        <f aca="false">F5*E5</f>
        <v>810</v>
      </c>
      <c r="H5" s="14" t="n">
        <v>45572</v>
      </c>
      <c r="I5" s="15"/>
      <c r="J5" s="6" t="n">
        <f aca="false">G5</f>
        <v>810</v>
      </c>
    </row>
    <row r="6" customFormat="false" ht="15" hidden="false" customHeight="true" outlineLevel="0" collapsed="false">
      <c r="A6" s="12" t="s">
        <v>21</v>
      </c>
      <c r="B6" s="12" t="s">
        <v>166</v>
      </c>
      <c r="C6" s="12" t="s">
        <v>165</v>
      </c>
      <c r="D6" s="2" t="s">
        <v>20</v>
      </c>
      <c r="E6" s="17" t="n">
        <v>7.8</v>
      </c>
      <c r="F6" s="12" t="n">
        <v>100</v>
      </c>
      <c r="G6" s="7" t="n">
        <f aca="false">F6*E6</f>
        <v>780</v>
      </c>
      <c r="H6" s="14" t="n">
        <v>45572</v>
      </c>
      <c r="I6" s="15"/>
      <c r="J6" s="6" t="n">
        <f aca="false">G6</f>
        <v>780</v>
      </c>
    </row>
    <row r="7" customFormat="false" ht="15" hidden="false" customHeight="true" outlineLevel="0" collapsed="false">
      <c r="A7" s="2" t="s">
        <v>25</v>
      </c>
      <c r="B7" s="12" t="s">
        <v>167</v>
      </c>
      <c r="C7" s="12" t="s">
        <v>168</v>
      </c>
      <c r="D7" s="12" t="s">
        <v>103</v>
      </c>
      <c r="E7" s="3" t="n">
        <v>2.35</v>
      </c>
      <c r="F7" s="2" t="n">
        <v>100</v>
      </c>
      <c r="G7" s="4" t="n">
        <f aca="false">F7*E7</f>
        <v>235</v>
      </c>
      <c r="H7" s="5" t="n">
        <v>45576</v>
      </c>
      <c r="I7" s="19"/>
      <c r="J7" s="6" t="n">
        <f aca="false">G7*4.35</f>
        <v>1022.25</v>
      </c>
    </row>
    <row r="8" customFormat="false" ht="15" hidden="false" customHeight="true" outlineLevel="0" collapsed="false">
      <c r="A8" s="2" t="s">
        <v>30</v>
      </c>
      <c r="B8" s="47" t="s">
        <v>116</v>
      </c>
      <c r="C8" s="47" t="s">
        <v>117</v>
      </c>
      <c r="D8" s="47" t="s">
        <v>137</v>
      </c>
      <c r="E8" s="48" t="n">
        <v>6</v>
      </c>
      <c r="F8" s="47" t="n">
        <v>5000</v>
      </c>
      <c r="G8" s="49" t="n">
        <f aca="false">F8*E8</f>
        <v>30000</v>
      </c>
      <c r="H8" s="50" t="n">
        <v>45576</v>
      </c>
      <c r="J8" s="48" t="n">
        <f aca="false">G8</f>
        <v>30000</v>
      </c>
    </row>
    <row r="9" customFormat="false" ht="30" hidden="false" customHeight="true" outlineLevel="0" collapsed="false">
      <c r="A9" s="2" t="s">
        <v>34</v>
      </c>
      <c r="B9" s="2" t="s">
        <v>19</v>
      </c>
      <c r="C9" s="2" t="s">
        <v>161</v>
      </c>
      <c r="D9" s="2" t="s">
        <v>20</v>
      </c>
      <c r="E9" s="6" t="n">
        <v>5.5</v>
      </c>
      <c r="F9" s="2" t="n">
        <v>1375</v>
      </c>
      <c r="G9" s="7" t="n">
        <f aca="false">F9*E9</f>
        <v>7562.5</v>
      </c>
      <c r="H9" s="5" t="n">
        <v>45579</v>
      </c>
      <c r="J9" s="6" t="n">
        <f aca="false">G9</f>
        <v>7562.5</v>
      </c>
    </row>
    <row r="10" customFormat="false" ht="30" hidden="false" customHeight="true" outlineLevel="0" collapsed="false">
      <c r="A10" s="2" t="s">
        <v>39</v>
      </c>
      <c r="B10" s="45" t="s">
        <v>154</v>
      </c>
      <c r="C10" s="2" t="s">
        <v>151</v>
      </c>
      <c r="D10" s="2" t="s">
        <v>152</v>
      </c>
      <c r="E10" s="17" t="n">
        <v>18</v>
      </c>
      <c r="F10" s="12" t="n">
        <v>25</v>
      </c>
      <c r="G10" s="16" t="n">
        <f aca="false">F10*E10</f>
        <v>450</v>
      </c>
      <c r="H10" s="14" t="n">
        <v>45581</v>
      </c>
      <c r="I10" s="37"/>
      <c r="J10" s="17" t="n">
        <f aca="false">G10</f>
        <v>450</v>
      </c>
    </row>
    <row r="11" customFormat="false" ht="15" hidden="false" customHeight="true" outlineLevel="0" collapsed="false">
      <c r="A11" s="2" t="s">
        <v>43</v>
      </c>
      <c r="B11" s="47" t="s">
        <v>118</v>
      </c>
      <c r="C11" s="47" t="s">
        <v>119</v>
      </c>
      <c r="D11" s="47" t="s">
        <v>54</v>
      </c>
      <c r="E11" s="48" t="n">
        <v>6.9</v>
      </c>
      <c r="F11" s="47" t="n">
        <v>1000</v>
      </c>
      <c r="G11" s="49" t="n">
        <f aca="false">F11*E11</f>
        <v>6900</v>
      </c>
      <c r="H11" s="50" t="n">
        <v>45582</v>
      </c>
      <c r="J11" s="48" t="n">
        <f aca="false">G11</f>
        <v>6900</v>
      </c>
      <c r="L11" s="27"/>
      <c r="M11" s="27"/>
    </row>
    <row r="12" customFormat="false" ht="15" hidden="false" customHeight="true" outlineLevel="0" collapsed="false">
      <c r="A12" s="2" t="s">
        <v>45</v>
      </c>
      <c r="B12" s="12" t="s">
        <v>35</v>
      </c>
      <c r="C12" s="12" t="s">
        <v>92</v>
      </c>
      <c r="D12" s="12" t="s">
        <v>37</v>
      </c>
      <c r="E12" s="17" t="n">
        <v>4.5</v>
      </c>
      <c r="F12" s="12" t="n">
        <v>3000</v>
      </c>
      <c r="G12" s="16" t="n">
        <f aca="false">F12*E12</f>
        <v>13500</v>
      </c>
      <c r="H12" s="14" t="n">
        <v>45583</v>
      </c>
      <c r="I12" s="37"/>
      <c r="J12" s="17" t="n">
        <f aca="false">G12</f>
        <v>13500</v>
      </c>
      <c r="L12" s="27"/>
      <c r="M12" s="27"/>
    </row>
    <row r="13" customFormat="false" ht="30" hidden="false" customHeight="true" outlineLevel="0" collapsed="false">
      <c r="A13" s="2" t="s">
        <v>48</v>
      </c>
      <c r="B13" s="2" t="s">
        <v>169</v>
      </c>
      <c r="C13" s="2" t="s">
        <v>106</v>
      </c>
      <c r="D13" s="2" t="s">
        <v>20</v>
      </c>
      <c r="E13" s="6" t="n">
        <v>12.2</v>
      </c>
      <c r="F13" s="2" t="n">
        <v>75</v>
      </c>
      <c r="G13" s="16" t="n">
        <f aca="false">F13*E13</f>
        <v>915</v>
      </c>
      <c r="H13" s="5" t="n">
        <v>45589</v>
      </c>
      <c r="J13" s="17" t="n">
        <f aca="false">G13</f>
        <v>915</v>
      </c>
      <c r="L13" s="27"/>
      <c r="M13" s="27"/>
    </row>
    <row r="14" customFormat="false" ht="15" hidden="false" customHeight="true" outlineLevel="0" collapsed="false">
      <c r="A14" s="2" t="s">
        <v>51</v>
      </c>
      <c r="B14" s="2" t="s">
        <v>170</v>
      </c>
      <c r="C14" s="2" t="s">
        <v>65</v>
      </c>
      <c r="D14" s="2" t="s">
        <v>171</v>
      </c>
      <c r="E14" s="6" t="n">
        <v>6</v>
      </c>
      <c r="F14" s="2" t="n">
        <v>1375</v>
      </c>
      <c r="G14" s="7" t="n">
        <f aca="false">F14*E14</f>
        <v>8250</v>
      </c>
      <c r="H14" s="5" t="n">
        <v>45589</v>
      </c>
      <c r="J14" s="6" t="n">
        <f aca="false">G14</f>
        <v>8250</v>
      </c>
    </row>
    <row r="15" customFormat="false" ht="15" hidden="false" customHeight="true" outlineLevel="0" collapsed="false">
      <c r="A15" s="2" t="s">
        <v>55</v>
      </c>
      <c r="B15" s="2" t="s">
        <v>100</v>
      </c>
      <c r="C15" s="2" t="s">
        <v>101</v>
      </c>
      <c r="D15" s="2" t="s">
        <v>28</v>
      </c>
      <c r="E15" s="6" t="n">
        <v>3.5</v>
      </c>
      <c r="F15" s="2" t="n">
        <v>2000</v>
      </c>
      <c r="G15" s="7" t="n">
        <f aca="false">F15*E15</f>
        <v>7000</v>
      </c>
      <c r="H15" s="5" t="n">
        <v>45594</v>
      </c>
      <c r="J15" s="6" t="n">
        <f aca="false">G15</f>
        <v>7000</v>
      </c>
    </row>
    <row r="16" customFormat="false" ht="15" hidden="false" customHeight="true" outlineLevel="0" collapsed="false">
      <c r="A16" s="2" t="s">
        <v>57</v>
      </c>
      <c r="B16" s="2" t="s">
        <v>169</v>
      </c>
      <c r="C16" s="2" t="s">
        <v>106</v>
      </c>
      <c r="D16" s="2" t="s">
        <v>20</v>
      </c>
      <c r="E16" s="6" t="n">
        <v>12.2</v>
      </c>
      <c r="F16" s="2" t="n">
        <v>50</v>
      </c>
      <c r="G16" s="16" t="n">
        <f aca="false">F16*E16</f>
        <v>610</v>
      </c>
      <c r="H16" s="5" t="n">
        <v>45594</v>
      </c>
      <c r="J16" s="17" t="n">
        <f aca="false">G16</f>
        <v>610</v>
      </c>
    </row>
    <row r="17" customFormat="false" ht="15" hidden="false" customHeight="true" outlineLevel="0" collapsed="false">
      <c r="A17" s="2" t="s">
        <v>59</v>
      </c>
      <c r="B17" s="12"/>
      <c r="C17" s="12"/>
      <c r="D17" s="12"/>
      <c r="E17" s="17"/>
      <c r="F17" s="12"/>
      <c r="G17" s="16"/>
      <c r="H17" s="14"/>
      <c r="I17" s="15"/>
      <c r="J17" s="17"/>
    </row>
    <row r="18" customFormat="false" ht="15" hidden="false" customHeight="true" outlineLevel="0" collapsed="false">
      <c r="A18" s="2" t="s">
        <v>61</v>
      </c>
      <c r="B18" s="46"/>
      <c r="C18" s="2"/>
      <c r="D18" s="2"/>
      <c r="E18" s="3"/>
      <c r="F18" s="2"/>
      <c r="G18" s="4"/>
      <c r="H18" s="5"/>
      <c r="I18" s="19"/>
      <c r="J18" s="6" t="n">
        <f aca="false">G18*4.35</f>
        <v>0</v>
      </c>
    </row>
    <row r="19" customFormat="false" ht="15" hidden="false" customHeight="true" outlineLevel="0" collapsed="false">
      <c r="A19" s="2" t="s">
        <v>63</v>
      </c>
      <c r="B19" s="2"/>
      <c r="C19" s="2"/>
      <c r="D19" s="2"/>
      <c r="E19" s="6"/>
      <c r="F19" s="2"/>
      <c r="G19" s="7"/>
      <c r="H19" s="42"/>
      <c r="J19" s="6" t="n">
        <f aca="false">G19</f>
        <v>0</v>
      </c>
    </row>
    <row r="20" customFormat="false" ht="15" hidden="false" customHeight="true" outlineLevel="0" collapsed="false">
      <c r="A20" s="2" t="s">
        <v>67</v>
      </c>
      <c r="B20" s="11"/>
      <c r="C20" s="2"/>
      <c r="D20" s="2"/>
      <c r="E20" s="6"/>
      <c r="F20" s="2"/>
      <c r="G20" s="7"/>
      <c r="H20" s="42"/>
      <c r="J20" s="6" t="n">
        <f aca="false">G20</f>
        <v>0</v>
      </c>
    </row>
    <row r="21" customFormat="false" ht="15" hidden="false" customHeight="true" outlineLevel="0" collapsed="false">
      <c r="A21" s="2" t="s">
        <v>70</v>
      </c>
      <c r="B21" s="12"/>
      <c r="C21" s="12"/>
      <c r="D21" s="12"/>
      <c r="E21" s="3"/>
      <c r="F21" s="12"/>
      <c r="G21" s="4"/>
      <c r="H21" s="14"/>
      <c r="I21" s="15"/>
      <c r="J21" s="6" t="n">
        <f aca="false">G21*4.35</f>
        <v>0</v>
      </c>
    </row>
    <row r="22" customFormat="false" ht="15" hidden="false" customHeight="true" outlineLevel="0" collapsed="false">
      <c r="A22" s="2" t="s">
        <v>71</v>
      </c>
      <c r="B22" s="12"/>
      <c r="C22" s="12"/>
      <c r="D22" s="12"/>
      <c r="E22" s="3"/>
      <c r="F22" s="12"/>
      <c r="G22" s="4"/>
      <c r="H22" s="14"/>
      <c r="I22" s="15"/>
      <c r="J22" s="6" t="n">
        <f aca="false">G22*4.35</f>
        <v>0</v>
      </c>
    </row>
    <row r="23" customFormat="false" ht="15" hidden="false" customHeight="true" outlineLevel="0" collapsed="false">
      <c r="A23" s="2" t="s">
        <v>73</v>
      </c>
      <c r="B23" s="2"/>
      <c r="C23" s="2"/>
      <c r="D23" s="2"/>
      <c r="E23" s="6"/>
      <c r="F23" s="2"/>
      <c r="G23" s="7"/>
      <c r="H23" s="5"/>
      <c r="J23" s="6" t="n">
        <f aca="false">G23</f>
        <v>0</v>
      </c>
      <c r="N23" s="43"/>
    </row>
    <row r="24" customFormat="false" ht="15" hidden="false" customHeight="true" outlineLevel="0" collapsed="false">
      <c r="A24" s="2" t="s">
        <v>76</v>
      </c>
      <c r="B24" s="12"/>
      <c r="C24" s="12"/>
      <c r="D24" s="12"/>
      <c r="E24" s="17"/>
      <c r="F24" s="12"/>
      <c r="G24" s="16"/>
      <c r="H24" s="14"/>
      <c r="I24" s="15"/>
      <c r="J24" s="17"/>
      <c r="N24" s="43"/>
    </row>
    <row r="25" customFormat="false" ht="15" hidden="false" customHeight="true" outlineLevel="0" collapsed="false">
      <c r="A25" s="2" t="s">
        <v>78</v>
      </c>
      <c r="B25" s="12"/>
      <c r="C25" s="12"/>
      <c r="D25" s="12"/>
      <c r="E25" s="17"/>
      <c r="F25" s="12"/>
      <c r="G25" s="16"/>
      <c r="H25" s="14"/>
      <c r="I25" s="15"/>
      <c r="J25" s="17"/>
      <c r="N25" s="43"/>
    </row>
    <row r="26" customFormat="false" ht="15" hidden="false" customHeight="true" outlineLevel="0" collapsed="false">
      <c r="A26" s="2" t="s">
        <v>80</v>
      </c>
      <c r="B26" s="12"/>
      <c r="C26" s="12"/>
      <c r="D26" s="12"/>
      <c r="E26" s="17"/>
      <c r="F26" s="36"/>
      <c r="G26" s="16"/>
      <c r="H26" s="14"/>
      <c r="I26" s="37"/>
      <c r="J26" s="17"/>
      <c r="N26" s="43"/>
    </row>
    <row r="27" customFormat="false" ht="15" hidden="false" customHeight="true" outlineLevel="0" collapsed="false">
      <c r="A27" s="2" t="s">
        <v>83</v>
      </c>
      <c r="B27" s="2"/>
      <c r="C27" s="2"/>
      <c r="D27" s="2"/>
      <c r="E27" s="17"/>
      <c r="F27" s="12"/>
      <c r="G27" s="7"/>
      <c r="H27" s="5"/>
      <c r="I27" s="20"/>
      <c r="J27" s="6" t="n">
        <f aca="false">G27</f>
        <v>0</v>
      </c>
    </row>
    <row r="28" customFormat="false" ht="15" hidden="false" customHeight="false" outlineLevel="0" collapsed="false">
      <c r="A28" s="21"/>
      <c r="B28" s="21"/>
      <c r="C28" s="21"/>
      <c r="D28" s="21"/>
      <c r="E28" s="22"/>
      <c r="F28" s="21"/>
      <c r="G28" s="23"/>
      <c r="H28" s="24"/>
      <c r="I28" s="20"/>
      <c r="J28" s="22"/>
    </row>
    <row r="29" customFormat="false" ht="15" hidden="false" customHeight="false" outlineLevel="0" collapsed="false">
      <c r="J29" s="25" t="n">
        <f aca="false">SUM(J3:J27)</f>
        <v>98802.25</v>
      </c>
    </row>
    <row r="33" customFormat="false" ht="18" hidden="false" customHeight="false" outlineLevel="0" collapsed="false">
      <c r="E33" s="26"/>
    </row>
    <row r="34" customFormat="false" ht="18" hidden="false" customHeight="false" outlineLevel="0" collapsed="false">
      <c r="E34" s="26"/>
    </row>
    <row r="35" customFormat="false" ht="18" hidden="false" customHeight="false" outlineLevel="0" collapsed="false">
      <c r="E35" s="26"/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9" activeCellId="0" sqref="B9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24.72"/>
    <col collapsed="false" customWidth="true" hidden="false" outlineLevel="0" max="4" min="3" style="0" width="15.71"/>
    <col collapsed="false" customWidth="true" hidden="false" outlineLevel="0" max="5" min="5" style="0" width="9.85"/>
    <col collapsed="false" customWidth="true" hidden="false" outlineLevel="0" max="6" min="6" style="0" width="6.71"/>
    <col collapsed="false" customWidth="true" hidden="false" outlineLevel="0" max="7" min="7" style="0" width="10.71"/>
    <col collapsed="false" customWidth="true" hidden="false" outlineLevel="0" max="8" min="8" style="0" width="8.71"/>
    <col collapsed="false" customWidth="true" hidden="false" outlineLevel="0" max="9" min="9" style="0" width="20.28"/>
    <col collapsed="false" customWidth="true" hidden="false" outlineLevel="0" max="10" min="10" style="0" width="16.71"/>
  </cols>
  <sheetData>
    <row r="1" customFormat="false" ht="40.5" hidden="false" customHeight="true" outlineLevel="0" collapsed="false">
      <c r="A1" s="1" t="s">
        <v>172</v>
      </c>
      <c r="B1" s="1"/>
      <c r="C1" s="1"/>
      <c r="D1" s="1"/>
      <c r="E1" s="1"/>
      <c r="F1" s="1"/>
      <c r="G1" s="1"/>
      <c r="H1" s="1"/>
    </row>
    <row r="2" customFormat="false" ht="30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J2" s="2" t="s">
        <v>9</v>
      </c>
    </row>
    <row r="3" customFormat="false" ht="15" hidden="false" customHeight="true" outlineLevel="0" collapsed="false">
      <c r="A3" s="12" t="s">
        <v>10</v>
      </c>
      <c r="B3" s="2" t="s">
        <v>153</v>
      </c>
      <c r="C3" s="2" t="s">
        <v>151</v>
      </c>
      <c r="D3" s="2" t="s">
        <v>152</v>
      </c>
      <c r="E3" s="6" t="n">
        <v>15</v>
      </c>
      <c r="F3" s="2" t="n">
        <v>25</v>
      </c>
      <c r="G3" s="16" t="n">
        <f aca="false">F3*E3</f>
        <v>375</v>
      </c>
      <c r="H3" s="14" t="n">
        <v>45600</v>
      </c>
      <c r="I3" s="37"/>
      <c r="J3" s="17" t="n">
        <f aca="false">G3</f>
        <v>375</v>
      </c>
    </row>
    <row r="4" customFormat="false" ht="30" hidden="false" customHeight="true" outlineLevel="0" collapsed="false">
      <c r="A4" s="2" t="s">
        <v>14</v>
      </c>
      <c r="B4" s="12" t="s">
        <v>35</v>
      </c>
      <c r="C4" s="12" t="s">
        <v>92</v>
      </c>
      <c r="D4" s="12" t="s">
        <v>37</v>
      </c>
      <c r="E4" s="17" t="n">
        <v>4.5</v>
      </c>
      <c r="F4" s="12" t="n">
        <v>5000</v>
      </c>
      <c r="G4" s="16" t="n">
        <f aca="false">F4*E4</f>
        <v>22500</v>
      </c>
      <c r="H4" s="14" t="n">
        <v>45601</v>
      </c>
      <c r="I4" s="37"/>
      <c r="J4" s="17" t="n">
        <f aca="false">G4</f>
        <v>22500</v>
      </c>
    </row>
    <row r="5" customFormat="false" ht="30" hidden="false" customHeight="true" outlineLevel="0" collapsed="false">
      <c r="A5" s="12" t="s">
        <v>18</v>
      </c>
      <c r="B5" s="2" t="s">
        <v>98</v>
      </c>
      <c r="C5" s="2" t="s">
        <v>23</v>
      </c>
      <c r="D5" s="2" t="s">
        <v>99</v>
      </c>
      <c r="E5" s="13" t="n">
        <v>1.8</v>
      </c>
      <c r="F5" s="2" t="n">
        <v>2000</v>
      </c>
      <c r="G5" s="4" t="n">
        <f aca="false">F5*E5</f>
        <v>3600</v>
      </c>
      <c r="H5" s="5" t="n">
        <v>45603</v>
      </c>
      <c r="J5" s="6" t="n">
        <f aca="false">G5*4.35</f>
        <v>15660</v>
      </c>
    </row>
    <row r="6" customFormat="false" ht="30" hidden="false" customHeight="true" outlineLevel="0" collapsed="false">
      <c r="A6" s="12" t="s">
        <v>21</v>
      </c>
      <c r="B6" s="2" t="s">
        <v>173</v>
      </c>
      <c r="C6" s="2" t="s">
        <v>112</v>
      </c>
      <c r="D6" s="2" t="s">
        <v>37</v>
      </c>
      <c r="E6" s="6" t="n">
        <v>5.2</v>
      </c>
      <c r="F6" s="2" t="n">
        <v>3000</v>
      </c>
      <c r="G6" s="16" t="n">
        <f aca="false">F6*E6</f>
        <v>15600</v>
      </c>
      <c r="H6" s="14" t="n">
        <v>45603</v>
      </c>
      <c r="I6" s="37"/>
      <c r="J6" s="17" t="n">
        <f aca="false">G6</f>
        <v>15600</v>
      </c>
    </row>
    <row r="7" customFormat="false" ht="30" hidden="false" customHeight="true" outlineLevel="0" collapsed="false">
      <c r="A7" s="12" t="s">
        <v>25</v>
      </c>
      <c r="B7" s="2" t="s">
        <v>174</v>
      </c>
      <c r="C7" s="2" t="s">
        <v>23</v>
      </c>
      <c r="D7" s="2" t="s">
        <v>95</v>
      </c>
      <c r="E7" s="35" t="n">
        <v>2.99</v>
      </c>
      <c r="F7" s="2" t="n">
        <v>2400</v>
      </c>
      <c r="G7" s="4" t="n">
        <f aca="false">F7*E7</f>
        <v>7176</v>
      </c>
      <c r="H7" s="5" t="n">
        <v>45603</v>
      </c>
      <c r="J7" s="6" t="n">
        <f aca="false">G7*4.35</f>
        <v>31215.6</v>
      </c>
    </row>
    <row r="8" customFormat="false" ht="30" hidden="false" customHeight="true" outlineLevel="0" collapsed="false">
      <c r="A8" s="2" t="s">
        <v>30</v>
      </c>
      <c r="B8" s="12" t="s">
        <v>175</v>
      </c>
      <c r="C8" s="12" t="s">
        <v>176</v>
      </c>
      <c r="D8" s="2" t="s">
        <v>95</v>
      </c>
      <c r="E8" s="3" t="n">
        <v>3.01</v>
      </c>
      <c r="F8" s="12" t="n">
        <v>1600</v>
      </c>
      <c r="G8" s="4" t="n">
        <f aca="false">F8*E8</f>
        <v>4816</v>
      </c>
      <c r="H8" s="14" t="n">
        <v>45603</v>
      </c>
      <c r="I8" s="15"/>
      <c r="J8" s="6" t="n">
        <f aca="false">G8*4.35</f>
        <v>20949.6</v>
      </c>
    </row>
    <row r="9" customFormat="false" ht="30" hidden="false" customHeight="true" outlineLevel="0" collapsed="false">
      <c r="A9" s="12" t="s">
        <v>34</v>
      </c>
      <c r="B9" s="12" t="s">
        <v>177</v>
      </c>
      <c r="C9" s="12" t="s">
        <v>106</v>
      </c>
      <c r="D9" s="12" t="s">
        <v>149</v>
      </c>
      <c r="E9" s="17" t="n">
        <v>10.9</v>
      </c>
      <c r="F9" s="12" t="n">
        <v>1000</v>
      </c>
      <c r="G9" s="16" t="n">
        <f aca="false">F9*E9</f>
        <v>10900</v>
      </c>
      <c r="H9" s="14" t="n">
        <v>45603</v>
      </c>
      <c r="I9" s="51"/>
      <c r="J9" s="17" t="n">
        <f aca="false">G9</f>
        <v>10900</v>
      </c>
    </row>
    <row r="10" customFormat="false" ht="15" hidden="false" customHeight="true" outlineLevel="0" collapsed="false">
      <c r="A10" s="2" t="s">
        <v>39</v>
      </c>
      <c r="B10" s="12" t="s">
        <v>178</v>
      </c>
      <c r="C10" s="12" t="s">
        <v>16</v>
      </c>
      <c r="D10" s="2" t="s">
        <v>179</v>
      </c>
      <c r="E10" s="17" t="n">
        <v>7.6</v>
      </c>
      <c r="F10" s="12" t="n">
        <v>800</v>
      </c>
      <c r="G10" s="16" t="n">
        <f aca="false">F10*E10</f>
        <v>6080</v>
      </c>
      <c r="H10" s="14" t="n">
        <v>45610</v>
      </c>
      <c r="I10" s="37"/>
      <c r="J10" s="17" t="n">
        <f aca="false">G10</f>
        <v>6080</v>
      </c>
      <c r="L10" s="27"/>
      <c r="M10" s="27"/>
    </row>
    <row r="11" customFormat="false" ht="15" hidden="false" customHeight="true" outlineLevel="0" collapsed="false">
      <c r="A11" s="12" t="s">
        <v>43</v>
      </c>
      <c r="B11" s="2" t="s">
        <v>163</v>
      </c>
      <c r="C11" s="2" t="s">
        <v>65</v>
      </c>
      <c r="D11" s="2" t="s">
        <v>121</v>
      </c>
      <c r="E11" s="3" t="n">
        <v>2.9</v>
      </c>
      <c r="F11" s="2" t="n">
        <v>1000</v>
      </c>
      <c r="G11" s="4" t="n">
        <f aca="false">F11*E11</f>
        <v>2900</v>
      </c>
      <c r="H11" s="5" t="n">
        <v>45611</v>
      </c>
      <c r="I11" s="19"/>
      <c r="J11" s="6" t="n">
        <f aca="false">G11*4.35</f>
        <v>12615</v>
      </c>
      <c r="L11" s="27"/>
      <c r="M11" s="27"/>
    </row>
    <row r="12" customFormat="false" ht="30" hidden="false" customHeight="true" outlineLevel="0" collapsed="false">
      <c r="A12" s="12" t="s">
        <v>45</v>
      </c>
      <c r="B12" s="12" t="s">
        <v>164</v>
      </c>
      <c r="C12" s="12" t="s">
        <v>165</v>
      </c>
      <c r="D12" s="2" t="s">
        <v>20</v>
      </c>
      <c r="E12" s="17" t="n">
        <v>8.1</v>
      </c>
      <c r="F12" s="12" t="n">
        <v>25</v>
      </c>
      <c r="G12" s="7" t="n">
        <f aca="false">F12*E12</f>
        <v>202.5</v>
      </c>
      <c r="H12" s="14" t="n">
        <v>45614</v>
      </c>
      <c r="I12" s="15"/>
      <c r="J12" s="6" t="n">
        <f aca="false">G12</f>
        <v>202.5</v>
      </c>
    </row>
    <row r="13" customFormat="false" ht="41.25" hidden="false" customHeight="true" outlineLevel="0" collapsed="false">
      <c r="A13" s="12" t="s">
        <v>48</v>
      </c>
      <c r="B13" s="12" t="s">
        <v>180</v>
      </c>
      <c r="C13" s="12" t="s">
        <v>165</v>
      </c>
      <c r="D13" s="2" t="s">
        <v>20</v>
      </c>
      <c r="E13" s="17" t="n">
        <v>7.2</v>
      </c>
      <c r="F13" s="12" t="n">
        <v>125</v>
      </c>
      <c r="G13" s="7" t="n">
        <f aca="false">F13*E13</f>
        <v>900</v>
      </c>
      <c r="H13" s="14" t="n">
        <v>45614</v>
      </c>
      <c r="I13" s="15"/>
      <c r="J13" s="6" t="n">
        <f aca="false">G13</f>
        <v>900</v>
      </c>
      <c r="L13" s="27"/>
      <c r="M13" s="27"/>
    </row>
    <row r="14" customFormat="false" ht="30" hidden="false" customHeight="true" outlineLevel="0" collapsed="false">
      <c r="A14" s="2" t="s">
        <v>51</v>
      </c>
      <c r="B14" s="2" t="s">
        <v>40</v>
      </c>
      <c r="C14" s="2" t="s">
        <v>41</v>
      </c>
      <c r="D14" s="2" t="s">
        <v>20</v>
      </c>
      <c r="E14" s="17" t="n">
        <v>6</v>
      </c>
      <c r="F14" s="12" t="n">
        <v>1375</v>
      </c>
      <c r="G14" s="7" t="n">
        <f aca="false">F14*E14</f>
        <v>8250</v>
      </c>
      <c r="H14" s="5" t="n">
        <v>45614</v>
      </c>
      <c r="I14" s="20"/>
      <c r="J14" s="6" t="n">
        <f aca="false">G14</f>
        <v>8250</v>
      </c>
    </row>
    <row r="15" customFormat="false" ht="15" hidden="false" customHeight="true" outlineLevel="0" collapsed="false">
      <c r="A15" s="12" t="s">
        <v>55</v>
      </c>
      <c r="B15" s="12" t="s">
        <v>35</v>
      </c>
      <c r="C15" s="12" t="s">
        <v>92</v>
      </c>
      <c r="D15" s="12" t="s">
        <v>37</v>
      </c>
      <c r="E15" s="17" t="n">
        <v>4.5</v>
      </c>
      <c r="F15" s="12" t="n">
        <v>6000</v>
      </c>
      <c r="G15" s="16" t="n">
        <f aca="false">F15*E15</f>
        <v>27000</v>
      </c>
      <c r="H15" s="14" t="n">
        <v>45617</v>
      </c>
      <c r="I15" s="37"/>
      <c r="J15" s="17" t="n">
        <f aca="false">G15</f>
        <v>27000</v>
      </c>
    </row>
    <row r="16" customFormat="false" ht="15" hidden="false" customHeight="true" outlineLevel="0" collapsed="false">
      <c r="A16" s="2" t="s">
        <v>57</v>
      </c>
      <c r="B16" s="2" t="s">
        <v>84</v>
      </c>
      <c r="C16" s="2" t="s">
        <v>85</v>
      </c>
      <c r="D16" s="2" t="s">
        <v>86</v>
      </c>
      <c r="E16" s="17" t="n">
        <v>4.6</v>
      </c>
      <c r="F16" s="12" t="n">
        <v>1000</v>
      </c>
      <c r="G16" s="16" t="n">
        <f aca="false">F16*E16</f>
        <v>4600</v>
      </c>
      <c r="H16" s="14" t="n">
        <v>45617</v>
      </c>
      <c r="I16" s="20" t="s">
        <v>87</v>
      </c>
      <c r="J16" s="6" t="n">
        <f aca="false">G16</f>
        <v>4600</v>
      </c>
    </row>
    <row r="17" customFormat="false" ht="15" hidden="false" customHeight="true" outlineLevel="0" collapsed="false">
      <c r="A17" s="12" t="s">
        <v>59</v>
      </c>
      <c r="B17" s="2" t="s">
        <v>116</v>
      </c>
      <c r="C17" s="2" t="s">
        <v>117</v>
      </c>
      <c r="D17" s="2" t="s">
        <v>137</v>
      </c>
      <c r="E17" s="6" t="n">
        <v>6</v>
      </c>
      <c r="F17" s="2" t="n">
        <v>5000</v>
      </c>
      <c r="G17" s="7" t="n">
        <f aca="false">F17*E17</f>
        <v>30000</v>
      </c>
      <c r="H17" s="5" t="n">
        <v>45622</v>
      </c>
      <c r="J17" s="6" t="n">
        <f aca="false">G17</f>
        <v>30000</v>
      </c>
    </row>
    <row r="18" customFormat="false" ht="15" hidden="false" customHeight="true" outlineLevel="0" collapsed="false">
      <c r="A18" s="12" t="s">
        <v>61</v>
      </c>
      <c r="B18" s="2" t="s">
        <v>181</v>
      </c>
      <c r="C18" s="2" t="s">
        <v>135</v>
      </c>
      <c r="D18" s="2" t="s">
        <v>182</v>
      </c>
      <c r="E18" s="6" t="n">
        <v>11.4</v>
      </c>
      <c r="F18" s="2" t="n">
        <v>150</v>
      </c>
      <c r="G18" s="7" t="n">
        <f aca="false">F18*E18</f>
        <v>1710</v>
      </c>
      <c r="H18" s="5" t="n">
        <v>45622</v>
      </c>
      <c r="J18" s="6" t="n">
        <f aca="false">G18</f>
        <v>1710</v>
      </c>
    </row>
    <row r="19" customFormat="false" ht="15" hidden="false" customHeight="true" outlineLevel="0" collapsed="false">
      <c r="A19" s="12" t="s">
        <v>63</v>
      </c>
      <c r="B19" s="2" t="s">
        <v>133</v>
      </c>
      <c r="C19" s="2" t="s">
        <v>106</v>
      </c>
      <c r="D19" s="2" t="s">
        <v>20</v>
      </c>
      <c r="E19" s="6" t="n">
        <v>13</v>
      </c>
      <c r="F19" s="2" t="n">
        <v>350</v>
      </c>
      <c r="G19" s="7" t="n">
        <f aca="false">F19*E19</f>
        <v>4550</v>
      </c>
      <c r="H19" s="5" t="n">
        <v>45622</v>
      </c>
      <c r="J19" s="6" t="n">
        <f aca="false">G19</f>
        <v>4550</v>
      </c>
    </row>
    <row r="20" customFormat="false" ht="15" hidden="false" customHeight="true" outlineLevel="0" collapsed="false">
      <c r="A20" s="2" t="s">
        <v>67</v>
      </c>
      <c r="B20" s="12"/>
      <c r="C20" s="12"/>
      <c r="D20" s="12"/>
      <c r="E20" s="17"/>
      <c r="F20" s="12"/>
      <c r="G20" s="16"/>
      <c r="H20" s="14"/>
      <c r="I20" s="15"/>
      <c r="J20" s="6" t="n">
        <f aca="false">G20*4.35</f>
        <v>0</v>
      </c>
    </row>
    <row r="21" customFormat="false" ht="15" hidden="false" customHeight="true" outlineLevel="0" collapsed="false">
      <c r="A21" s="12" t="s">
        <v>70</v>
      </c>
      <c r="B21" s="46"/>
      <c r="C21" s="2"/>
      <c r="D21" s="2"/>
      <c r="E21" s="3"/>
      <c r="F21" s="2"/>
      <c r="G21" s="4"/>
      <c r="H21" s="5"/>
      <c r="I21" s="19"/>
      <c r="J21" s="6" t="n">
        <f aca="false">G21</f>
        <v>0</v>
      </c>
    </row>
    <row r="22" customFormat="false" ht="15" hidden="false" customHeight="true" outlineLevel="0" collapsed="false">
      <c r="A22" s="2" t="s">
        <v>71</v>
      </c>
      <c r="B22" s="2"/>
      <c r="C22" s="2"/>
      <c r="D22" s="2"/>
      <c r="E22" s="6"/>
      <c r="F22" s="2"/>
      <c r="G22" s="7"/>
      <c r="H22" s="42"/>
      <c r="J22" s="6" t="n">
        <f aca="false">G22</f>
        <v>0</v>
      </c>
    </row>
    <row r="23" customFormat="false" ht="15" hidden="false" customHeight="true" outlineLevel="0" collapsed="false">
      <c r="A23" s="12" t="s">
        <v>73</v>
      </c>
      <c r="B23" s="11"/>
      <c r="C23" s="2"/>
      <c r="D23" s="2"/>
      <c r="E23" s="6"/>
      <c r="F23" s="2"/>
      <c r="G23" s="7"/>
      <c r="H23" s="42"/>
      <c r="J23" s="6" t="n">
        <f aca="false">G23*4.35</f>
        <v>0</v>
      </c>
    </row>
    <row r="24" customFormat="false" ht="15" hidden="false" customHeight="true" outlineLevel="0" collapsed="false">
      <c r="A24" s="12" t="s">
        <v>76</v>
      </c>
      <c r="B24" s="12"/>
      <c r="C24" s="12"/>
      <c r="D24" s="12"/>
      <c r="E24" s="3"/>
      <c r="F24" s="12"/>
      <c r="G24" s="4"/>
      <c r="H24" s="14"/>
      <c r="I24" s="15"/>
      <c r="J24" s="6" t="n">
        <f aca="false">G24</f>
        <v>0</v>
      </c>
      <c r="N24" s="43"/>
    </row>
    <row r="25" customFormat="false" ht="15" hidden="false" customHeight="true" outlineLevel="0" collapsed="false">
      <c r="A25" s="12" t="s">
        <v>78</v>
      </c>
      <c r="B25" s="12"/>
      <c r="C25" s="12"/>
      <c r="D25" s="12"/>
      <c r="E25" s="3"/>
      <c r="F25" s="12"/>
      <c r="G25" s="4"/>
      <c r="H25" s="14"/>
      <c r="I25" s="15"/>
      <c r="J25" s="6" t="n">
        <f aca="false">G25</f>
        <v>0</v>
      </c>
      <c r="N25" s="43"/>
    </row>
    <row r="26" customFormat="false" ht="15" hidden="false" customHeight="true" outlineLevel="0" collapsed="false">
      <c r="A26" s="2" t="s">
        <v>80</v>
      </c>
      <c r="B26" s="2"/>
      <c r="C26" s="2"/>
      <c r="D26" s="2"/>
      <c r="E26" s="6"/>
      <c r="F26" s="2"/>
      <c r="G26" s="7"/>
      <c r="H26" s="5"/>
      <c r="J26" s="6" t="n">
        <f aca="false">G26*4.35</f>
        <v>0</v>
      </c>
      <c r="N26" s="43"/>
    </row>
    <row r="27" customFormat="false" ht="15" hidden="false" customHeight="true" outlineLevel="0" collapsed="false">
      <c r="A27" s="12" t="s">
        <v>83</v>
      </c>
      <c r="B27" s="12"/>
      <c r="C27" s="12"/>
      <c r="D27" s="12"/>
      <c r="E27" s="17"/>
      <c r="F27" s="12"/>
      <c r="G27" s="16"/>
      <c r="H27" s="14"/>
      <c r="I27" s="15"/>
      <c r="J27" s="6" t="n">
        <f aca="false">G27</f>
        <v>0</v>
      </c>
      <c r="N27" s="43"/>
    </row>
    <row r="28" customFormat="false" ht="15" hidden="false" customHeight="true" outlineLevel="0" collapsed="false">
      <c r="A28" s="2" t="s">
        <v>88</v>
      </c>
      <c r="B28" s="12"/>
      <c r="C28" s="12"/>
      <c r="D28" s="12"/>
      <c r="E28" s="17"/>
      <c r="F28" s="12"/>
      <c r="G28" s="16"/>
      <c r="H28" s="14"/>
      <c r="I28" s="15"/>
      <c r="J28" s="6" t="n">
        <f aca="false">G28</f>
        <v>0</v>
      </c>
    </row>
    <row r="29" customFormat="false" ht="15" hidden="false" customHeight="false" outlineLevel="0" collapsed="false">
      <c r="A29" s="12" t="s">
        <v>183</v>
      </c>
      <c r="B29" s="12"/>
      <c r="C29" s="12"/>
      <c r="D29" s="12"/>
      <c r="E29" s="17"/>
      <c r="F29" s="36"/>
      <c r="G29" s="16"/>
      <c r="H29" s="14"/>
      <c r="I29" s="37"/>
      <c r="J29" s="6" t="n">
        <f aca="false">G29*4.35</f>
        <v>0</v>
      </c>
    </row>
    <row r="30" customFormat="false" ht="15" hidden="false" customHeight="false" outlineLevel="0" collapsed="false">
      <c r="A30" s="12" t="s">
        <v>184</v>
      </c>
      <c r="B30" s="2"/>
      <c r="C30" s="2"/>
      <c r="D30" s="2"/>
      <c r="E30" s="17"/>
      <c r="F30" s="12"/>
      <c r="G30" s="7"/>
      <c r="H30" s="5"/>
      <c r="I30" s="20"/>
      <c r="J30" s="6" t="n">
        <f aca="false">G30</f>
        <v>0</v>
      </c>
    </row>
    <row r="31" customFormat="false" ht="15" hidden="false" customHeight="false" outlineLevel="0" collapsed="false">
      <c r="A31" s="21"/>
      <c r="B31" s="21"/>
      <c r="C31" s="21"/>
      <c r="D31" s="21"/>
      <c r="E31" s="22"/>
      <c r="F31" s="21"/>
      <c r="G31" s="23"/>
      <c r="H31" s="24"/>
      <c r="I31" s="20"/>
      <c r="J31" s="22"/>
    </row>
    <row r="32" customFormat="false" ht="15" hidden="false" customHeight="false" outlineLevel="0" collapsed="false">
      <c r="J32" s="25" t="n">
        <f aca="false">SUM(J3:J30)</f>
        <v>213107.7</v>
      </c>
    </row>
    <row r="36" customFormat="false" ht="18" hidden="false" customHeight="false" outlineLevel="0" collapsed="false">
      <c r="E36" s="26"/>
    </row>
    <row r="37" customFormat="false" ht="18" hidden="false" customHeight="false" outlineLevel="0" collapsed="false">
      <c r="E37" s="26"/>
    </row>
    <row r="38" customFormat="false" ht="18" hidden="false" customHeight="false" outlineLevel="0" collapsed="false">
      <c r="E38" s="26"/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7" activeCellId="0" sqref="J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24.72"/>
    <col collapsed="false" customWidth="true" hidden="false" outlineLevel="0" max="4" min="3" style="0" width="15.71"/>
    <col collapsed="false" customWidth="true" hidden="false" outlineLevel="0" max="5" min="5" style="0" width="9.85"/>
    <col collapsed="false" customWidth="true" hidden="false" outlineLevel="0" max="6" min="6" style="0" width="6.71"/>
    <col collapsed="false" customWidth="true" hidden="false" outlineLevel="0" max="7" min="7" style="0" width="10.71"/>
    <col collapsed="false" customWidth="true" hidden="false" outlineLevel="0" max="8" min="8" style="0" width="8.71"/>
    <col collapsed="false" customWidth="true" hidden="false" outlineLevel="0" max="9" min="9" style="0" width="20.28"/>
    <col collapsed="false" customWidth="true" hidden="false" outlineLevel="0" max="10" min="10" style="0" width="16.71"/>
  </cols>
  <sheetData>
    <row r="1" customFormat="false" ht="40.5" hidden="false" customHeight="true" outlineLevel="0" collapsed="false">
      <c r="A1" s="1" t="s">
        <v>185</v>
      </c>
      <c r="B1" s="1"/>
      <c r="C1" s="1"/>
      <c r="D1" s="1"/>
      <c r="E1" s="1"/>
      <c r="F1" s="1"/>
      <c r="G1" s="1"/>
      <c r="H1" s="1"/>
    </row>
    <row r="2" customFormat="false" ht="30" hidden="false" customHeight="fals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J2" s="2" t="s">
        <v>9</v>
      </c>
    </row>
    <row r="3" customFormat="false" ht="15" hidden="false" customHeight="true" outlineLevel="0" collapsed="false">
      <c r="A3" s="2" t="s">
        <v>10</v>
      </c>
      <c r="B3" s="12" t="s">
        <v>35</v>
      </c>
      <c r="C3" s="12" t="s">
        <v>92</v>
      </c>
      <c r="D3" s="12" t="s">
        <v>37</v>
      </c>
      <c r="E3" s="17" t="n">
        <v>4.5</v>
      </c>
      <c r="F3" s="12" t="n">
        <v>8000</v>
      </c>
      <c r="G3" s="16" t="n">
        <f aca="false">F3*E3</f>
        <v>36000</v>
      </c>
      <c r="H3" s="14" t="n">
        <v>45628</v>
      </c>
      <c r="I3" s="37"/>
      <c r="J3" s="17" t="n">
        <f aca="false">G3</f>
        <v>36000</v>
      </c>
    </row>
    <row r="4" customFormat="false" ht="30" hidden="false" customHeight="false" outlineLevel="0" collapsed="false">
      <c r="A4" s="12" t="s">
        <v>14</v>
      </c>
      <c r="B4" s="12" t="s">
        <v>186</v>
      </c>
      <c r="C4" s="12" t="s">
        <v>106</v>
      </c>
      <c r="D4" s="12" t="s">
        <v>33</v>
      </c>
      <c r="E4" s="3" t="n">
        <v>14.41</v>
      </c>
      <c r="F4" s="12" t="n">
        <v>25</v>
      </c>
      <c r="G4" s="4" t="n">
        <f aca="false">F4*E4</f>
        <v>360.25</v>
      </c>
      <c r="H4" s="14" t="n">
        <v>45629</v>
      </c>
      <c r="I4" s="15"/>
      <c r="J4" s="6" t="n">
        <f aca="false">G4*4.35</f>
        <v>1567.0875</v>
      </c>
    </row>
    <row r="5" customFormat="false" ht="30" hidden="false" customHeight="true" outlineLevel="0" collapsed="false">
      <c r="A5" s="12" t="s">
        <v>18</v>
      </c>
      <c r="B5" s="12" t="s">
        <v>167</v>
      </c>
      <c r="C5" s="12" t="s">
        <v>168</v>
      </c>
      <c r="D5" s="12" t="s">
        <v>103</v>
      </c>
      <c r="E5" s="3" t="n">
        <v>2.35</v>
      </c>
      <c r="F5" s="2" t="n">
        <v>1000</v>
      </c>
      <c r="G5" s="4" t="n">
        <f aca="false">F5*E5</f>
        <v>2350</v>
      </c>
      <c r="H5" s="5" t="n">
        <v>45636</v>
      </c>
      <c r="I5" s="19"/>
      <c r="J5" s="6" t="n">
        <f aca="false">G5*4.35</f>
        <v>10222.5</v>
      </c>
    </row>
    <row r="6" customFormat="false" ht="15" hidden="false" customHeight="true" outlineLevel="0" collapsed="false">
      <c r="A6" s="12" t="s">
        <v>21</v>
      </c>
      <c r="B6" s="12" t="s">
        <v>89</v>
      </c>
      <c r="C6" s="12" t="s">
        <v>187</v>
      </c>
      <c r="D6" s="12" t="s">
        <v>37</v>
      </c>
      <c r="E6" s="17" t="n">
        <v>3.5</v>
      </c>
      <c r="F6" s="12" t="n">
        <v>1000</v>
      </c>
      <c r="G6" s="16" t="n">
        <f aca="false">F6*E6</f>
        <v>3500</v>
      </c>
      <c r="H6" s="14" t="n">
        <v>45646</v>
      </c>
      <c r="I6" s="37"/>
      <c r="J6" s="17" t="n">
        <f aca="false">G6</f>
        <v>3500</v>
      </c>
    </row>
    <row r="7" customFormat="false" ht="15" hidden="false" customHeight="true" outlineLevel="0" collapsed="false">
      <c r="A7" s="2" t="s">
        <v>25</v>
      </c>
      <c r="B7" s="12" t="s">
        <v>144</v>
      </c>
      <c r="C7" s="12" t="s">
        <v>32</v>
      </c>
      <c r="D7" s="12" t="s">
        <v>157</v>
      </c>
      <c r="E7" s="13" t="n">
        <v>15.32</v>
      </c>
      <c r="F7" s="12" t="n">
        <v>125</v>
      </c>
      <c r="G7" s="52" t="n">
        <f aca="false">F7*E7</f>
        <v>1915</v>
      </c>
      <c r="H7" s="14" t="n">
        <v>45645</v>
      </c>
      <c r="I7" s="37"/>
      <c r="J7" s="17" t="n">
        <f aca="false">G7*4.35</f>
        <v>8330.25</v>
      </c>
    </row>
    <row r="8" customFormat="false" ht="15" hidden="false" customHeight="true" outlineLevel="0" collapsed="false">
      <c r="A8" s="12" t="s">
        <v>30</v>
      </c>
      <c r="B8" s="12"/>
      <c r="C8" s="12"/>
      <c r="D8" s="12"/>
      <c r="E8" s="17"/>
      <c r="F8" s="12"/>
      <c r="G8" s="16"/>
      <c r="H8" s="14"/>
      <c r="J8" s="6" t="n">
        <f aca="false">G8*4.35</f>
        <v>0</v>
      </c>
    </row>
    <row r="9" customFormat="false" ht="15" hidden="false" customHeight="true" outlineLevel="0" collapsed="false">
      <c r="A9" s="12" t="s">
        <v>34</v>
      </c>
      <c r="B9" s="2"/>
      <c r="C9" s="2"/>
      <c r="D9" s="2"/>
      <c r="E9" s="6"/>
      <c r="F9" s="2"/>
      <c r="G9" s="7"/>
      <c r="H9" s="5"/>
      <c r="J9" s="6" t="n">
        <f aca="false">G9*4.35</f>
        <v>0</v>
      </c>
      <c r="L9" s="27"/>
      <c r="M9" s="27"/>
    </row>
    <row r="10" customFormat="false" ht="30" hidden="false" customHeight="true" outlineLevel="0" collapsed="false">
      <c r="A10" s="2" t="s">
        <v>39</v>
      </c>
      <c r="B10" s="2"/>
      <c r="C10" s="2"/>
      <c r="D10" s="2"/>
      <c r="E10" s="6"/>
      <c r="F10" s="2"/>
      <c r="G10" s="7"/>
      <c r="H10" s="5"/>
      <c r="J10" s="6" t="n">
        <f aca="false">G10*4.35</f>
        <v>0</v>
      </c>
      <c r="L10" s="27"/>
      <c r="M10" s="27"/>
    </row>
    <row r="11" customFormat="false" ht="15" hidden="false" customHeight="true" outlineLevel="0" collapsed="false">
      <c r="A11" s="12" t="s">
        <v>43</v>
      </c>
      <c r="B11" s="2"/>
      <c r="C11" s="2"/>
      <c r="D11" s="2"/>
      <c r="E11" s="3"/>
      <c r="F11" s="2"/>
      <c r="G11" s="4"/>
      <c r="H11" s="14"/>
      <c r="J11" s="6" t="n">
        <f aca="false">G11*4.35</f>
        <v>0</v>
      </c>
    </row>
    <row r="12" customFormat="false" ht="15" hidden="false" customHeight="true" outlineLevel="0" collapsed="false">
      <c r="A12" s="12" t="s">
        <v>45</v>
      </c>
      <c r="B12" s="2"/>
      <c r="C12" s="2"/>
      <c r="D12" s="2"/>
      <c r="E12" s="6"/>
      <c r="F12" s="2"/>
      <c r="G12" s="7"/>
      <c r="H12" s="5"/>
      <c r="J12" s="6" t="n">
        <f aca="false">G12*4.35</f>
        <v>0</v>
      </c>
    </row>
    <row r="13" customFormat="false" ht="15" hidden="false" customHeight="true" outlineLevel="0" collapsed="false">
      <c r="A13" s="2" t="s">
        <v>48</v>
      </c>
      <c r="B13" s="2"/>
      <c r="C13" s="2"/>
      <c r="D13" s="2"/>
      <c r="E13" s="6"/>
      <c r="F13" s="2"/>
      <c r="G13" s="7"/>
      <c r="H13" s="5"/>
      <c r="J13" s="6" t="n">
        <f aca="false">G13*4.35</f>
        <v>0</v>
      </c>
    </row>
    <row r="14" customFormat="false" ht="15" hidden="false" customHeight="true" outlineLevel="0" collapsed="false">
      <c r="A14" s="12" t="s">
        <v>51</v>
      </c>
      <c r="B14" s="12"/>
      <c r="C14" s="12"/>
      <c r="D14" s="12"/>
      <c r="E14" s="17"/>
      <c r="F14" s="12"/>
      <c r="G14" s="16"/>
      <c r="H14" s="14"/>
      <c r="I14" s="15"/>
      <c r="J14" s="6" t="n">
        <f aca="false">G14*4.35</f>
        <v>0</v>
      </c>
    </row>
    <row r="15" customFormat="false" ht="15" hidden="false" customHeight="true" outlineLevel="0" collapsed="false">
      <c r="A15" s="12" t="s">
        <v>55</v>
      </c>
      <c r="B15" s="46"/>
      <c r="C15" s="2"/>
      <c r="D15" s="2"/>
      <c r="E15" s="3"/>
      <c r="F15" s="2"/>
      <c r="G15" s="4"/>
      <c r="H15" s="5"/>
      <c r="I15" s="19"/>
      <c r="J15" s="6" t="n">
        <f aca="false">G15*4.35</f>
        <v>0</v>
      </c>
    </row>
    <row r="16" customFormat="false" ht="15" hidden="false" customHeight="true" outlineLevel="0" collapsed="false">
      <c r="A16" s="2" t="s">
        <v>57</v>
      </c>
      <c r="B16" s="2"/>
      <c r="C16" s="2"/>
      <c r="D16" s="2"/>
      <c r="E16" s="6"/>
      <c r="F16" s="2"/>
      <c r="G16" s="7"/>
      <c r="H16" s="42"/>
      <c r="J16" s="6" t="n">
        <f aca="false">G16*4.35</f>
        <v>0</v>
      </c>
    </row>
    <row r="17" customFormat="false" ht="15" hidden="false" customHeight="true" outlineLevel="0" collapsed="false">
      <c r="A17" s="12" t="s">
        <v>59</v>
      </c>
      <c r="B17" s="11"/>
      <c r="C17" s="2"/>
      <c r="D17" s="2"/>
      <c r="E17" s="6"/>
      <c r="F17" s="2"/>
      <c r="G17" s="7"/>
      <c r="H17" s="42"/>
      <c r="J17" s="6" t="n">
        <f aca="false">G17*4.35</f>
        <v>0</v>
      </c>
    </row>
    <row r="18" customFormat="false" ht="15" hidden="false" customHeight="true" outlineLevel="0" collapsed="false">
      <c r="A18" s="12" t="s">
        <v>61</v>
      </c>
      <c r="B18" s="12"/>
      <c r="C18" s="12"/>
      <c r="D18" s="12"/>
      <c r="E18" s="3"/>
      <c r="F18" s="12"/>
      <c r="G18" s="4"/>
      <c r="H18" s="14"/>
      <c r="I18" s="15"/>
      <c r="J18" s="6" t="n">
        <f aca="false">G18*4.35</f>
        <v>0</v>
      </c>
    </row>
    <row r="19" customFormat="false" ht="15" hidden="false" customHeight="true" outlineLevel="0" collapsed="false">
      <c r="A19" s="2" t="s">
        <v>63</v>
      </c>
      <c r="B19" s="12"/>
      <c r="C19" s="12"/>
      <c r="D19" s="12"/>
      <c r="E19" s="3"/>
      <c r="F19" s="12"/>
      <c r="G19" s="4"/>
      <c r="H19" s="14"/>
      <c r="I19" s="15"/>
      <c r="J19" s="6" t="n">
        <f aca="false">G19*4.35</f>
        <v>0</v>
      </c>
    </row>
    <row r="20" customFormat="false" ht="15" hidden="false" customHeight="true" outlineLevel="0" collapsed="false">
      <c r="A20" s="12" t="s">
        <v>67</v>
      </c>
      <c r="B20" s="2"/>
      <c r="C20" s="2"/>
      <c r="D20" s="2"/>
      <c r="E20" s="6"/>
      <c r="F20" s="2"/>
      <c r="G20" s="7"/>
      <c r="H20" s="5"/>
      <c r="J20" s="6" t="n">
        <f aca="false">G20*4.35</f>
        <v>0</v>
      </c>
      <c r="N20" s="43"/>
    </row>
    <row r="21" customFormat="false" ht="15" hidden="false" customHeight="true" outlineLevel="0" collapsed="false">
      <c r="A21" s="12" t="s">
        <v>70</v>
      </c>
      <c r="B21" s="12"/>
      <c r="C21" s="12"/>
      <c r="D21" s="12"/>
      <c r="E21" s="17"/>
      <c r="F21" s="12"/>
      <c r="G21" s="16"/>
      <c r="H21" s="14"/>
      <c r="I21" s="15"/>
      <c r="J21" s="6" t="n">
        <f aca="false">G21*4.35</f>
        <v>0</v>
      </c>
      <c r="N21" s="43"/>
    </row>
    <row r="22" customFormat="false" ht="15" hidden="false" customHeight="true" outlineLevel="0" collapsed="false">
      <c r="A22" s="2" t="s">
        <v>71</v>
      </c>
      <c r="B22" s="12"/>
      <c r="C22" s="12"/>
      <c r="D22" s="12"/>
      <c r="E22" s="17"/>
      <c r="F22" s="12"/>
      <c r="G22" s="16"/>
      <c r="H22" s="14"/>
      <c r="I22" s="15"/>
      <c r="J22" s="6" t="n">
        <f aca="false">G22*4.35</f>
        <v>0</v>
      </c>
      <c r="N22" s="43"/>
    </row>
    <row r="23" customFormat="false" ht="15" hidden="false" customHeight="true" outlineLevel="0" collapsed="false">
      <c r="A23" s="12" t="s">
        <v>73</v>
      </c>
      <c r="B23" s="12"/>
      <c r="C23" s="12"/>
      <c r="D23" s="12"/>
      <c r="E23" s="17"/>
      <c r="F23" s="36"/>
      <c r="G23" s="16"/>
      <c r="H23" s="14"/>
      <c r="I23" s="37"/>
      <c r="J23" s="6" t="n">
        <f aca="false">G23*4.35</f>
        <v>0</v>
      </c>
      <c r="N23" s="43"/>
    </row>
    <row r="24" customFormat="false" ht="15" hidden="false" customHeight="true" outlineLevel="0" collapsed="false">
      <c r="A24" s="12" t="s">
        <v>76</v>
      </c>
      <c r="B24" s="12"/>
      <c r="C24" s="12"/>
      <c r="D24" s="12"/>
      <c r="E24" s="53"/>
      <c r="F24" s="12"/>
      <c r="G24" s="52"/>
      <c r="H24" s="14"/>
      <c r="J24" s="6" t="n">
        <f aca="false">G24*4.35</f>
        <v>0</v>
      </c>
    </row>
    <row r="25" customFormat="false" ht="15" hidden="false" customHeight="false" outlineLevel="0" collapsed="false">
      <c r="A25" s="21"/>
      <c r="B25" s="21"/>
      <c r="C25" s="21"/>
      <c r="D25" s="21"/>
      <c r="E25" s="22"/>
      <c r="F25" s="21"/>
      <c r="G25" s="23"/>
      <c r="H25" s="24"/>
      <c r="I25" s="20"/>
      <c r="J25" s="22"/>
    </row>
    <row r="26" customFormat="false" ht="15" hidden="false" customHeight="false" outlineLevel="0" collapsed="false">
      <c r="J26" s="25"/>
    </row>
    <row r="27" customFormat="false" ht="15" hidden="false" customHeight="false" outlineLevel="0" collapsed="false">
      <c r="J27" s="25" t="n">
        <f aca="false">SUM(J3:J23)</f>
        <v>59619.8375</v>
      </c>
    </row>
    <row r="30" customFormat="false" ht="18" hidden="false" customHeight="false" outlineLevel="0" collapsed="false">
      <c r="E30" s="26"/>
    </row>
    <row r="31" customFormat="false" ht="18" hidden="false" customHeight="false" outlineLevel="0" collapsed="false">
      <c r="E31" s="26"/>
    </row>
    <row r="32" customFormat="false" ht="18" hidden="false" customHeight="false" outlineLevel="0" collapsed="false">
      <c r="E32" s="26"/>
    </row>
  </sheetData>
  <mergeCells count="1">
    <mergeCell ref="A1:H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1" activeCellId="0" sqref="B1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24.72"/>
    <col collapsed="false" customWidth="true" hidden="false" outlineLevel="0" max="4" min="3" style="0" width="15.71"/>
    <col collapsed="false" customWidth="true" hidden="false" outlineLevel="0" max="5" min="5" style="0" width="9.85"/>
    <col collapsed="false" customWidth="true" hidden="false" outlineLevel="0" max="6" min="6" style="0" width="6.71"/>
    <col collapsed="false" customWidth="true" hidden="false" outlineLevel="0" max="7" min="7" style="0" width="10.71"/>
    <col collapsed="false" customWidth="true" hidden="false" outlineLevel="0" max="8" min="8" style="0" width="8.71"/>
    <col collapsed="false" customWidth="true" hidden="false" outlineLevel="0" max="9" min="9" style="0" width="20.28"/>
    <col collapsed="false" customWidth="true" hidden="false" outlineLevel="0" max="10" min="10" style="0" width="16.71"/>
    <col collapsed="false" customWidth="true" hidden="false" outlineLevel="0" max="12" min="12" style="0" width="11.71"/>
    <col collapsed="false" customWidth="true" hidden="false" outlineLevel="0" max="13" min="13" style="0" width="18.14"/>
    <col collapsed="false" customWidth="true" hidden="false" outlineLevel="0" max="15" min="15" style="0" width="12.28"/>
  </cols>
  <sheetData>
    <row r="1" customFormat="false" ht="40.5" hidden="false" customHeight="true" outlineLevel="0" collapsed="false">
      <c r="A1" s="1" t="s">
        <v>188</v>
      </c>
      <c r="B1" s="1"/>
      <c r="C1" s="1"/>
      <c r="D1" s="1"/>
      <c r="E1" s="1"/>
      <c r="F1" s="1"/>
      <c r="G1" s="1"/>
      <c r="H1" s="1"/>
    </row>
    <row r="2" customFormat="false" ht="22.5" hidden="false" customHeight="true" outlineLevel="0" collapsed="false">
      <c r="A2" s="1" t="s">
        <v>189</v>
      </c>
      <c r="B2" s="1"/>
      <c r="C2" s="1"/>
      <c r="D2" s="1"/>
      <c r="E2" s="1"/>
      <c r="F2" s="1"/>
      <c r="G2" s="1"/>
      <c r="H2" s="1"/>
    </row>
    <row r="3" customFormat="false" ht="30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J3" s="2" t="s">
        <v>9</v>
      </c>
      <c r="L3" s="39" t="s">
        <v>190</v>
      </c>
      <c r="M3" s="2" t="s">
        <v>191</v>
      </c>
      <c r="N3" s="54" t="s">
        <v>192</v>
      </c>
      <c r="O3" s="54"/>
    </row>
    <row r="4" customFormat="false" ht="15" hidden="false" customHeight="true" outlineLevel="0" collapsed="false">
      <c r="A4" s="12" t="s">
        <v>10</v>
      </c>
      <c r="B4" s="2" t="s">
        <v>116</v>
      </c>
      <c r="C4" s="2" t="s">
        <v>117</v>
      </c>
      <c r="D4" s="2" t="s">
        <v>137</v>
      </c>
      <c r="E4" s="6" t="n">
        <v>6</v>
      </c>
      <c r="F4" s="55" t="n">
        <v>6000</v>
      </c>
      <c r="G4" s="7" t="n">
        <f aca="false">F4*E4</f>
        <v>36000</v>
      </c>
      <c r="H4" s="5" t="n">
        <v>45298</v>
      </c>
      <c r="J4" s="6" t="n">
        <f aca="false">G4</f>
        <v>36000</v>
      </c>
      <c r="L4" s="56"/>
      <c r="M4" s="57" t="s">
        <v>193</v>
      </c>
      <c r="N4" s="58"/>
      <c r="O4" s="58"/>
    </row>
    <row r="5" customFormat="false" ht="30" hidden="false" customHeight="true" outlineLevel="0" collapsed="false">
      <c r="A5" s="12" t="s">
        <v>14</v>
      </c>
      <c r="B5" s="2" t="s">
        <v>194</v>
      </c>
      <c r="C5" s="2" t="s">
        <v>41</v>
      </c>
      <c r="D5" s="2" t="s">
        <v>13</v>
      </c>
      <c r="E5" s="3" t="n">
        <v>1.48</v>
      </c>
      <c r="F5" s="2" t="n">
        <v>1375</v>
      </c>
      <c r="G5" s="4" t="n">
        <f aca="false">F5*E5</f>
        <v>2035</v>
      </c>
      <c r="H5" s="5" t="n">
        <v>45298</v>
      </c>
      <c r="J5" s="6" t="n">
        <f aca="false">G5*4.35</f>
        <v>8852.25</v>
      </c>
      <c r="L5" s="59"/>
      <c r="M5" s="57" t="s">
        <v>195</v>
      </c>
      <c r="N5" s="58"/>
      <c r="O5" s="58"/>
    </row>
    <row r="6" customFormat="false" ht="30" hidden="false" customHeight="true" outlineLevel="0" collapsed="false">
      <c r="A6" s="12" t="s">
        <v>18</v>
      </c>
      <c r="B6" s="12" t="s">
        <v>84</v>
      </c>
      <c r="C6" s="12" t="s">
        <v>85</v>
      </c>
      <c r="D6" s="12" t="s">
        <v>86</v>
      </c>
      <c r="E6" s="17" t="n">
        <v>4.6</v>
      </c>
      <c r="F6" s="12" t="n">
        <v>1000</v>
      </c>
      <c r="G6" s="16" t="n">
        <f aca="false">F6*E6</f>
        <v>4600</v>
      </c>
      <c r="H6" s="14" t="n">
        <v>45300</v>
      </c>
      <c r="I6" s="60" t="s">
        <v>87</v>
      </c>
      <c r="J6" s="17" t="n">
        <f aca="false">G6</f>
        <v>4600</v>
      </c>
      <c r="L6" s="59"/>
      <c r="M6" s="57" t="s">
        <v>196</v>
      </c>
      <c r="N6" s="58"/>
      <c r="O6" s="58"/>
    </row>
    <row r="7" customFormat="false" ht="29.25" hidden="false" customHeight="true" outlineLevel="0" collapsed="false">
      <c r="A7" s="12" t="s">
        <v>21</v>
      </c>
      <c r="B7" s="12" t="s">
        <v>197</v>
      </c>
      <c r="C7" s="12" t="s">
        <v>106</v>
      </c>
      <c r="D7" s="12" t="s">
        <v>20</v>
      </c>
      <c r="E7" s="17" t="n">
        <v>12.2</v>
      </c>
      <c r="F7" s="12" t="n">
        <v>150</v>
      </c>
      <c r="G7" s="16" t="n">
        <f aca="false">F7*E7</f>
        <v>1830</v>
      </c>
      <c r="H7" s="14" t="n">
        <v>45300</v>
      </c>
      <c r="J7" s="17" t="n">
        <f aca="false">G7</f>
        <v>1830</v>
      </c>
      <c r="L7" s="59"/>
      <c r="M7" s="61" t="s">
        <v>198</v>
      </c>
      <c r="N7" s="58"/>
      <c r="O7" s="58"/>
    </row>
    <row r="8" customFormat="false" ht="29.25" hidden="false" customHeight="true" outlineLevel="0" collapsed="false">
      <c r="A8" s="12" t="s">
        <v>25</v>
      </c>
      <c r="B8" s="2" t="s">
        <v>49</v>
      </c>
      <c r="C8" s="2" t="s">
        <v>50</v>
      </c>
      <c r="D8" s="2" t="s">
        <v>13</v>
      </c>
      <c r="E8" s="3" t="n">
        <v>1.8</v>
      </c>
      <c r="F8" s="2" t="n">
        <v>1000</v>
      </c>
      <c r="G8" s="4" t="n">
        <f aca="false">F8*E8</f>
        <v>1800</v>
      </c>
      <c r="H8" s="5" t="n">
        <v>45300</v>
      </c>
      <c r="J8" s="6" t="n">
        <f aca="false">G8*4.35</f>
        <v>7830</v>
      </c>
      <c r="L8" s="56"/>
      <c r="M8" s="57" t="s">
        <v>199</v>
      </c>
      <c r="N8" s="58"/>
      <c r="O8" s="58"/>
    </row>
    <row r="9" customFormat="false" ht="15" hidden="false" customHeight="true" outlineLevel="0" collapsed="false">
      <c r="A9" s="12" t="s">
        <v>30</v>
      </c>
      <c r="B9" s="12" t="s">
        <v>118</v>
      </c>
      <c r="C9" s="12" t="s">
        <v>119</v>
      </c>
      <c r="D9" s="12" t="s">
        <v>54</v>
      </c>
      <c r="E9" s="17" t="n">
        <v>6.5</v>
      </c>
      <c r="F9" s="12" t="n">
        <v>1000</v>
      </c>
      <c r="G9" s="16" t="n">
        <f aca="false">F9*E9</f>
        <v>6500</v>
      </c>
      <c r="H9" s="14" t="n">
        <v>45304</v>
      </c>
      <c r="J9" s="17" t="n">
        <f aca="false">G9</f>
        <v>6500</v>
      </c>
      <c r="L9" s="59"/>
      <c r="M9" s="62" t="s">
        <v>200</v>
      </c>
      <c r="N9" s="58"/>
      <c r="O9" s="58"/>
    </row>
    <row r="10" customFormat="false" ht="30" hidden="false" customHeight="true" outlineLevel="0" collapsed="false">
      <c r="A10" s="12" t="s">
        <v>34</v>
      </c>
      <c r="B10" s="12" t="s">
        <v>201</v>
      </c>
      <c r="C10" s="12" t="s">
        <v>117</v>
      </c>
      <c r="D10" s="12" t="s">
        <v>54</v>
      </c>
      <c r="E10" s="17" t="n">
        <v>6</v>
      </c>
      <c r="F10" s="12" t="n">
        <v>2000</v>
      </c>
      <c r="G10" s="16" t="n">
        <f aca="false">F10*E10</f>
        <v>12000</v>
      </c>
      <c r="H10" s="14" t="n">
        <v>45304</v>
      </c>
      <c r="J10" s="17" t="n">
        <f aca="false">G10</f>
        <v>12000</v>
      </c>
      <c r="L10" s="59"/>
      <c r="M10" s="62" t="s">
        <v>200</v>
      </c>
      <c r="N10" s="58"/>
      <c r="O10" s="58"/>
    </row>
    <row r="11" customFormat="false" ht="15" hidden="false" customHeight="true" outlineLevel="0" collapsed="false">
      <c r="A11" s="12" t="s">
        <v>39</v>
      </c>
      <c r="B11" s="12" t="s">
        <v>104</v>
      </c>
      <c r="C11" s="12" t="s">
        <v>23</v>
      </c>
      <c r="D11" s="12" t="s">
        <v>24</v>
      </c>
      <c r="E11" s="53" t="n">
        <v>3.82</v>
      </c>
      <c r="F11" s="12" t="n">
        <v>15160</v>
      </c>
      <c r="G11" s="52" t="n">
        <f aca="false">F11*E11</f>
        <v>57911.2</v>
      </c>
      <c r="H11" s="14" t="n">
        <v>45306</v>
      </c>
      <c r="J11" s="17" t="n">
        <f aca="false">G11*4.35</f>
        <v>251913.72</v>
      </c>
      <c r="L11" s="59"/>
      <c r="M11" s="57" t="s">
        <v>202</v>
      </c>
      <c r="N11" s="58"/>
      <c r="O11" s="58"/>
    </row>
    <row r="12" customFormat="false" ht="15" hidden="false" customHeight="true" outlineLevel="0" collapsed="false">
      <c r="A12" s="12" t="s">
        <v>43</v>
      </c>
      <c r="B12" s="12" t="s">
        <v>174</v>
      </c>
      <c r="C12" s="12" t="s">
        <v>23</v>
      </c>
      <c r="D12" s="12" t="s">
        <v>95</v>
      </c>
      <c r="E12" s="53" t="n">
        <v>2.99</v>
      </c>
      <c r="F12" s="12" t="n">
        <v>3000</v>
      </c>
      <c r="G12" s="52" t="n">
        <f aca="false">F12*E12</f>
        <v>8970</v>
      </c>
      <c r="H12" s="14" t="n">
        <v>45307</v>
      </c>
      <c r="J12" s="17" t="n">
        <f aca="false">G12*4.35</f>
        <v>39019.5</v>
      </c>
      <c r="L12" s="59"/>
      <c r="M12" s="57" t="s">
        <v>203</v>
      </c>
      <c r="N12" s="58"/>
      <c r="O12" s="58"/>
    </row>
    <row r="13" customFormat="false" ht="15" hidden="false" customHeight="true" outlineLevel="0" collapsed="false">
      <c r="A13" s="12" t="s">
        <v>45</v>
      </c>
      <c r="B13" s="2" t="s">
        <v>89</v>
      </c>
      <c r="C13" s="2" t="s">
        <v>187</v>
      </c>
      <c r="D13" s="2" t="s">
        <v>37</v>
      </c>
      <c r="E13" s="6" t="n">
        <v>3.5</v>
      </c>
      <c r="F13" s="2" t="n">
        <v>2000</v>
      </c>
      <c r="G13" s="7" t="n">
        <f aca="false">F13*E13</f>
        <v>7000</v>
      </c>
      <c r="H13" s="5" t="n">
        <v>45307</v>
      </c>
      <c r="I13" s="37"/>
      <c r="J13" s="6" t="n">
        <f aca="false">G13</f>
        <v>7000</v>
      </c>
      <c r="L13" s="56"/>
      <c r="M13" s="57" t="s">
        <v>204</v>
      </c>
      <c r="N13" s="58"/>
      <c r="O13" s="58"/>
    </row>
    <row r="14" customFormat="false" ht="15" hidden="false" customHeight="true" outlineLevel="0" collapsed="false">
      <c r="A14" s="12" t="s">
        <v>48</v>
      </c>
      <c r="B14" s="2" t="s">
        <v>163</v>
      </c>
      <c r="C14" s="2" t="s">
        <v>65</v>
      </c>
      <c r="D14" s="2" t="s">
        <v>121</v>
      </c>
      <c r="E14" s="3" t="n">
        <v>2.75</v>
      </c>
      <c r="F14" s="2" t="n">
        <v>1000</v>
      </c>
      <c r="G14" s="4" t="n">
        <f aca="false">F14*E14</f>
        <v>2750</v>
      </c>
      <c r="H14" s="5" t="n">
        <v>45674</v>
      </c>
      <c r="I14" s="19"/>
      <c r="J14" s="6" t="n">
        <f aca="false">G14*4.35</f>
        <v>11962.5</v>
      </c>
      <c r="L14" s="59"/>
      <c r="M14" s="57" t="s">
        <v>205</v>
      </c>
      <c r="N14" s="58"/>
      <c r="O14" s="58"/>
    </row>
    <row r="15" customFormat="false" ht="15" hidden="false" customHeight="true" outlineLevel="0" collapsed="false">
      <c r="A15" s="12" t="s">
        <v>51</v>
      </c>
      <c r="B15" s="2" t="s">
        <v>206</v>
      </c>
      <c r="C15" s="2" t="s">
        <v>168</v>
      </c>
      <c r="D15" s="2" t="s">
        <v>13</v>
      </c>
      <c r="E15" s="3" t="n">
        <v>6</v>
      </c>
      <c r="F15" s="2" t="n">
        <v>300</v>
      </c>
      <c r="G15" s="4" t="n">
        <f aca="false">F15*E15</f>
        <v>1800</v>
      </c>
      <c r="H15" s="5" t="n">
        <v>45680</v>
      </c>
      <c r="I15" s="19"/>
      <c r="J15" s="6" t="n">
        <f aca="false">G15*4.35</f>
        <v>7830</v>
      </c>
      <c r="L15" s="59"/>
      <c r="M15" s="57" t="s">
        <v>207</v>
      </c>
      <c r="N15" s="63"/>
      <c r="O15" s="63"/>
    </row>
    <row r="16" customFormat="false" ht="15" hidden="false" customHeight="true" outlineLevel="0" collapsed="false">
      <c r="A16" s="12" t="s">
        <v>55</v>
      </c>
      <c r="B16" s="12" t="s">
        <v>35</v>
      </c>
      <c r="C16" s="12" t="s">
        <v>92</v>
      </c>
      <c r="D16" s="12" t="s">
        <v>37</v>
      </c>
      <c r="E16" s="17" t="n">
        <v>4.5</v>
      </c>
      <c r="F16" s="12" t="n">
        <v>6000</v>
      </c>
      <c r="G16" s="16" t="n">
        <f aca="false">F16*E16</f>
        <v>27000</v>
      </c>
      <c r="H16" s="14" t="n">
        <v>45681</v>
      </c>
      <c r="I16" s="37"/>
      <c r="J16" s="17" t="n">
        <f aca="false">G16</f>
        <v>27000</v>
      </c>
      <c r="L16" s="59"/>
      <c r="M16" s="57" t="s">
        <v>208</v>
      </c>
      <c r="N16" s="64" t="s">
        <v>209</v>
      </c>
      <c r="O16" s="64"/>
      <c r="P16" s="64"/>
    </row>
    <row r="17" customFormat="false" ht="15" hidden="false" customHeight="true" outlineLevel="0" collapsed="false">
      <c r="A17" s="12" t="s">
        <v>57</v>
      </c>
      <c r="B17" s="11"/>
      <c r="C17" s="2"/>
      <c r="D17" s="2"/>
      <c r="E17" s="6"/>
      <c r="F17" s="2"/>
      <c r="G17" s="7"/>
      <c r="H17" s="42"/>
      <c r="J17" s="6" t="n">
        <f aca="false">G17*4.35</f>
        <v>0</v>
      </c>
      <c r="L17" s="17"/>
      <c r="M17" s="65"/>
      <c r="N17" s="66"/>
      <c r="O17" s="66"/>
    </row>
    <row r="18" customFormat="false" ht="15" hidden="false" customHeight="false" outlineLevel="0" collapsed="false">
      <c r="J18" s="25" t="n">
        <f aca="false">SUM(J4:J17)</f>
        <v>422337.97</v>
      </c>
    </row>
    <row r="19" customFormat="false" ht="15" hidden="false" customHeight="false" outlineLevel="0" collapsed="false">
      <c r="J19" s="18"/>
    </row>
    <row r="20" customFormat="false" ht="26.25" hidden="false" customHeight="true" outlineLevel="0" collapsed="false">
      <c r="A20" s="1" t="s">
        <v>210</v>
      </c>
      <c r="B20" s="1"/>
      <c r="C20" s="1"/>
      <c r="D20" s="1"/>
      <c r="E20" s="1"/>
      <c r="F20" s="1"/>
      <c r="G20" s="1"/>
      <c r="H20" s="1"/>
    </row>
    <row r="21" customFormat="false" ht="30" hidden="false" customHeight="false" outlineLevel="0" collapsed="false">
      <c r="A21" s="2" t="s">
        <v>1</v>
      </c>
      <c r="B21" s="2" t="s">
        <v>2</v>
      </c>
      <c r="C21" s="2" t="s">
        <v>3</v>
      </c>
      <c r="D21" s="2" t="s">
        <v>4</v>
      </c>
      <c r="E21" s="2" t="s">
        <v>5</v>
      </c>
      <c r="F21" s="2" t="s">
        <v>6</v>
      </c>
      <c r="G21" s="2" t="s">
        <v>7</v>
      </c>
      <c r="H21" s="2" t="s">
        <v>8</v>
      </c>
      <c r="J21" s="2" t="s">
        <v>9</v>
      </c>
      <c r="L21" s="39" t="s">
        <v>190</v>
      </c>
      <c r="M21" s="2" t="s">
        <v>191</v>
      </c>
      <c r="N21" s="54" t="s">
        <v>211</v>
      </c>
      <c r="O21" s="54"/>
    </row>
    <row r="22" customFormat="false" ht="15" hidden="false" customHeight="false" outlineLevel="0" collapsed="false">
      <c r="A22" s="12" t="s">
        <v>10</v>
      </c>
      <c r="B22" s="2" t="n">
        <v>30634</v>
      </c>
      <c r="C22" s="2" t="s">
        <v>23</v>
      </c>
      <c r="D22" s="2" t="s">
        <v>212</v>
      </c>
      <c r="E22" s="67" t="n">
        <v>71.25</v>
      </c>
      <c r="F22" s="2" t="n">
        <v>25</v>
      </c>
      <c r="G22" s="7" t="n">
        <f aca="false">E22*F22</f>
        <v>1781.25</v>
      </c>
      <c r="H22" s="5" t="n">
        <v>45678</v>
      </c>
      <c r="J22" s="6" t="n">
        <f aca="false">G22</f>
        <v>1781.25</v>
      </c>
      <c r="L22" s="68"/>
      <c r="M22" s="69" t="s">
        <v>213</v>
      </c>
      <c r="N22" s="64"/>
      <c r="O22" s="64"/>
    </row>
    <row r="23" customFormat="false" ht="15" hidden="false" customHeight="false" outlineLevel="0" collapsed="false">
      <c r="A23" s="12" t="s">
        <v>14</v>
      </c>
      <c r="B23" s="70" t="s">
        <v>214</v>
      </c>
      <c r="C23" s="2" t="s">
        <v>23</v>
      </c>
      <c r="D23" s="2" t="s">
        <v>215</v>
      </c>
      <c r="E23" s="67" t="n">
        <v>30</v>
      </c>
      <c r="F23" s="2" t="n">
        <v>25</v>
      </c>
      <c r="G23" s="7" t="n">
        <f aca="false">E23*F23</f>
        <v>750</v>
      </c>
      <c r="H23" s="42" t="n">
        <v>45686</v>
      </c>
      <c r="J23" s="6" t="n">
        <f aca="false">G23</f>
        <v>750</v>
      </c>
      <c r="L23" s="59"/>
      <c r="M23" s="71" t="s">
        <v>216</v>
      </c>
      <c r="N23" s="72"/>
      <c r="O23" s="72"/>
    </row>
    <row r="24" customFormat="false" ht="15" hidden="false" customHeight="false" outlineLevel="0" collapsed="false">
      <c r="A24" s="12" t="s">
        <v>18</v>
      </c>
      <c r="B24" s="73" t="s">
        <v>217</v>
      </c>
      <c r="C24" s="2" t="s">
        <v>23</v>
      </c>
      <c r="D24" s="2" t="s">
        <v>215</v>
      </c>
      <c r="E24" s="67" t="n">
        <v>30.1</v>
      </c>
      <c r="F24" s="2" t="n">
        <v>25</v>
      </c>
      <c r="G24" s="7" t="n">
        <f aca="false">E24*F24</f>
        <v>752.5</v>
      </c>
      <c r="H24" s="74" t="n">
        <v>45321</v>
      </c>
      <c r="J24" s="6" t="n">
        <f aca="false">G24</f>
        <v>752.5</v>
      </c>
      <c r="L24" s="59"/>
      <c r="M24" s="69" t="s">
        <v>218</v>
      </c>
      <c r="N24" s="72"/>
      <c r="O24" s="72"/>
    </row>
    <row r="25" customFormat="false" ht="15" hidden="false" customHeight="false" outlineLevel="0" collapsed="false">
      <c r="A25" s="12" t="s">
        <v>21</v>
      </c>
      <c r="B25" s="70" t="n">
        <v>40614</v>
      </c>
      <c r="C25" s="2" t="s">
        <v>23</v>
      </c>
      <c r="D25" s="2" t="s">
        <v>212</v>
      </c>
      <c r="E25" s="67" t="n">
        <v>80.75</v>
      </c>
      <c r="F25" s="2" t="n">
        <v>25</v>
      </c>
      <c r="G25" s="7" t="n">
        <f aca="false">E25*F25</f>
        <v>2018.75</v>
      </c>
      <c r="H25" s="74" t="n">
        <v>45681</v>
      </c>
      <c r="J25" s="6" t="n">
        <f aca="false">G25</f>
        <v>2018.75</v>
      </c>
      <c r="L25" s="59"/>
      <c r="M25" s="69" t="s">
        <v>219</v>
      </c>
      <c r="N25" s="64"/>
      <c r="O25" s="64"/>
    </row>
    <row r="26" customFormat="false" ht="15" hidden="false" customHeight="false" outlineLevel="0" collapsed="false">
      <c r="A26" s="12" t="s">
        <v>25</v>
      </c>
      <c r="B26" s="70" t="s">
        <v>220</v>
      </c>
      <c r="C26" s="2" t="s">
        <v>23</v>
      </c>
      <c r="D26" s="2" t="s">
        <v>212</v>
      </c>
      <c r="E26" s="67" t="n">
        <v>49.97</v>
      </c>
      <c r="F26" s="2" t="n">
        <v>20</v>
      </c>
      <c r="G26" s="7" t="n">
        <f aca="false">E26*F26</f>
        <v>999.4</v>
      </c>
      <c r="H26" s="74" t="n">
        <v>45681</v>
      </c>
      <c r="J26" s="6" t="n">
        <f aca="false">G26</f>
        <v>999.4</v>
      </c>
      <c r="L26" s="59"/>
      <c r="M26" s="69" t="s">
        <v>221</v>
      </c>
      <c r="N26" s="64" t="s">
        <v>222</v>
      </c>
      <c r="O26" s="64"/>
    </row>
    <row r="27" customFormat="false" ht="15" hidden="false" customHeight="false" outlineLevel="0" collapsed="false">
      <c r="A27" s="12" t="s">
        <v>30</v>
      </c>
      <c r="B27" s="70" t="s">
        <v>223</v>
      </c>
      <c r="C27" s="2" t="s">
        <v>23</v>
      </c>
      <c r="D27" s="2" t="s">
        <v>212</v>
      </c>
      <c r="E27" s="67" t="n">
        <v>40.85</v>
      </c>
      <c r="F27" s="2" t="n">
        <v>20</v>
      </c>
      <c r="G27" s="7" t="n">
        <f aca="false">E27*F27</f>
        <v>817</v>
      </c>
      <c r="H27" s="74" t="n">
        <v>45681</v>
      </c>
      <c r="J27" s="6" t="n">
        <f aca="false">G27</f>
        <v>817</v>
      </c>
      <c r="L27" s="59"/>
      <c r="M27" s="69" t="s">
        <v>221</v>
      </c>
      <c r="N27" s="64" t="s">
        <v>222</v>
      </c>
      <c r="O27" s="64"/>
    </row>
    <row r="28" customFormat="false" ht="15" hidden="false" customHeight="false" outlineLevel="0" collapsed="false">
      <c r="A28" s="12" t="s">
        <v>34</v>
      </c>
      <c r="B28" s="70" t="s">
        <v>224</v>
      </c>
      <c r="C28" s="2" t="s">
        <v>23</v>
      </c>
      <c r="D28" s="2" t="s">
        <v>212</v>
      </c>
      <c r="E28" s="67" t="n">
        <v>29.93</v>
      </c>
      <c r="F28" s="2" t="n">
        <v>25</v>
      </c>
      <c r="G28" s="7" t="n">
        <f aca="false">E28*F28</f>
        <v>748.25</v>
      </c>
      <c r="H28" s="74" t="n">
        <v>45681</v>
      </c>
      <c r="J28" s="6" t="n">
        <f aca="false">G28</f>
        <v>748.25</v>
      </c>
      <c r="L28" s="59"/>
      <c r="M28" s="69" t="s">
        <v>225</v>
      </c>
      <c r="N28" s="72"/>
      <c r="O28" s="72"/>
    </row>
    <row r="29" customFormat="false" ht="15" hidden="false" customHeight="false" outlineLevel="0" collapsed="false">
      <c r="A29" s="12" t="s">
        <v>39</v>
      </c>
      <c r="B29" s="70" t="s">
        <v>226</v>
      </c>
      <c r="C29" s="2" t="s">
        <v>23</v>
      </c>
      <c r="D29" s="2" t="s">
        <v>212</v>
      </c>
      <c r="E29" s="67" t="n">
        <v>33.35</v>
      </c>
      <c r="F29" s="2" t="n">
        <v>25</v>
      </c>
      <c r="G29" s="7" t="n">
        <f aca="false">E29*F29</f>
        <v>833.75</v>
      </c>
      <c r="H29" s="74" t="n">
        <v>45681</v>
      </c>
      <c r="J29" s="6" t="n">
        <f aca="false">G29</f>
        <v>833.75</v>
      </c>
      <c r="L29" s="59"/>
      <c r="M29" s="69" t="s">
        <v>225</v>
      </c>
      <c r="N29" s="72"/>
      <c r="O29" s="72"/>
    </row>
    <row r="30" customFormat="false" ht="15" hidden="false" customHeight="false" outlineLevel="0" collapsed="false">
      <c r="A30" s="12" t="s">
        <v>43</v>
      </c>
      <c r="B30" s="2" t="s">
        <v>227</v>
      </c>
      <c r="C30" s="2" t="s">
        <v>23</v>
      </c>
      <c r="D30" s="2" t="s">
        <v>212</v>
      </c>
      <c r="E30" s="67" t="n">
        <v>33.25</v>
      </c>
      <c r="F30" s="2" t="n">
        <v>25</v>
      </c>
      <c r="G30" s="7" t="n">
        <f aca="false">E30*F30</f>
        <v>831.25</v>
      </c>
      <c r="H30" s="74" t="n">
        <v>45681</v>
      </c>
      <c r="J30" s="6" t="n">
        <f aca="false">G30</f>
        <v>831.25</v>
      </c>
      <c r="L30" s="59"/>
      <c r="M30" s="69" t="s">
        <v>225</v>
      </c>
      <c r="N30" s="72"/>
      <c r="O30" s="72"/>
    </row>
    <row r="31" customFormat="false" ht="15" hidden="false" customHeight="false" outlineLevel="0" collapsed="false">
      <c r="A31" s="12" t="s">
        <v>45</v>
      </c>
      <c r="B31" s="2" t="s">
        <v>228</v>
      </c>
      <c r="C31" s="2" t="s">
        <v>65</v>
      </c>
      <c r="D31" s="2" t="s">
        <v>229</v>
      </c>
      <c r="E31" s="67" t="n">
        <v>13.8</v>
      </c>
      <c r="F31" s="2" t="n">
        <v>25</v>
      </c>
      <c r="G31" s="7" t="n">
        <f aca="false">E31*F31</f>
        <v>345</v>
      </c>
      <c r="H31" s="74" t="n">
        <v>45681</v>
      </c>
      <c r="J31" s="6" t="n">
        <f aca="false">G31</f>
        <v>345</v>
      </c>
      <c r="L31" s="68"/>
      <c r="M31" s="75" t="n">
        <v>90250195</v>
      </c>
      <c r="N31" s="72"/>
      <c r="O31" s="72"/>
    </row>
    <row r="32" customFormat="false" ht="15" hidden="false" customHeight="false" outlineLevel="0" collapsed="false">
      <c r="A32" s="12" t="s">
        <v>48</v>
      </c>
      <c r="B32" s="73" t="s">
        <v>230</v>
      </c>
      <c r="C32" s="2" t="s">
        <v>23</v>
      </c>
      <c r="D32" s="2" t="s">
        <v>212</v>
      </c>
      <c r="E32" s="67" t="n">
        <v>34.68</v>
      </c>
      <c r="F32" s="2" t="n">
        <v>25</v>
      </c>
      <c r="G32" s="7" t="n">
        <f aca="false">E32*F32</f>
        <v>867</v>
      </c>
      <c r="H32" s="74" t="n">
        <v>45682</v>
      </c>
      <c r="I32" s="19"/>
      <c r="J32" s="6" t="n">
        <f aca="false">G32</f>
        <v>867</v>
      </c>
      <c r="K32" s="19"/>
      <c r="L32" s="59"/>
      <c r="M32" s="69" t="s">
        <v>231</v>
      </c>
      <c r="N32" s="72"/>
      <c r="O32" s="72"/>
    </row>
    <row r="33" customFormat="false" ht="15" hidden="false" customHeight="false" outlineLevel="0" collapsed="false">
      <c r="A33" s="76" t="s">
        <v>51</v>
      </c>
      <c r="B33" s="70" t="n">
        <v>40614</v>
      </c>
      <c r="C33" s="2" t="s">
        <v>23</v>
      </c>
      <c r="D33" s="2" t="s">
        <v>212</v>
      </c>
      <c r="E33" s="67" t="n">
        <v>80.75</v>
      </c>
      <c r="F33" s="2" t="n">
        <v>25</v>
      </c>
      <c r="G33" s="7" t="n">
        <f aca="false">E33*F33</f>
        <v>2018.75</v>
      </c>
      <c r="H33" s="74" t="n">
        <v>45684</v>
      </c>
      <c r="I33" s="19"/>
      <c r="J33" s="6" t="n">
        <f aca="false">G33</f>
        <v>2018.75</v>
      </c>
      <c r="K33" s="19"/>
      <c r="L33" s="59"/>
      <c r="M33" s="69" t="s">
        <v>232</v>
      </c>
      <c r="N33" s="72"/>
      <c r="O33" s="72"/>
    </row>
    <row r="34" customFormat="false" ht="15" hidden="false" customHeight="false" outlineLevel="0" collapsed="false">
      <c r="A34" s="12" t="s">
        <v>55</v>
      </c>
      <c r="B34" s="70" t="n">
        <v>30634</v>
      </c>
      <c r="C34" s="2" t="s">
        <v>23</v>
      </c>
      <c r="D34" s="2" t="s">
        <v>212</v>
      </c>
      <c r="E34" s="67" t="n">
        <v>71.25</v>
      </c>
      <c r="F34" s="2" t="n">
        <v>25</v>
      </c>
      <c r="G34" s="7" t="n">
        <f aca="false">E34*F34</f>
        <v>1781.25</v>
      </c>
      <c r="H34" s="74" t="n">
        <v>45684</v>
      </c>
      <c r="J34" s="6" t="n">
        <f aca="false">G34</f>
        <v>1781.25</v>
      </c>
      <c r="L34" s="59"/>
      <c r="M34" s="69" t="s">
        <v>232</v>
      </c>
      <c r="N34" s="72"/>
      <c r="O34" s="72"/>
    </row>
    <row r="35" customFormat="false" ht="15" hidden="false" customHeight="false" outlineLevel="0" collapsed="false">
      <c r="A35" s="77" t="s">
        <v>57</v>
      </c>
      <c r="B35" s="78"/>
      <c r="C35" s="78"/>
      <c r="D35" s="78"/>
      <c r="E35" s="79"/>
      <c r="F35" s="78"/>
      <c r="G35" s="78"/>
      <c r="H35" s="78"/>
      <c r="J35" s="6" t="n">
        <f aca="false">G35</f>
        <v>0</v>
      </c>
    </row>
    <row r="36" customFormat="false" ht="15" hidden="false" customHeight="false" outlineLevel="0" collapsed="false">
      <c r="J36" s="25" t="n">
        <f aca="false">SUM(J22:J35)</f>
        <v>14544.15</v>
      </c>
    </row>
  </sheetData>
  <mergeCells count="32">
    <mergeCell ref="A1:H1"/>
    <mergeCell ref="A2:H2"/>
    <mergeCell ref="N3:O3"/>
    <mergeCell ref="N4:O4"/>
    <mergeCell ref="N5:O5"/>
    <mergeCell ref="N6:O6"/>
    <mergeCell ref="N7:O7"/>
    <mergeCell ref="N8:O8"/>
    <mergeCell ref="N9:O9"/>
    <mergeCell ref="N10:O10"/>
    <mergeCell ref="N11:O11"/>
    <mergeCell ref="N12:O12"/>
    <mergeCell ref="N13:O13"/>
    <mergeCell ref="N14:O14"/>
    <mergeCell ref="N15:O15"/>
    <mergeCell ref="N16:P16"/>
    <mergeCell ref="N17:O17"/>
    <mergeCell ref="A20:H20"/>
    <mergeCell ref="N21:O21"/>
    <mergeCell ref="N22:O22"/>
    <mergeCell ref="N23:O23"/>
    <mergeCell ref="N24:O24"/>
    <mergeCell ref="N25:O25"/>
    <mergeCell ref="N26:O26"/>
    <mergeCell ref="N27:O27"/>
    <mergeCell ref="N28:O28"/>
    <mergeCell ref="N29:O29"/>
    <mergeCell ref="N30:O30"/>
    <mergeCell ref="N31:O31"/>
    <mergeCell ref="N32:O32"/>
    <mergeCell ref="N33:O33"/>
    <mergeCell ref="N34:O3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47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J8" activeCellId="0" sqref="J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24.72"/>
    <col collapsed="false" customWidth="true" hidden="false" outlineLevel="0" max="4" min="3" style="0" width="15.71"/>
    <col collapsed="false" customWidth="true" hidden="false" outlineLevel="0" max="5" min="5" style="0" width="9.85"/>
    <col collapsed="false" customWidth="true" hidden="false" outlineLevel="0" max="6" min="6" style="0" width="6.71"/>
    <col collapsed="false" customWidth="true" hidden="false" outlineLevel="0" max="7" min="7" style="0" width="10.71"/>
    <col collapsed="false" customWidth="true" hidden="false" outlineLevel="0" max="8" min="8" style="0" width="8.71"/>
    <col collapsed="false" customWidth="true" hidden="false" outlineLevel="0" max="9" min="9" style="0" width="20.28"/>
    <col collapsed="false" customWidth="true" hidden="false" outlineLevel="0" max="10" min="10" style="0" width="16.71"/>
    <col collapsed="false" customWidth="true" hidden="false" outlineLevel="0" max="12" min="12" style="0" width="11.71"/>
    <col collapsed="false" customWidth="true" hidden="false" outlineLevel="0" max="13" min="13" style="0" width="16.43"/>
    <col collapsed="false" customWidth="true" hidden="false" outlineLevel="0" max="14" min="14" style="0" width="45.85"/>
  </cols>
  <sheetData>
    <row r="1" customFormat="false" ht="40.5" hidden="false" customHeight="true" outlineLevel="0" collapsed="false">
      <c r="A1" s="1" t="s">
        <v>233</v>
      </c>
      <c r="B1" s="1"/>
      <c r="C1" s="1"/>
      <c r="D1" s="1"/>
      <c r="E1" s="1"/>
      <c r="F1" s="1"/>
      <c r="G1" s="1"/>
      <c r="H1" s="1"/>
    </row>
    <row r="2" customFormat="false" ht="22.5" hidden="false" customHeight="true" outlineLevel="0" collapsed="false">
      <c r="A2" s="1" t="s">
        <v>189</v>
      </c>
      <c r="B2" s="1"/>
      <c r="C2" s="1"/>
      <c r="D2" s="1"/>
      <c r="E2" s="1"/>
      <c r="F2" s="1"/>
      <c r="G2" s="1"/>
      <c r="H2" s="1"/>
    </row>
    <row r="3" customFormat="false" ht="30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J3" s="2" t="s">
        <v>9</v>
      </c>
      <c r="L3" s="39" t="s">
        <v>190</v>
      </c>
      <c r="M3" s="2" t="s">
        <v>191</v>
      </c>
      <c r="N3" s="2" t="s">
        <v>234</v>
      </c>
    </row>
    <row r="4" customFormat="false" ht="24.75" hidden="false" customHeight="true" outlineLevel="0" collapsed="false">
      <c r="A4" s="2" t="s">
        <v>10</v>
      </c>
      <c r="B4" s="12" t="s">
        <v>144</v>
      </c>
      <c r="C4" s="12" t="s">
        <v>32</v>
      </c>
      <c r="D4" s="12" t="s">
        <v>157</v>
      </c>
      <c r="E4" s="13" t="n">
        <v>15.32</v>
      </c>
      <c r="F4" s="12" t="n">
        <v>125</v>
      </c>
      <c r="G4" s="52" t="n">
        <f aca="false">F4*E4</f>
        <v>1915</v>
      </c>
      <c r="H4" s="14" t="n">
        <v>45691</v>
      </c>
      <c r="I4" s="37"/>
      <c r="J4" s="17" t="n">
        <f aca="false">G4*4.35</f>
        <v>8330.25</v>
      </c>
      <c r="L4" s="80"/>
      <c r="M4" s="81" t="s">
        <v>235</v>
      </c>
      <c r="N4" s="82"/>
    </row>
    <row r="5" customFormat="false" ht="24.75" hidden="false" customHeight="true" outlineLevel="0" collapsed="false">
      <c r="A5" s="2" t="s">
        <v>14</v>
      </c>
      <c r="B5" s="2" t="s">
        <v>116</v>
      </c>
      <c r="C5" s="2" t="s">
        <v>117</v>
      </c>
      <c r="D5" s="2" t="s">
        <v>137</v>
      </c>
      <c r="E5" s="6" t="n">
        <v>6</v>
      </c>
      <c r="F5" s="55" t="n">
        <v>4000</v>
      </c>
      <c r="G5" s="7" t="n">
        <f aca="false">F5*E5</f>
        <v>24000</v>
      </c>
      <c r="H5" s="5" t="n">
        <v>45691</v>
      </c>
      <c r="I5" s="83"/>
      <c r="J5" s="6" t="n">
        <f aca="false">G5</f>
        <v>24000</v>
      </c>
      <c r="L5" s="59"/>
      <c r="M5" s="84" t="s">
        <v>236</v>
      </c>
      <c r="N5" s="85" t="s">
        <v>237</v>
      </c>
    </row>
    <row r="6" customFormat="false" ht="24.75" hidden="false" customHeight="true" outlineLevel="0" collapsed="false">
      <c r="A6" s="2" t="s">
        <v>18</v>
      </c>
      <c r="B6" s="12" t="s">
        <v>177</v>
      </c>
      <c r="C6" s="12" t="s">
        <v>106</v>
      </c>
      <c r="D6" s="12" t="s">
        <v>149</v>
      </c>
      <c r="E6" s="17" t="n">
        <v>10.7</v>
      </c>
      <c r="F6" s="12" t="n">
        <v>1000</v>
      </c>
      <c r="G6" s="16" t="n">
        <f aca="false">F6*E6</f>
        <v>10700</v>
      </c>
      <c r="H6" s="14" t="n">
        <v>45692</v>
      </c>
      <c r="J6" s="17" t="n">
        <f aca="false">G6</f>
        <v>10700</v>
      </c>
      <c r="L6" s="59"/>
      <c r="M6" s="84" t="s">
        <v>238</v>
      </c>
      <c r="N6" s="82"/>
    </row>
    <row r="7" customFormat="false" ht="24.75" hidden="false" customHeight="true" outlineLevel="0" collapsed="false">
      <c r="A7" s="2" t="s">
        <v>21</v>
      </c>
      <c r="B7" s="12" t="s">
        <v>167</v>
      </c>
      <c r="C7" s="12" t="s">
        <v>168</v>
      </c>
      <c r="D7" s="12" t="s">
        <v>103</v>
      </c>
      <c r="E7" s="3" t="n">
        <v>2.3</v>
      </c>
      <c r="F7" s="2" t="n">
        <v>1000</v>
      </c>
      <c r="G7" s="4" t="n">
        <f aca="false">F7*E7</f>
        <v>2300</v>
      </c>
      <c r="H7" s="5" t="n">
        <v>45694</v>
      </c>
      <c r="I7" s="19"/>
      <c r="J7" s="6" t="n">
        <f aca="false">G7*4.35</f>
        <v>10005</v>
      </c>
      <c r="L7" s="80"/>
      <c r="M7" s="84" t="s">
        <v>239</v>
      </c>
      <c r="N7" s="82"/>
    </row>
    <row r="8" customFormat="false" ht="24.75" hidden="false" customHeight="true" outlineLevel="0" collapsed="false">
      <c r="A8" s="2" t="s">
        <v>25</v>
      </c>
      <c r="B8" s="12" t="s">
        <v>240</v>
      </c>
      <c r="C8" s="12" t="s">
        <v>168</v>
      </c>
      <c r="D8" s="12" t="s">
        <v>103</v>
      </c>
      <c r="E8" s="3" t="n">
        <v>1.85</v>
      </c>
      <c r="F8" s="2" t="n">
        <v>1000</v>
      </c>
      <c r="G8" s="4" t="n">
        <f aca="false">F8*E8</f>
        <v>1850</v>
      </c>
      <c r="H8" s="5" t="n">
        <v>45694</v>
      </c>
      <c r="I8" s="19"/>
      <c r="J8" s="6" t="n">
        <f aca="false">G8*4.35</f>
        <v>8047.5</v>
      </c>
      <c r="L8" s="59"/>
      <c r="M8" s="84" t="s">
        <v>239</v>
      </c>
      <c r="N8" s="86"/>
    </row>
    <row r="9" customFormat="false" ht="24.75" hidden="false" customHeight="true" outlineLevel="0" collapsed="false">
      <c r="A9" s="2" t="s">
        <v>30</v>
      </c>
      <c r="B9" s="12" t="s">
        <v>100</v>
      </c>
      <c r="C9" s="12" t="s">
        <v>101</v>
      </c>
      <c r="D9" s="12" t="s">
        <v>28</v>
      </c>
      <c r="E9" s="17" t="n">
        <v>3.5</v>
      </c>
      <c r="F9" s="12" t="n">
        <v>2000</v>
      </c>
      <c r="G9" s="16" t="n">
        <f aca="false">F9*E9</f>
        <v>7000</v>
      </c>
      <c r="H9" s="14" t="n">
        <v>45694</v>
      </c>
      <c r="I9" s="51"/>
      <c r="J9" s="17" t="n">
        <f aca="false">G9</f>
        <v>7000</v>
      </c>
      <c r="L9" s="59"/>
      <c r="M9" s="87" t="s">
        <v>241</v>
      </c>
      <c r="N9" s="86"/>
    </row>
    <row r="10" customFormat="false" ht="24.75" hidden="false" customHeight="true" outlineLevel="0" collapsed="false">
      <c r="A10" s="2" t="s">
        <v>34</v>
      </c>
      <c r="B10" s="12" t="s">
        <v>242</v>
      </c>
      <c r="C10" s="12" t="s">
        <v>23</v>
      </c>
      <c r="D10" s="12" t="s">
        <v>24</v>
      </c>
      <c r="E10" s="53" t="n">
        <v>3.76</v>
      </c>
      <c r="F10" s="12" t="n">
        <v>3150</v>
      </c>
      <c r="G10" s="52" t="n">
        <f aca="false">F10*E10</f>
        <v>11844</v>
      </c>
      <c r="H10" s="14" t="n">
        <v>45699</v>
      </c>
      <c r="J10" s="17" t="n">
        <f aca="false">G10*4.35</f>
        <v>51521.4</v>
      </c>
      <c r="L10" s="59"/>
      <c r="M10" s="84" t="s">
        <v>243</v>
      </c>
      <c r="N10" s="82"/>
    </row>
    <row r="11" customFormat="false" ht="24.75" hidden="false" customHeight="true" outlineLevel="0" collapsed="false">
      <c r="A11" s="2" t="s">
        <v>39</v>
      </c>
      <c r="B11" s="12" t="s">
        <v>116</v>
      </c>
      <c r="C11" s="12" t="s">
        <v>117</v>
      </c>
      <c r="D11" s="12" t="s">
        <v>28</v>
      </c>
      <c r="E11" s="17" t="n">
        <v>6.25</v>
      </c>
      <c r="F11" s="55" t="n">
        <v>6000</v>
      </c>
      <c r="G11" s="16" t="n">
        <f aca="false">F11*E11</f>
        <v>37500</v>
      </c>
      <c r="H11" s="14" t="n">
        <v>45699</v>
      </c>
      <c r="I11" s="88"/>
      <c r="J11" s="17" t="n">
        <f aca="false">G11</f>
        <v>37500</v>
      </c>
      <c r="L11" s="59"/>
      <c r="M11" s="84" t="s">
        <v>244</v>
      </c>
      <c r="N11" s="82"/>
    </row>
    <row r="12" customFormat="false" ht="24.75" hidden="false" customHeight="true" outlineLevel="0" collapsed="false">
      <c r="A12" s="2" t="s">
        <v>43</v>
      </c>
      <c r="B12" s="2" t="s">
        <v>163</v>
      </c>
      <c r="C12" s="2" t="s">
        <v>65</v>
      </c>
      <c r="D12" s="2" t="s">
        <v>121</v>
      </c>
      <c r="E12" s="3" t="n">
        <v>2.75</v>
      </c>
      <c r="F12" s="2" t="n">
        <v>1000</v>
      </c>
      <c r="G12" s="4" t="n">
        <f aca="false">F12*E12</f>
        <v>2750</v>
      </c>
      <c r="H12" s="5" t="n">
        <v>45707</v>
      </c>
      <c r="I12" s="19"/>
      <c r="J12" s="6" t="n">
        <f aca="false">G12*4.35</f>
        <v>11962.5</v>
      </c>
      <c r="L12" s="59"/>
      <c r="M12" s="84" t="s">
        <v>245</v>
      </c>
      <c r="N12" s="82"/>
    </row>
    <row r="13" customFormat="false" ht="24.75" hidden="false" customHeight="true" outlineLevel="0" collapsed="false">
      <c r="A13" s="2" t="s">
        <v>45</v>
      </c>
      <c r="B13" s="12" t="s">
        <v>246</v>
      </c>
      <c r="C13" s="12" t="s">
        <v>16</v>
      </c>
      <c r="D13" s="12" t="s">
        <v>149</v>
      </c>
      <c r="E13" s="17" t="n">
        <v>11.1</v>
      </c>
      <c r="F13" s="12" t="n">
        <v>300</v>
      </c>
      <c r="G13" s="16" t="n">
        <f aca="false">F13*E13</f>
        <v>3330</v>
      </c>
      <c r="H13" s="14" t="n">
        <v>45705</v>
      </c>
      <c r="I13" s="60"/>
      <c r="J13" s="6" t="n">
        <f aca="false">G13</f>
        <v>3330</v>
      </c>
      <c r="L13" s="59"/>
      <c r="M13" s="84" t="s">
        <v>247</v>
      </c>
      <c r="N13" s="82"/>
    </row>
    <row r="14" customFormat="false" ht="24.75" hidden="false" customHeight="true" outlineLevel="0" collapsed="false">
      <c r="A14" s="2" t="s">
        <v>48</v>
      </c>
      <c r="B14" s="12" t="s">
        <v>248</v>
      </c>
      <c r="C14" s="12" t="s">
        <v>16</v>
      </c>
      <c r="D14" s="12" t="s">
        <v>17</v>
      </c>
      <c r="E14" s="17" t="n">
        <v>17.4</v>
      </c>
      <c r="F14" s="12" t="n">
        <v>500</v>
      </c>
      <c r="G14" s="16" t="n">
        <f aca="false">F14*E14</f>
        <v>8700</v>
      </c>
      <c r="H14" s="14" t="n">
        <v>45705</v>
      </c>
      <c r="I14" s="15"/>
      <c r="J14" s="17" t="n">
        <f aca="false">G14</f>
        <v>8700</v>
      </c>
      <c r="L14" s="59"/>
      <c r="M14" s="84"/>
      <c r="N14" s="82"/>
    </row>
    <row r="15" customFormat="false" ht="24.75" hidden="false" customHeight="true" outlineLevel="0" collapsed="false">
      <c r="A15" s="2" t="s">
        <v>51</v>
      </c>
      <c r="B15" s="89" t="s">
        <v>249</v>
      </c>
      <c r="C15" s="12" t="s">
        <v>16</v>
      </c>
      <c r="D15" s="12" t="s">
        <v>103</v>
      </c>
      <c r="E15" s="3" t="n">
        <v>2.6</v>
      </c>
      <c r="F15" s="12" t="n">
        <v>25</v>
      </c>
      <c r="G15" s="4" t="n">
        <f aca="false">F15*E15</f>
        <v>65</v>
      </c>
      <c r="H15" s="14" t="n">
        <v>45705</v>
      </c>
      <c r="I15" s="90"/>
      <c r="J15" s="6" t="n">
        <f aca="false">G15*4.35</f>
        <v>282.75</v>
      </c>
      <c r="L15" s="59"/>
      <c r="M15" s="84" t="s">
        <v>250</v>
      </c>
      <c r="N15" s="82"/>
    </row>
    <row r="16" customFormat="false" ht="24.75" hidden="false" customHeight="true" outlineLevel="0" collapsed="false">
      <c r="A16" s="2" t="s">
        <v>55</v>
      </c>
      <c r="B16" s="91" t="s">
        <v>251</v>
      </c>
      <c r="C16" s="29" t="s">
        <v>16</v>
      </c>
      <c r="D16" s="29" t="s">
        <v>252</v>
      </c>
      <c r="E16" s="92" t="n">
        <v>2.6</v>
      </c>
      <c r="F16" s="29" t="n">
        <v>25</v>
      </c>
      <c r="G16" s="93" t="n">
        <f aca="false">F16*E16</f>
        <v>65</v>
      </c>
      <c r="H16" s="32" t="n">
        <v>45705</v>
      </c>
      <c r="I16" s="90"/>
      <c r="J16" s="6" t="n">
        <f aca="false">G16*4.35</f>
        <v>282.75</v>
      </c>
      <c r="L16" s="59"/>
      <c r="M16" s="84" t="s">
        <v>253</v>
      </c>
      <c r="N16" s="82"/>
    </row>
    <row r="17" customFormat="false" ht="24.75" hidden="false" customHeight="true" outlineLevel="0" collapsed="false">
      <c r="A17" s="2" t="s">
        <v>57</v>
      </c>
      <c r="B17" s="89" t="s">
        <v>249</v>
      </c>
      <c r="C17" s="12" t="s">
        <v>16</v>
      </c>
      <c r="D17" s="12" t="s">
        <v>103</v>
      </c>
      <c r="E17" s="3" t="n">
        <v>2.6</v>
      </c>
      <c r="F17" s="12" t="n">
        <v>1000</v>
      </c>
      <c r="G17" s="4" t="n">
        <f aca="false">F17*E17</f>
        <v>2600</v>
      </c>
      <c r="H17" s="14" t="n">
        <v>45709</v>
      </c>
      <c r="I17" s="15"/>
      <c r="J17" s="6" t="n">
        <f aca="false">G17*4.35</f>
        <v>11310</v>
      </c>
      <c r="L17" s="59"/>
      <c r="M17" s="84" t="s">
        <v>254</v>
      </c>
      <c r="N17" s="82"/>
    </row>
    <row r="18" customFormat="false" ht="24.75" hidden="false" customHeight="true" outlineLevel="0" collapsed="false">
      <c r="A18" s="2" t="s">
        <v>59</v>
      </c>
      <c r="B18" s="94" t="s">
        <v>164</v>
      </c>
      <c r="C18" s="12" t="s">
        <v>165</v>
      </c>
      <c r="D18" s="94" t="s">
        <v>69</v>
      </c>
      <c r="E18" s="17" t="n">
        <v>8.1</v>
      </c>
      <c r="F18" s="12" t="n">
        <v>150</v>
      </c>
      <c r="G18" s="16" t="n">
        <f aca="false">F18*E18</f>
        <v>1215</v>
      </c>
      <c r="H18" s="14" t="n">
        <v>45705</v>
      </c>
      <c r="I18" s="15"/>
      <c r="J18" s="6" t="n">
        <f aca="false">G18</f>
        <v>1215</v>
      </c>
      <c r="L18" s="59"/>
      <c r="M18" s="84" t="s">
        <v>255</v>
      </c>
      <c r="N18" s="82"/>
    </row>
    <row r="19" customFormat="false" ht="24.75" hidden="false" customHeight="true" outlineLevel="0" collapsed="false">
      <c r="A19" s="2" t="s">
        <v>61</v>
      </c>
      <c r="B19" s="94" t="s">
        <v>256</v>
      </c>
      <c r="C19" s="12" t="s">
        <v>165</v>
      </c>
      <c r="D19" s="94" t="s">
        <v>69</v>
      </c>
      <c r="E19" s="17" t="n">
        <v>7.9</v>
      </c>
      <c r="F19" s="12" t="n">
        <v>150</v>
      </c>
      <c r="G19" s="16" t="n">
        <f aca="false">F19*E19</f>
        <v>1185</v>
      </c>
      <c r="H19" s="14" t="n">
        <v>45705</v>
      </c>
      <c r="I19" s="15"/>
      <c r="J19" s="6" t="n">
        <f aca="false">G19</f>
        <v>1185</v>
      </c>
      <c r="L19" s="59"/>
      <c r="M19" s="84" t="s">
        <v>255</v>
      </c>
      <c r="N19" s="82"/>
    </row>
    <row r="20" customFormat="false" ht="24.75" hidden="false" customHeight="true" outlineLevel="0" collapsed="false">
      <c r="A20" s="2" t="s">
        <v>63</v>
      </c>
      <c r="B20" s="12" t="s">
        <v>84</v>
      </c>
      <c r="C20" s="12" t="s">
        <v>85</v>
      </c>
      <c r="D20" s="12" t="s">
        <v>86</v>
      </c>
      <c r="E20" s="17" t="n">
        <v>4.6</v>
      </c>
      <c r="F20" s="12" t="n">
        <v>2000</v>
      </c>
      <c r="G20" s="16" t="n">
        <f aca="false">F20*E20</f>
        <v>9200</v>
      </c>
      <c r="H20" s="14" t="n">
        <v>45709</v>
      </c>
      <c r="I20" s="60" t="s">
        <v>87</v>
      </c>
      <c r="J20" s="17" t="n">
        <f aca="false">G20</f>
        <v>9200</v>
      </c>
      <c r="L20" s="59"/>
      <c r="M20" s="84" t="s">
        <v>196</v>
      </c>
      <c r="N20" s="85"/>
    </row>
    <row r="21" customFormat="false" ht="24.75" hidden="false" customHeight="true" outlineLevel="0" collapsed="false">
      <c r="A21" s="2" t="s">
        <v>67</v>
      </c>
      <c r="B21" s="12" t="s">
        <v>174</v>
      </c>
      <c r="C21" s="12" t="s">
        <v>23</v>
      </c>
      <c r="D21" s="12" t="s">
        <v>95</v>
      </c>
      <c r="E21" s="53" t="n">
        <v>3.03</v>
      </c>
      <c r="F21" s="12" t="n">
        <v>2000</v>
      </c>
      <c r="G21" s="52" t="n">
        <f aca="false">F21*E21</f>
        <v>6060</v>
      </c>
      <c r="H21" s="14" t="n">
        <v>45713</v>
      </c>
      <c r="I21" s="15"/>
      <c r="J21" s="17" t="n">
        <f aca="false">G21*4.35</f>
        <v>26361</v>
      </c>
      <c r="L21" s="59"/>
      <c r="M21" s="84" t="s">
        <v>203</v>
      </c>
      <c r="N21" s="82"/>
    </row>
    <row r="22" customFormat="false" ht="24.75" hidden="false" customHeight="true" outlineLevel="0" collapsed="false">
      <c r="A22" s="2" t="s">
        <v>70</v>
      </c>
      <c r="B22" s="2" t="s">
        <v>257</v>
      </c>
      <c r="C22" s="2" t="s">
        <v>258</v>
      </c>
      <c r="D22" s="2" t="s">
        <v>252</v>
      </c>
      <c r="E22" s="3" t="n">
        <v>2.48</v>
      </c>
      <c r="F22" s="2" t="n">
        <v>1375</v>
      </c>
      <c r="G22" s="4" t="n">
        <f aca="false">F22*E22</f>
        <v>3410</v>
      </c>
      <c r="H22" s="5" t="n">
        <v>45715</v>
      </c>
      <c r="J22" s="6" t="n">
        <f aca="false">G22*4.35</f>
        <v>14833.5</v>
      </c>
      <c r="L22" s="59"/>
      <c r="M22" s="84" t="s">
        <v>259</v>
      </c>
      <c r="N22" s="82"/>
    </row>
    <row r="23" customFormat="false" ht="15" hidden="false" customHeight="false" outlineLevel="0" collapsed="false">
      <c r="J23" s="25" t="n">
        <f aca="false">SUM(J4:J22)</f>
        <v>245766.65</v>
      </c>
      <c r="M23" s="95"/>
    </row>
    <row r="24" customFormat="false" ht="15" hidden="false" customHeight="false" outlineLevel="0" collapsed="false">
      <c r="J24" s="18"/>
      <c r="M24" s="95"/>
    </row>
    <row r="25" customFormat="false" ht="26.25" hidden="false" customHeight="true" outlineLevel="0" collapsed="false">
      <c r="A25" s="1" t="s">
        <v>210</v>
      </c>
      <c r="B25" s="1"/>
      <c r="C25" s="1"/>
      <c r="D25" s="1"/>
      <c r="E25" s="1"/>
      <c r="F25" s="1"/>
      <c r="G25" s="1"/>
      <c r="H25" s="1"/>
      <c r="M25" s="95"/>
    </row>
    <row r="26" customFormat="false" ht="30" hidden="false" customHeight="false" outlineLevel="0" collapsed="false">
      <c r="A26" s="2" t="s">
        <v>1</v>
      </c>
      <c r="B26" s="2" t="s">
        <v>2</v>
      </c>
      <c r="C26" s="2" t="s">
        <v>3</v>
      </c>
      <c r="D26" s="2" t="s">
        <v>4</v>
      </c>
      <c r="E26" s="2" t="s">
        <v>5</v>
      </c>
      <c r="F26" s="2" t="s">
        <v>6</v>
      </c>
      <c r="G26" s="2" t="s">
        <v>7</v>
      </c>
      <c r="H26" s="2" t="s">
        <v>8</v>
      </c>
      <c r="J26" s="2" t="s">
        <v>9</v>
      </c>
      <c r="M26" s="95"/>
    </row>
    <row r="27" customFormat="false" ht="15" hidden="false" customHeight="false" outlineLevel="0" collapsed="false">
      <c r="A27" s="12" t="s">
        <v>10</v>
      </c>
      <c r="B27" s="2" t="s">
        <v>260</v>
      </c>
      <c r="C27" s="2" t="s">
        <v>23</v>
      </c>
      <c r="D27" s="2" t="s">
        <v>215</v>
      </c>
      <c r="E27" s="67" t="n">
        <v>32.1</v>
      </c>
      <c r="F27" s="2" t="n">
        <v>25</v>
      </c>
      <c r="G27" s="96" t="n">
        <f aca="false">E27*F27</f>
        <v>802.5</v>
      </c>
      <c r="H27" s="5" t="n">
        <v>45698</v>
      </c>
      <c r="J27" s="6" t="n">
        <f aca="false">G27</f>
        <v>802.5</v>
      </c>
      <c r="L27" s="59"/>
      <c r="M27" s="84" t="s">
        <v>261</v>
      </c>
      <c r="N27" s="97" t="s">
        <v>262</v>
      </c>
    </row>
    <row r="28" customFormat="false" ht="15" hidden="false" customHeight="false" outlineLevel="0" collapsed="false">
      <c r="A28" s="12" t="s">
        <v>14</v>
      </c>
      <c r="B28" s="70" t="s">
        <v>263</v>
      </c>
      <c r="C28" s="2" t="s">
        <v>23</v>
      </c>
      <c r="D28" s="2" t="s">
        <v>215</v>
      </c>
      <c r="E28" s="67" t="n">
        <v>26.5</v>
      </c>
      <c r="F28" s="2" t="n">
        <v>25</v>
      </c>
      <c r="G28" s="96" t="n">
        <f aca="false">E28*F28</f>
        <v>662.5</v>
      </c>
      <c r="H28" s="5" t="n">
        <v>45698</v>
      </c>
      <c r="J28" s="6" t="n">
        <f aca="false">G28</f>
        <v>662.5</v>
      </c>
      <c r="L28" s="59"/>
      <c r="M28" s="84" t="s">
        <v>261</v>
      </c>
      <c r="N28" s="97" t="s">
        <v>262</v>
      </c>
    </row>
    <row r="29" customFormat="false" ht="15" hidden="false" customHeight="false" outlineLevel="0" collapsed="false">
      <c r="A29" s="12" t="s">
        <v>18</v>
      </c>
      <c r="B29" s="2" t="s">
        <v>264</v>
      </c>
      <c r="C29" s="2" t="s">
        <v>23</v>
      </c>
      <c r="D29" s="2" t="s">
        <v>215</v>
      </c>
      <c r="E29" s="67" t="n">
        <v>27.8</v>
      </c>
      <c r="F29" s="2" t="n">
        <v>25</v>
      </c>
      <c r="G29" s="96" t="n">
        <f aca="false">E29*F29</f>
        <v>695</v>
      </c>
      <c r="H29" s="5" t="n">
        <v>45698</v>
      </c>
      <c r="J29" s="6" t="n">
        <f aca="false">G29</f>
        <v>695</v>
      </c>
      <c r="L29" s="59"/>
      <c r="M29" s="84" t="s">
        <v>261</v>
      </c>
      <c r="N29" s="97" t="s">
        <v>262</v>
      </c>
    </row>
    <row r="30" customFormat="false" ht="15" hidden="false" customHeight="false" outlineLevel="0" collapsed="false">
      <c r="A30" s="12" t="s">
        <v>21</v>
      </c>
      <c r="B30" s="70" t="s">
        <v>265</v>
      </c>
      <c r="C30" s="2" t="s">
        <v>23</v>
      </c>
      <c r="D30" s="2" t="s">
        <v>215</v>
      </c>
      <c r="E30" s="6" t="n">
        <v>30</v>
      </c>
      <c r="F30" s="2" t="n">
        <v>25</v>
      </c>
      <c r="G30" s="96" t="n">
        <f aca="false">E30*F30</f>
        <v>750</v>
      </c>
      <c r="H30" s="74" t="n">
        <v>45691</v>
      </c>
      <c r="J30" s="6" t="n">
        <f aca="false">G30</f>
        <v>750</v>
      </c>
      <c r="L30" s="59"/>
      <c r="M30" s="84" t="s">
        <v>266</v>
      </c>
      <c r="N30" s="81"/>
    </row>
    <row r="31" customFormat="false" ht="15" hidden="false" customHeight="false" outlineLevel="0" collapsed="false">
      <c r="A31" s="12" t="s">
        <v>25</v>
      </c>
      <c r="B31" s="2" t="s">
        <v>267</v>
      </c>
      <c r="C31" s="2" t="s">
        <v>23</v>
      </c>
      <c r="D31" s="2" t="s">
        <v>215</v>
      </c>
      <c r="E31" s="3"/>
      <c r="F31" s="2" t="n">
        <v>25</v>
      </c>
      <c r="G31" s="96" t="n">
        <f aca="false">E31*F31</f>
        <v>0</v>
      </c>
      <c r="H31" s="5"/>
      <c r="J31" s="6" t="n">
        <f aca="false">G31</f>
        <v>0</v>
      </c>
      <c r="L31" s="59"/>
      <c r="M31" s="84" t="s">
        <v>268</v>
      </c>
      <c r="N31" s="81"/>
    </row>
    <row r="32" customFormat="false" ht="15" hidden="false" customHeight="false" outlineLevel="0" collapsed="false">
      <c r="A32" s="12" t="s">
        <v>30</v>
      </c>
      <c r="B32" s="70" t="s">
        <v>269</v>
      </c>
      <c r="C32" s="2" t="s">
        <v>23</v>
      </c>
      <c r="D32" s="2" t="s">
        <v>215</v>
      </c>
      <c r="E32" s="6"/>
      <c r="F32" s="2" t="n">
        <v>25</v>
      </c>
      <c r="G32" s="96" t="n">
        <f aca="false">E32*F32</f>
        <v>0</v>
      </c>
      <c r="H32" s="42"/>
      <c r="J32" s="6" t="n">
        <f aca="false">G32</f>
        <v>0</v>
      </c>
      <c r="L32" s="59"/>
      <c r="M32" s="84" t="s">
        <v>270</v>
      </c>
      <c r="N32" s="81"/>
    </row>
    <row r="33" customFormat="false" ht="15" hidden="false" customHeight="false" outlineLevel="0" collapsed="false">
      <c r="A33" s="12" t="s">
        <v>34</v>
      </c>
      <c r="B33" s="70" t="s">
        <v>224</v>
      </c>
      <c r="C33" s="2" t="s">
        <v>23</v>
      </c>
      <c r="D33" s="2" t="s">
        <v>212</v>
      </c>
      <c r="E33" s="3"/>
      <c r="F33" s="2" t="n">
        <v>25</v>
      </c>
      <c r="G33" s="96" t="n">
        <f aca="false">E33*F33</f>
        <v>0</v>
      </c>
      <c r="H33" s="5"/>
      <c r="J33" s="6" t="n">
        <f aca="false">G33</f>
        <v>0</v>
      </c>
      <c r="L33" s="59"/>
      <c r="M33" s="84" t="s">
        <v>271</v>
      </c>
      <c r="N33" s="97" t="s">
        <v>272</v>
      </c>
    </row>
    <row r="34" customFormat="false" ht="15" hidden="false" customHeight="false" outlineLevel="0" collapsed="false">
      <c r="A34" s="12" t="s">
        <v>39</v>
      </c>
      <c r="B34" s="70" t="s">
        <v>223</v>
      </c>
      <c r="C34" s="2" t="s">
        <v>23</v>
      </c>
      <c r="D34" s="2" t="s">
        <v>212</v>
      </c>
      <c r="E34" s="6"/>
      <c r="F34" s="2" t="n">
        <v>25</v>
      </c>
      <c r="G34" s="96" t="n">
        <f aca="false">E34*F34</f>
        <v>0</v>
      </c>
      <c r="H34" s="42"/>
      <c r="J34" s="6" t="n">
        <f aca="false">G34</f>
        <v>0</v>
      </c>
      <c r="L34" s="59"/>
      <c r="M34" s="84" t="s">
        <v>271</v>
      </c>
      <c r="N34" s="97" t="s">
        <v>272</v>
      </c>
    </row>
    <row r="35" customFormat="false" ht="15" hidden="false" customHeight="false" outlineLevel="0" collapsed="false">
      <c r="A35" s="12" t="s">
        <v>43</v>
      </c>
      <c r="B35" s="70" t="s">
        <v>220</v>
      </c>
      <c r="C35" s="2" t="s">
        <v>23</v>
      </c>
      <c r="D35" s="2" t="s">
        <v>212</v>
      </c>
      <c r="E35" s="3"/>
      <c r="F35" s="2" t="n">
        <v>25</v>
      </c>
      <c r="G35" s="96" t="n">
        <f aca="false">E35*F35</f>
        <v>0</v>
      </c>
      <c r="H35" s="5"/>
      <c r="J35" s="6" t="n">
        <f aca="false">G35</f>
        <v>0</v>
      </c>
      <c r="L35" s="59"/>
      <c r="M35" s="84" t="s">
        <v>271</v>
      </c>
      <c r="N35" s="97" t="s">
        <v>272</v>
      </c>
    </row>
    <row r="36" customFormat="false" ht="15" hidden="false" customHeight="false" outlineLevel="0" collapsed="false">
      <c r="A36" s="12" t="s">
        <v>45</v>
      </c>
      <c r="B36" s="70" t="n">
        <v>40614</v>
      </c>
      <c r="C36" s="2" t="s">
        <v>23</v>
      </c>
      <c r="D36" s="2" t="s">
        <v>212</v>
      </c>
      <c r="E36" s="6"/>
      <c r="F36" s="2" t="n">
        <v>25</v>
      </c>
      <c r="G36" s="96" t="n">
        <f aca="false">E36*F36</f>
        <v>0</v>
      </c>
      <c r="H36" s="42"/>
      <c r="J36" s="6" t="n">
        <f aca="false">G36</f>
        <v>0</v>
      </c>
      <c r="L36" s="59"/>
      <c r="M36" s="84" t="s">
        <v>273</v>
      </c>
      <c r="N36" s="97" t="s">
        <v>272</v>
      </c>
    </row>
    <row r="37" customFormat="false" ht="15" hidden="false" customHeight="false" outlineLevel="0" collapsed="false">
      <c r="A37" s="12" t="s">
        <v>48</v>
      </c>
      <c r="B37" s="70" t="n">
        <v>30634</v>
      </c>
      <c r="C37" s="2" t="s">
        <v>23</v>
      </c>
      <c r="D37" s="2" t="s">
        <v>212</v>
      </c>
      <c r="E37" s="6"/>
      <c r="F37" s="2" t="n">
        <v>25</v>
      </c>
      <c r="G37" s="96" t="n">
        <f aca="false">E37*F37</f>
        <v>0</v>
      </c>
      <c r="H37" s="42"/>
      <c r="J37" s="6" t="n">
        <f aca="false">G37</f>
        <v>0</v>
      </c>
      <c r="L37" s="59"/>
      <c r="M37" s="84" t="s">
        <v>273</v>
      </c>
      <c r="N37" s="97" t="s">
        <v>274</v>
      </c>
    </row>
    <row r="38" customFormat="false" ht="15" hidden="false" customHeight="false" outlineLevel="0" collapsed="false">
      <c r="A38" s="12" t="s">
        <v>51</v>
      </c>
      <c r="B38" s="2" t="s">
        <v>275</v>
      </c>
      <c r="C38" s="2" t="s">
        <v>168</v>
      </c>
      <c r="D38" s="2" t="s">
        <v>212</v>
      </c>
      <c r="E38" s="3"/>
      <c r="F38" s="2" t="n">
        <v>25</v>
      </c>
      <c r="G38" s="96" t="n">
        <f aca="false">E38*F38</f>
        <v>0</v>
      </c>
      <c r="H38" s="5"/>
      <c r="J38" s="6" t="n">
        <f aca="false">G38</f>
        <v>0</v>
      </c>
      <c r="L38" s="59"/>
      <c r="M38" s="84" t="s">
        <v>276</v>
      </c>
      <c r="N38" s="97" t="s">
        <v>277</v>
      </c>
    </row>
    <row r="39" customFormat="false" ht="15" hidden="false" customHeight="false" outlineLevel="0" collapsed="false">
      <c r="A39" s="12" t="s">
        <v>55</v>
      </c>
      <c r="B39" s="55" t="s">
        <v>278</v>
      </c>
      <c r="C39" s="12" t="s">
        <v>16</v>
      </c>
      <c r="D39" s="2" t="s">
        <v>215</v>
      </c>
      <c r="E39" s="17"/>
      <c r="F39" s="2" t="n">
        <v>25</v>
      </c>
      <c r="G39" s="96" t="n">
        <f aca="false">E39*F39</f>
        <v>0</v>
      </c>
      <c r="H39" s="14" t="n">
        <v>45708</v>
      </c>
      <c r="I39" s="15"/>
      <c r="J39" s="6" t="n">
        <f aca="false">G39</f>
        <v>0</v>
      </c>
      <c r="K39" s="15"/>
      <c r="L39" s="59"/>
      <c r="M39" s="84" t="s">
        <v>279</v>
      </c>
      <c r="N39" s="97"/>
    </row>
    <row r="40" customFormat="false" ht="15" hidden="false" customHeight="false" outlineLevel="0" collapsed="false">
      <c r="A40" s="12" t="s">
        <v>57</v>
      </c>
      <c r="B40" s="12" t="s">
        <v>280</v>
      </c>
      <c r="C40" s="12" t="s">
        <v>23</v>
      </c>
      <c r="D40" s="2" t="s">
        <v>215</v>
      </c>
      <c r="E40" s="13" t="n">
        <v>33</v>
      </c>
      <c r="F40" s="2" t="n">
        <v>25</v>
      </c>
      <c r="G40" s="96" t="s">
        <v>281</v>
      </c>
      <c r="H40" s="14" t="n">
        <v>45708</v>
      </c>
      <c r="I40" s="15"/>
      <c r="J40" s="6" t="str">
        <f aca="false">G40</f>
        <v> </v>
      </c>
      <c r="K40" s="15"/>
      <c r="L40" s="59"/>
      <c r="M40" s="84" t="s">
        <v>282</v>
      </c>
      <c r="N40" s="97"/>
    </row>
    <row r="41" customFormat="false" ht="15" hidden="false" customHeight="false" outlineLevel="0" collapsed="false">
      <c r="A41" s="12" t="s">
        <v>55</v>
      </c>
      <c r="B41" s="55" t="s">
        <v>283</v>
      </c>
      <c r="C41" s="12" t="s">
        <v>16</v>
      </c>
      <c r="D41" s="2" t="s">
        <v>215</v>
      </c>
      <c r="E41" s="17" t="n">
        <v>30.5</v>
      </c>
      <c r="F41" s="2" t="n">
        <v>25</v>
      </c>
      <c r="G41" s="96" t="n">
        <f aca="false">E41*F41</f>
        <v>762.5</v>
      </c>
      <c r="H41" s="14" t="n">
        <v>45700</v>
      </c>
      <c r="I41" s="15"/>
      <c r="J41" s="6" t="n">
        <f aca="false">G41</f>
        <v>762.5</v>
      </c>
      <c r="K41" s="15"/>
      <c r="L41" s="59"/>
      <c r="M41" s="84" t="s">
        <v>284</v>
      </c>
      <c r="N41" s="97" t="s">
        <v>277</v>
      </c>
    </row>
    <row r="42" customFormat="false" ht="15" hidden="false" customHeight="false" outlineLevel="0" collapsed="false">
      <c r="A42" s="12" t="s">
        <v>57</v>
      </c>
      <c r="B42" s="12" t="s">
        <v>285</v>
      </c>
      <c r="C42" s="12" t="s">
        <v>23</v>
      </c>
      <c r="D42" s="2" t="s">
        <v>215</v>
      </c>
      <c r="E42" s="17" t="n">
        <v>58.8</v>
      </c>
      <c r="F42" s="2" t="n">
        <v>25</v>
      </c>
      <c r="G42" s="96" t="n">
        <f aca="false">E42*F42</f>
        <v>1470</v>
      </c>
      <c r="H42" s="14" t="n">
        <v>45707</v>
      </c>
      <c r="I42" s="15"/>
      <c r="J42" s="6" t="n">
        <f aca="false">G42</f>
        <v>1470</v>
      </c>
      <c r="K42" s="15"/>
      <c r="L42" s="59"/>
      <c r="M42" s="84" t="s">
        <v>286</v>
      </c>
      <c r="N42" s="97"/>
    </row>
    <row r="43" customFormat="false" ht="15" hidden="false" customHeight="false" outlineLevel="0" collapsed="false">
      <c r="J43" s="25" t="n">
        <f aca="false">SUM(J27:J38)</f>
        <v>2910</v>
      </c>
    </row>
    <row r="47" customFormat="false" ht="15" hidden="false" customHeight="false" outlineLevel="0" collapsed="false">
      <c r="C47" s="40"/>
    </row>
  </sheetData>
  <mergeCells count="3">
    <mergeCell ref="A1:H1"/>
    <mergeCell ref="A2:H2"/>
    <mergeCell ref="A25:H2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8" activeCellId="0" sqref="B18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24.72"/>
    <col collapsed="false" customWidth="true" hidden="false" outlineLevel="0" max="4" min="3" style="0" width="15.71"/>
    <col collapsed="false" customWidth="true" hidden="false" outlineLevel="0" max="5" min="5" style="0" width="9.85"/>
    <col collapsed="false" customWidth="true" hidden="false" outlineLevel="0" max="6" min="6" style="0" width="6.71"/>
    <col collapsed="false" customWidth="true" hidden="false" outlineLevel="0" max="7" min="7" style="0" width="10.71"/>
    <col collapsed="false" customWidth="true" hidden="false" outlineLevel="0" max="8" min="8" style="0" width="8.71"/>
    <col collapsed="false" customWidth="true" hidden="false" outlineLevel="0" max="9" min="9" style="0" width="20.28"/>
    <col collapsed="false" customWidth="true" hidden="false" outlineLevel="0" max="10" min="10" style="0" width="16.71"/>
    <col collapsed="false" customWidth="true" hidden="false" outlineLevel="0" max="12" min="12" style="0" width="11.71"/>
    <col collapsed="false" customWidth="true" hidden="false" outlineLevel="0" max="13" min="13" style="0" width="16.43"/>
    <col collapsed="false" customWidth="true" hidden="false" outlineLevel="0" max="14" min="14" style="0" width="45.85"/>
  </cols>
  <sheetData>
    <row r="1" customFormat="false" ht="40.5" hidden="false" customHeight="true" outlineLevel="0" collapsed="false">
      <c r="A1" s="1" t="s">
        <v>287</v>
      </c>
      <c r="B1" s="1"/>
      <c r="C1" s="1"/>
      <c r="D1" s="1"/>
      <c r="E1" s="1"/>
      <c r="F1" s="1"/>
      <c r="G1" s="1"/>
      <c r="H1" s="1"/>
    </row>
    <row r="2" customFormat="false" ht="22.5" hidden="false" customHeight="true" outlineLevel="0" collapsed="false">
      <c r="A2" s="1" t="s">
        <v>189</v>
      </c>
      <c r="B2" s="1"/>
      <c r="C2" s="1"/>
      <c r="D2" s="1"/>
      <c r="E2" s="1"/>
      <c r="F2" s="1"/>
      <c r="G2" s="1"/>
      <c r="H2" s="1"/>
    </row>
    <row r="3" customFormat="false" ht="30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J3" s="2" t="s">
        <v>9</v>
      </c>
      <c r="L3" s="39" t="s">
        <v>190</v>
      </c>
      <c r="M3" s="2" t="s">
        <v>191</v>
      </c>
      <c r="N3" s="2" t="s">
        <v>234</v>
      </c>
    </row>
    <row r="4" customFormat="false" ht="24.75" hidden="false" customHeight="true" outlineLevel="0" collapsed="false">
      <c r="A4" s="2" t="s">
        <v>10</v>
      </c>
      <c r="B4" s="12" t="s">
        <v>116</v>
      </c>
      <c r="C4" s="12" t="s">
        <v>117</v>
      </c>
      <c r="D4" s="12" t="s">
        <v>137</v>
      </c>
      <c r="E4" s="17" t="n">
        <v>6</v>
      </c>
      <c r="F4" s="12" t="n">
        <v>3000</v>
      </c>
      <c r="G4" s="16" t="n">
        <f aca="false">F4*E4</f>
        <v>18000</v>
      </c>
      <c r="H4" s="14" t="n">
        <v>45720</v>
      </c>
      <c r="I4" s="37"/>
      <c r="J4" s="17" t="n">
        <f aca="false">G4</f>
        <v>18000</v>
      </c>
      <c r="L4" s="80"/>
      <c r="M4" s="81" t="s">
        <v>288</v>
      </c>
      <c r="N4" s="85" t="s">
        <v>289</v>
      </c>
    </row>
    <row r="5" customFormat="false" ht="24.75" hidden="false" customHeight="true" outlineLevel="0" collapsed="false">
      <c r="A5" s="2" t="s">
        <v>14</v>
      </c>
      <c r="B5" s="12" t="s">
        <v>19</v>
      </c>
      <c r="C5" s="12" t="s">
        <v>161</v>
      </c>
      <c r="D5" s="12" t="s">
        <v>69</v>
      </c>
      <c r="E5" s="17" t="n">
        <v>5.4</v>
      </c>
      <c r="F5" s="12" t="n">
        <v>1375</v>
      </c>
      <c r="G5" s="16" t="n">
        <f aca="false">F5*E5</f>
        <v>7425</v>
      </c>
      <c r="H5" s="14" t="n">
        <v>45721</v>
      </c>
      <c r="I5" s="37"/>
      <c r="J5" s="17" t="n">
        <f aca="false">G5</f>
        <v>7425</v>
      </c>
      <c r="L5" s="59"/>
      <c r="M5" s="81" t="s">
        <v>290</v>
      </c>
      <c r="N5" s="82"/>
    </row>
    <row r="6" customFormat="false" ht="24.75" hidden="false" customHeight="true" outlineLevel="0" collapsed="false">
      <c r="A6" s="12" t="s">
        <v>18</v>
      </c>
      <c r="B6" s="12" t="s">
        <v>40</v>
      </c>
      <c r="C6" s="12" t="s">
        <v>41</v>
      </c>
      <c r="D6" s="12" t="s">
        <v>69</v>
      </c>
      <c r="E6" s="17" t="n">
        <v>5.45</v>
      </c>
      <c r="F6" s="12" t="n">
        <v>1375</v>
      </c>
      <c r="G6" s="16" t="n">
        <f aca="false">F6*E6</f>
        <v>7493.75</v>
      </c>
      <c r="H6" s="14" t="n">
        <v>45721</v>
      </c>
      <c r="I6" s="37"/>
      <c r="J6" s="17" t="n">
        <f aca="false">G6*4.35</f>
        <v>32597.8125</v>
      </c>
      <c r="L6" s="59"/>
      <c r="M6" s="81" t="s">
        <v>290</v>
      </c>
      <c r="N6" s="82"/>
    </row>
    <row r="7" customFormat="false" ht="24.75" hidden="false" customHeight="true" outlineLevel="0" collapsed="false">
      <c r="A7" s="2" t="s">
        <v>21</v>
      </c>
      <c r="B7" s="12" t="s">
        <v>170</v>
      </c>
      <c r="C7" s="12" t="s">
        <v>65</v>
      </c>
      <c r="D7" s="12" t="s">
        <v>69</v>
      </c>
      <c r="E7" s="17" t="n">
        <v>5.85</v>
      </c>
      <c r="F7" s="12" t="n">
        <v>1375</v>
      </c>
      <c r="G7" s="16" t="n">
        <f aca="false">F7*E7</f>
        <v>8043.75</v>
      </c>
      <c r="H7" s="14" t="n">
        <v>45721</v>
      </c>
      <c r="I7" s="88"/>
      <c r="J7" s="17" t="n">
        <f aca="false">G7</f>
        <v>8043.75</v>
      </c>
      <c r="L7" s="59"/>
      <c r="M7" s="81" t="s">
        <v>291</v>
      </c>
      <c r="N7" s="82"/>
    </row>
    <row r="8" customFormat="false" ht="24.75" hidden="false" customHeight="true" outlineLevel="0" collapsed="false">
      <c r="A8" s="2" t="s">
        <v>25</v>
      </c>
      <c r="B8" s="2" t="s">
        <v>133</v>
      </c>
      <c r="C8" s="2" t="s">
        <v>106</v>
      </c>
      <c r="D8" s="2" t="s">
        <v>20</v>
      </c>
      <c r="E8" s="6" t="n">
        <v>13</v>
      </c>
      <c r="F8" s="2" t="n">
        <v>350</v>
      </c>
      <c r="G8" s="7" t="n">
        <f aca="false">F8*E8</f>
        <v>4550</v>
      </c>
      <c r="H8" s="5" t="n">
        <v>45726</v>
      </c>
      <c r="J8" s="6" t="n">
        <f aca="false">G8</f>
        <v>4550</v>
      </c>
      <c r="L8" s="80"/>
      <c r="M8" s="81" t="s">
        <v>292</v>
      </c>
      <c r="N8" s="82"/>
    </row>
    <row r="9" customFormat="false" ht="24.75" hidden="false" customHeight="true" outlineLevel="0" collapsed="false">
      <c r="A9" s="2" t="s">
        <v>30</v>
      </c>
      <c r="B9" s="12" t="s">
        <v>35</v>
      </c>
      <c r="C9" s="12" t="s">
        <v>92</v>
      </c>
      <c r="D9" s="12" t="s">
        <v>37</v>
      </c>
      <c r="E9" s="17" t="n">
        <v>4.5</v>
      </c>
      <c r="F9" s="12" t="n">
        <v>3000</v>
      </c>
      <c r="G9" s="16" t="n">
        <f aca="false">F9*E9</f>
        <v>13500</v>
      </c>
      <c r="H9" s="14" t="n">
        <v>45727</v>
      </c>
      <c r="I9" s="37"/>
      <c r="J9" s="17" t="n">
        <f aca="false">G9</f>
        <v>13500</v>
      </c>
      <c r="L9" s="59"/>
      <c r="M9" s="98" t="n">
        <v>45725</v>
      </c>
      <c r="N9" s="86"/>
    </row>
    <row r="10" customFormat="false" ht="24.75" hidden="false" customHeight="true" outlineLevel="0" collapsed="false">
      <c r="A10" s="12" t="s">
        <v>34</v>
      </c>
      <c r="B10" s="94" t="s">
        <v>144</v>
      </c>
      <c r="C10" s="12" t="s">
        <v>32</v>
      </c>
      <c r="D10" s="12" t="s">
        <v>157</v>
      </c>
      <c r="E10" s="13" t="n">
        <v>15.32</v>
      </c>
      <c r="F10" s="12" t="n">
        <v>125</v>
      </c>
      <c r="G10" s="52" t="n">
        <f aca="false">F10*E10</f>
        <v>1915</v>
      </c>
      <c r="H10" s="14" t="n">
        <v>45727</v>
      </c>
      <c r="I10" s="37"/>
      <c r="J10" s="17" t="n">
        <f aca="false">G10*4.35</f>
        <v>8330.25</v>
      </c>
      <c r="L10" s="59"/>
      <c r="M10" s="99" t="s">
        <v>293</v>
      </c>
      <c r="N10" s="86"/>
    </row>
    <row r="11" customFormat="false" ht="24.75" hidden="false" customHeight="true" outlineLevel="0" collapsed="false">
      <c r="A11" s="2" t="s">
        <v>39</v>
      </c>
      <c r="B11" s="12" t="s">
        <v>116</v>
      </c>
      <c r="C11" s="12" t="s">
        <v>117</v>
      </c>
      <c r="D11" s="12" t="s">
        <v>28</v>
      </c>
      <c r="E11" s="17" t="n">
        <v>6.25</v>
      </c>
      <c r="F11" s="55" t="n">
        <v>6000</v>
      </c>
      <c r="G11" s="16" t="n">
        <f aca="false">F11*E11</f>
        <v>37500</v>
      </c>
      <c r="H11" s="14" t="n">
        <v>45727</v>
      </c>
      <c r="I11" s="88"/>
      <c r="J11" s="17" t="n">
        <f aca="false">G11</f>
        <v>37500</v>
      </c>
      <c r="L11" s="59"/>
      <c r="M11" s="100" t="n">
        <v>45701</v>
      </c>
      <c r="N11" s="82"/>
    </row>
    <row r="12" customFormat="false" ht="24.75" hidden="false" customHeight="true" outlineLevel="0" collapsed="false">
      <c r="A12" s="2" t="s">
        <v>43</v>
      </c>
      <c r="B12" s="12"/>
      <c r="C12" s="12"/>
      <c r="D12" s="12"/>
      <c r="E12" s="17"/>
      <c r="F12" s="12"/>
      <c r="G12" s="16"/>
      <c r="H12" s="14"/>
      <c r="J12" s="6" t="n">
        <f aca="false">G12</f>
        <v>0</v>
      </c>
      <c r="L12" s="101"/>
      <c r="M12" s="102"/>
      <c r="N12" s="44"/>
    </row>
    <row r="13" customFormat="false" ht="24.75" hidden="false" customHeight="true" outlineLevel="0" collapsed="false">
      <c r="A13" s="2" t="s">
        <v>45</v>
      </c>
      <c r="B13" s="12"/>
      <c r="C13" s="12"/>
      <c r="D13" s="12"/>
      <c r="E13" s="17"/>
      <c r="F13" s="12"/>
      <c r="G13" s="16"/>
      <c r="H13" s="14"/>
      <c r="I13" s="20"/>
      <c r="J13" s="6" t="n">
        <f aca="false">G13</f>
        <v>0</v>
      </c>
      <c r="L13" s="101"/>
      <c r="M13" s="102"/>
      <c r="N13" s="44"/>
    </row>
    <row r="14" customFormat="false" ht="24.75" hidden="false" customHeight="true" outlineLevel="0" collapsed="false">
      <c r="A14" s="12" t="s">
        <v>48</v>
      </c>
      <c r="B14" s="12"/>
      <c r="C14" s="12"/>
      <c r="D14" s="12"/>
      <c r="E14" s="53"/>
      <c r="F14" s="12"/>
      <c r="G14" s="16"/>
      <c r="H14" s="14"/>
      <c r="J14" s="6" t="n">
        <f aca="false">G14</f>
        <v>0</v>
      </c>
      <c r="L14" s="101"/>
      <c r="M14" s="102"/>
      <c r="N14" s="44"/>
    </row>
    <row r="15" customFormat="false" ht="24.75" hidden="false" customHeight="true" outlineLevel="0" collapsed="false">
      <c r="A15" s="2" t="s">
        <v>51</v>
      </c>
      <c r="B15" s="12" t="s">
        <v>100</v>
      </c>
      <c r="C15" s="12" t="s">
        <v>101</v>
      </c>
      <c r="D15" s="12" t="s">
        <v>28</v>
      </c>
      <c r="E15" s="17" t="n">
        <v>3.5</v>
      </c>
      <c r="F15" s="12" t="n">
        <v>2000</v>
      </c>
      <c r="G15" s="16" t="n">
        <f aca="false">F15*E15</f>
        <v>7000</v>
      </c>
      <c r="H15" s="14" t="n">
        <v>45737</v>
      </c>
      <c r="I15" s="51"/>
      <c r="J15" s="17" t="n">
        <f aca="false">G15</f>
        <v>7000</v>
      </c>
      <c r="L15" s="59"/>
      <c r="M15" s="81"/>
      <c r="N15" s="82"/>
    </row>
    <row r="16" customFormat="false" ht="24.75" hidden="false" customHeight="true" outlineLevel="0" collapsed="false">
      <c r="A16" s="2" t="s">
        <v>55</v>
      </c>
      <c r="B16" s="103" t="s">
        <v>11</v>
      </c>
      <c r="C16" s="2" t="s">
        <v>12</v>
      </c>
      <c r="D16" s="2" t="s">
        <v>13</v>
      </c>
      <c r="E16" s="3" t="n">
        <v>2</v>
      </c>
      <c r="F16" s="2" t="n">
        <v>2500</v>
      </c>
      <c r="G16" s="4" t="n">
        <f aca="false">F16*E16</f>
        <v>5000</v>
      </c>
      <c r="H16" s="5" t="n">
        <v>45737</v>
      </c>
      <c r="I16" s="19" t="s">
        <v>72</v>
      </c>
      <c r="J16" s="6" t="n">
        <f aca="false">G16*4.35</f>
        <v>21750</v>
      </c>
      <c r="L16" s="59"/>
      <c r="M16" s="81" t="n">
        <v>25002527</v>
      </c>
      <c r="N16" s="82"/>
    </row>
    <row r="17" customFormat="false" ht="24.75" hidden="false" customHeight="true" outlineLevel="0" collapsed="false">
      <c r="A17" s="2" t="s">
        <v>57</v>
      </c>
      <c r="B17" s="12" t="s">
        <v>35</v>
      </c>
      <c r="C17" s="12" t="s">
        <v>92</v>
      </c>
      <c r="D17" s="12" t="s">
        <v>37</v>
      </c>
      <c r="E17" s="17" t="n">
        <v>4.5</v>
      </c>
      <c r="F17" s="12" t="n">
        <v>3000</v>
      </c>
      <c r="G17" s="16" t="n">
        <f aca="false">F17*E17</f>
        <v>13500</v>
      </c>
      <c r="H17" s="14" t="n">
        <v>45737</v>
      </c>
      <c r="I17" s="37"/>
      <c r="J17" s="17" t="n">
        <f aca="false">G17</f>
        <v>13500</v>
      </c>
      <c r="L17" s="59"/>
      <c r="M17" s="100" t="n">
        <v>45723</v>
      </c>
      <c r="N17" s="82"/>
    </row>
    <row r="18" customFormat="false" ht="32.25" hidden="false" customHeight="true" outlineLevel="0" collapsed="false">
      <c r="A18" s="12" t="s">
        <v>59</v>
      </c>
      <c r="B18" s="12" t="s">
        <v>116</v>
      </c>
      <c r="C18" s="12" t="s">
        <v>117</v>
      </c>
      <c r="D18" s="12" t="s">
        <v>137</v>
      </c>
      <c r="E18" s="17" t="n">
        <v>6</v>
      </c>
      <c r="F18" s="12" t="n">
        <v>3000</v>
      </c>
      <c r="G18" s="16" t="n">
        <f aca="false">F18*E18</f>
        <v>18000</v>
      </c>
      <c r="H18" s="14" t="n">
        <v>45740</v>
      </c>
      <c r="I18" s="37"/>
      <c r="J18" s="17" t="n">
        <f aca="false">G18</f>
        <v>18000</v>
      </c>
      <c r="L18" s="59"/>
      <c r="M18" s="81" t="s">
        <v>294</v>
      </c>
      <c r="N18" s="85" t="s">
        <v>295</v>
      </c>
    </row>
    <row r="19" customFormat="false" ht="24.75" hidden="false" customHeight="true" outlineLevel="0" collapsed="false">
      <c r="A19" s="2" t="s">
        <v>61</v>
      </c>
      <c r="B19" s="2" t="s">
        <v>84</v>
      </c>
      <c r="C19" s="2" t="s">
        <v>85</v>
      </c>
      <c r="D19" s="2" t="s">
        <v>86</v>
      </c>
      <c r="E19" s="6" t="n">
        <v>4.6</v>
      </c>
      <c r="F19" s="2" t="n">
        <v>2000</v>
      </c>
      <c r="G19" s="7" t="n">
        <v>9200</v>
      </c>
      <c r="H19" s="5" t="n">
        <v>45741</v>
      </c>
      <c r="I19" s="19" t="s">
        <v>296</v>
      </c>
      <c r="J19" s="6" t="n">
        <v>9200</v>
      </c>
      <c r="L19" s="104"/>
      <c r="M19" s="105" t="s">
        <v>297</v>
      </c>
      <c r="N19" s="85"/>
    </row>
    <row r="20" customFormat="false" ht="15" hidden="false" customHeight="false" outlineLevel="0" collapsed="false">
      <c r="J20" s="25" t="n">
        <f aca="false">SUM(J4:J19)</f>
        <v>199396.8125</v>
      </c>
    </row>
    <row r="21" customFormat="false" ht="15" hidden="false" customHeight="false" outlineLevel="0" collapsed="false">
      <c r="J21" s="18"/>
    </row>
    <row r="22" customFormat="false" ht="26.25" hidden="false" customHeight="true" outlineLevel="0" collapsed="false">
      <c r="A22" s="1" t="s">
        <v>210</v>
      </c>
      <c r="B22" s="1"/>
      <c r="C22" s="1"/>
      <c r="D22" s="1"/>
      <c r="E22" s="1"/>
      <c r="F22" s="1"/>
      <c r="G22" s="1"/>
      <c r="H22" s="1"/>
    </row>
    <row r="23" customFormat="false" ht="30" hidden="false" customHeight="false" outlineLevel="0" collapsed="false">
      <c r="A23" s="2" t="s">
        <v>1</v>
      </c>
      <c r="B23" s="2" t="s">
        <v>2</v>
      </c>
      <c r="C23" s="2" t="s">
        <v>3</v>
      </c>
      <c r="D23" s="2" t="s">
        <v>4</v>
      </c>
      <c r="E23" s="2" t="s">
        <v>5</v>
      </c>
      <c r="F23" s="2" t="s">
        <v>6</v>
      </c>
      <c r="G23" s="2" t="s">
        <v>7</v>
      </c>
      <c r="H23" s="2" t="s">
        <v>8</v>
      </c>
      <c r="J23" s="2" t="s">
        <v>9</v>
      </c>
    </row>
    <row r="24" customFormat="false" ht="15" hidden="false" customHeight="false" outlineLevel="0" collapsed="false">
      <c r="A24" s="12" t="s">
        <v>10</v>
      </c>
      <c r="B24" s="2" t="s">
        <v>228</v>
      </c>
      <c r="C24" s="2" t="s">
        <v>298</v>
      </c>
      <c r="D24" s="2" t="s">
        <v>299</v>
      </c>
      <c r="E24" s="67" t="s">
        <v>298</v>
      </c>
      <c r="F24" s="2" t="s">
        <v>300</v>
      </c>
      <c r="G24" s="96" t="s">
        <v>298</v>
      </c>
      <c r="H24" s="5" t="s">
        <v>298</v>
      </c>
      <c r="J24" s="6" t="str">
        <f aca="false">G24</f>
        <v>?</v>
      </c>
      <c r="L24" s="59"/>
      <c r="M24" s="81" t="n">
        <v>90250688</v>
      </c>
      <c r="N24" s="97" t="s">
        <v>301</v>
      </c>
    </row>
    <row r="25" customFormat="false" ht="15" hidden="false" customHeight="false" outlineLevel="0" collapsed="false">
      <c r="A25" s="12" t="s">
        <v>14</v>
      </c>
      <c r="B25" s="70" t="s">
        <v>302</v>
      </c>
      <c r="C25" s="2" t="s">
        <v>23</v>
      </c>
      <c r="D25" s="2" t="s">
        <v>212</v>
      </c>
      <c r="E25" s="67"/>
      <c r="F25" s="2" t="s">
        <v>300</v>
      </c>
      <c r="G25" s="96"/>
      <c r="H25" s="5" t="n">
        <v>45735</v>
      </c>
      <c r="J25" s="6" t="n">
        <f aca="false">G25</f>
        <v>0</v>
      </c>
      <c r="L25" s="59"/>
      <c r="M25" s="81" t="s">
        <v>303</v>
      </c>
      <c r="N25" s="81"/>
    </row>
    <row r="26" customFormat="false" ht="15" hidden="false" customHeight="false" outlineLevel="0" collapsed="false">
      <c r="A26" s="12" t="s">
        <v>18</v>
      </c>
      <c r="B26" s="2" t="s">
        <v>304</v>
      </c>
      <c r="C26" s="2" t="s">
        <v>23</v>
      </c>
      <c r="D26" s="2" t="s">
        <v>212</v>
      </c>
      <c r="E26" s="67"/>
      <c r="F26" s="2" t="s">
        <v>300</v>
      </c>
      <c r="G26" s="96"/>
      <c r="H26" s="5" t="n">
        <v>45735</v>
      </c>
      <c r="J26" s="6" t="n">
        <f aca="false">G26</f>
        <v>0</v>
      </c>
      <c r="L26" s="59"/>
      <c r="M26" s="81" t="s">
        <v>303</v>
      </c>
      <c r="N26" s="81"/>
    </row>
    <row r="27" customFormat="false" ht="15" hidden="false" customHeight="false" outlineLevel="0" collapsed="false">
      <c r="A27" s="12" t="s">
        <v>21</v>
      </c>
      <c r="B27" s="70" t="s">
        <v>305</v>
      </c>
      <c r="C27" s="2" t="s">
        <v>23</v>
      </c>
      <c r="D27" s="2" t="s">
        <v>306</v>
      </c>
      <c r="E27" s="6"/>
      <c r="F27" s="2" t="s">
        <v>300</v>
      </c>
      <c r="G27" s="96"/>
      <c r="H27" s="74" t="s">
        <v>298</v>
      </c>
      <c r="J27" s="6" t="n">
        <f aca="false">G27</f>
        <v>0</v>
      </c>
      <c r="L27" s="101"/>
      <c r="M27" s="102" t="s">
        <v>307</v>
      </c>
      <c r="N27" s="102"/>
    </row>
    <row r="28" customFormat="false" ht="15" hidden="false" customHeight="false" outlineLevel="0" collapsed="false">
      <c r="A28" s="12" t="s">
        <v>25</v>
      </c>
      <c r="B28" s="2" t="s">
        <v>308</v>
      </c>
      <c r="C28" s="2" t="s">
        <v>12</v>
      </c>
      <c r="D28" s="2" t="s">
        <v>212</v>
      </c>
      <c r="E28" s="3"/>
      <c r="F28" s="2" t="s">
        <v>300</v>
      </c>
      <c r="G28" s="4"/>
      <c r="H28" s="5"/>
      <c r="J28" s="6" t="n">
        <f aca="false">G28*4.35</f>
        <v>0</v>
      </c>
      <c r="L28" s="59"/>
      <c r="M28" s="81" t="s">
        <v>309</v>
      </c>
      <c r="N28" s="81"/>
    </row>
    <row r="29" customFormat="false" ht="15" hidden="false" customHeight="false" outlineLevel="0" collapsed="false">
      <c r="A29" s="12" t="s">
        <v>30</v>
      </c>
      <c r="B29" s="70" t="s">
        <v>310</v>
      </c>
      <c r="C29" s="2" t="s">
        <v>12</v>
      </c>
      <c r="D29" s="2" t="s">
        <v>212</v>
      </c>
      <c r="E29" s="6"/>
      <c r="F29" s="2" t="s">
        <v>300</v>
      </c>
      <c r="G29" s="7"/>
      <c r="H29" s="42"/>
      <c r="J29" s="6" t="n">
        <f aca="false">G29*4.35</f>
        <v>0</v>
      </c>
      <c r="L29" s="59"/>
      <c r="M29" s="81" t="s">
        <v>309</v>
      </c>
      <c r="N29" s="81"/>
    </row>
    <row r="30" customFormat="false" ht="15" hidden="false" customHeight="false" outlineLevel="0" collapsed="false">
      <c r="A30" s="12" t="s">
        <v>34</v>
      </c>
      <c r="B30" s="70" t="s">
        <v>311</v>
      </c>
      <c r="C30" s="2" t="s">
        <v>12</v>
      </c>
      <c r="D30" s="2" t="s">
        <v>212</v>
      </c>
      <c r="E30" s="3"/>
      <c r="F30" s="2" t="s">
        <v>312</v>
      </c>
      <c r="G30" s="4"/>
      <c r="H30" s="5"/>
      <c r="J30" s="6" t="n">
        <f aca="false">G30*4.35</f>
        <v>0</v>
      </c>
      <c r="L30" s="59"/>
      <c r="M30" s="81" t="s">
        <v>313</v>
      </c>
      <c r="N30" s="97"/>
    </row>
    <row r="31" customFormat="false" ht="15" hidden="false" customHeight="false" outlineLevel="0" collapsed="false">
      <c r="A31" s="12" t="s">
        <v>39</v>
      </c>
      <c r="B31" s="70" t="s">
        <v>314</v>
      </c>
      <c r="C31" s="2" t="s">
        <v>23</v>
      </c>
      <c r="D31" s="2" t="s">
        <v>306</v>
      </c>
      <c r="E31" s="6"/>
      <c r="F31" s="2" t="s">
        <v>315</v>
      </c>
      <c r="G31" s="7"/>
      <c r="H31" s="42"/>
      <c r="J31" s="6" t="n">
        <f aca="false">G31*4.35</f>
        <v>0</v>
      </c>
      <c r="L31" s="59"/>
      <c r="M31" s="81" t="s">
        <v>316</v>
      </c>
      <c r="N31" s="97"/>
    </row>
    <row r="32" customFormat="false" ht="15" hidden="false" customHeight="false" outlineLevel="0" collapsed="false">
      <c r="A32" s="12" t="s">
        <v>43</v>
      </c>
      <c r="B32" s="70" t="s">
        <v>317</v>
      </c>
      <c r="C32" s="2" t="s">
        <v>23</v>
      </c>
      <c r="D32" s="2" t="s">
        <v>306</v>
      </c>
      <c r="E32" s="3"/>
      <c r="F32" s="2" t="s">
        <v>315</v>
      </c>
      <c r="G32" s="4"/>
      <c r="H32" s="5"/>
      <c r="J32" s="6" t="n">
        <f aca="false">G32*4.35</f>
        <v>0</v>
      </c>
      <c r="L32" s="59"/>
      <c r="M32" s="81" t="s">
        <v>318</v>
      </c>
      <c r="N32" s="97"/>
    </row>
    <row r="33" customFormat="false" ht="15" hidden="false" customHeight="false" outlineLevel="0" collapsed="false">
      <c r="A33" s="12" t="s">
        <v>45</v>
      </c>
      <c r="B33" s="70" t="s">
        <v>319</v>
      </c>
      <c r="C33" s="2"/>
      <c r="D33" s="2" t="s">
        <v>299</v>
      </c>
      <c r="E33" s="6"/>
      <c r="F33" s="2" t="s">
        <v>320</v>
      </c>
      <c r="G33" s="7"/>
      <c r="H33" s="42"/>
      <c r="J33" s="6" t="n">
        <f aca="false">G33*4.35</f>
        <v>0</v>
      </c>
      <c r="L33" s="59"/>
      <c r="M33" s="81" t="n">
        <v>90250703</v>
      </c>
      <c r="N33" s="97"/>
    </row>
    <row r="34" customFormat="false" ht="15" hidden="false" customHeight="false" outlineLevel="0" collapsed="false">
      <c r="A34" s="12" t="s">
        <v>48</v>
      </c>
      <c r="B34" s="70" t="s">
        <v>321</v>
      </c>
      <c r="C34" s="2" t="s">
        <v>23</v>
      </c>
      <c r="D34" s="2" t="s">
        <v>306</v>
      </c>
      <c r="E34" s="6"/>
      <c r="F34" s="2" t="s">
        <v>315</v>
      </c>
      <c r="G34" s="7"/>
      <c r="H34" s="42"/>
      <c r="J34" s="6"/>
      <c r="L34" s="59"/>
      <c r="M34" s="81" t="s">
        <v>322</v>
      </c>
      <c r="N34" s="97"/>
    </row>
    <row r="35" customFormat="false" ht="15" hidden="false" customHeight="false" outlineLevel="0" collapsed="false">
      <c r="A35" s="12" t="s">
        <v>51</v>
      </c>
      <c r="B35" s="0" t="s">
        <v>323</v>
      </c>
      <c r="C35" s="2" t="s">
        <v>23</v>
      </c>
      <c r="D35" s="2" t="s">
        <v>306</v>
      </c>
      <c r="E35" s="6"/>
      <c r="F35" s="2" t="s">
        <v>315</v>
      </c>
      <c r="G35" s="7"/>
      <c r="H35" s="42"/>
      <c r="J35" s="6"/>
      <c r="L35" s="59"/>
      <c r="M35" s="81" t="s">
        <v>324</v>
      </c>
      <c r="N35" s="97"/>
    </row>
    <row r="36" customFormat="false" ht="15" hidden="false" customHeight="false" outlineLevel="0" collapsed="false">
      <c r="A36" s="12" t="s">
        <v>57</v>
      </c>
      <c r="B36" s="2" t="s">
        <v>325</v>
      </c>
      <c r="C36" s="2" t="s">
        <v>23</v>
      </c>
      <c r="D36" s="2" t="s">
        <v>306</v>
      </c>
      <c r="E36" s="3"/>
      <c r="F36" s="2" t="s">
        <v>315</v>
      </c>
      <c r="G36" s="4"/>
      <c r="H36" s="5"/>
      <c r="J36" s="6" t="n">
        <f aca="false">G36*4.35</f>
        <v>0</v>
      </c>
      <c r="L36" s="59"/>
      <c r="M36" s="81" t="s">
        <v>322</v>
      </c>
      <c r="N36" s="97"/>
    </row>
    <row r="37" customFormat="false" ht="15" hidden="false" customHeight="false" outlineLevel="0" collapsed="false">
      <c r="J37" s="25" t="n">
        <f aca="false">SUM(J24:J36)</f>
        <v>0</v>
      </c>
    </row>
    <row r="41" customFormat="false" ht="15" hidden="false" customHeight="false" outlineLevel="0" collapsed="false">
      <c r="C41" s="40"/>
    </row>
  </sheetData>
  <mergeCells count="3">
    <mergeCell ref="A1:H1"/>
    <mergeCell ref="A2:H2"/>
    <mergeCell ref="A22:H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24.72"/>
    <col collapsed="false" customWidth="true" hidden="false" outlineLevel="0" max="4" min="3" style="0" width="15.71"/>
    <col collapsed="false" customWidth="true" hidden="false" outlineLevel="0" max="5" min="5" style="0" width="9.85"/>
    <col collapsed="false" customWidth="true" hidden="false" outlineLevel="0" max="6" min="6" style="0" width="6.71"/>
    <col collapsed="false" customWidth="true" hidden="false" outlineLevel="0" max="7" min="7" style="0" width="10.71"/>
    <col collapsed="false" customWidth="true" hidden="false" outlineLevel="0" max="8" min="8" style="0" width="8.71"/>
    <col collapsed="false" customWidth="true" hidden="false" outlineLevel="0" max="9" min="9" style="0" width="20.28"/>
    <col collapsed="false" customWidth="true" hidden="false" outlineLevel="0" max="10" min="10" style="0" width="16.71"/>
    <col collapsed="false" customWidth="true" hidden="false" outlineLevel="0" max="12" min="12" style="0" width="11.71"/>
    <col collapsed="false" customWidth="true" hidden="false" outlineLevel="0" max="13" min="13" style="0" width="16.43"/>
    <col collapsed="false" customWidth="true" hidden="false" outlineLevel="0" max="14" min="14" style="0" width="45.85"/>
  </cols>
  <sheetData>
    <row r="1" customFormat="false" ht="40.5" hidden="false" customHeight="true" outlineLevel="0" collapsed="false">
      <c r="A1" s="1" t="s">
        <v>326</v>
      </c>
      <c r="B1" s="1"/>
      <c r="C1" s="1"/>
      <c r="D1" s="1"/>
      <c r="E1" s="1"/>
      <c r="F1" s="1"/>
      <c r="G1" s="1"/>
      <c r="H1" s="1"/>
    </row>
    <row r="2" customFormat="false" ht="22.5" hidden="false" customHeight="true" outlineLevel="0" collapsed="false">
      <c r="A2" s="1" t="s">
        <v>189</v>
      </c>
      <c r="B2" s="1"/>
      <c r="C2" s="1"/>
      <c r="D2" s="1"/>
      <c r="E2" s="1"/>
      <c r="F2" s="1"/>
      <c r="G2" s="1"/>
      <c r="H2" s="1"/>
    </row>
    <row r="3" customFormat="false" ht="30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J3" s="2" t="s">
        <v>9</v>
      </c>
      <c r="L3" s="39" t="s">
        <v>190</v>
      </c>
      <c r="M3" s="2" t="s">
        <v>191</v>
      </c>
      <c r="N3" s="2" t="s">
        <v>234</v>
      </c>
    </row>
    <row r="4" customFormat="false" ht="30" hidden="false" customHeight="true" outlineLevel="0" collapsed="false">
      <c r="A4" s="2" t="s">
        <v>10</v>
      </c>
      <c r="B4" s="12" t="s">
        <v>194</v>
      </c>
      <c r="C4" s="12" t="s">
        <v>41</v>
      </c>
      <c r="D4" s="12" t="s">
        <v>13</v>
      </c>
      <c r="E4" s="13" t="n">
        <v>1.48</v>
      </c>
      <c r="F4" s="12" t="n">
        <v>1375</v>
      </c>
      <c r="G4" s="52" t="n">
        <f aca="false">F4*E4</f>
        <v>2035</v>
      </c>
      <c r="H4" s="14" t="n">
        <v>45751</v>
      </c>
      <c r="I4" s="19"/>
      <c r="J4" s="6" t="n">
        <f aca="false">G4*4.35</f>
        <v>8852.25</v>
      </c>
      <c r="L4" s="81"/>
      <c r="M4" s="106" t="n">
        <v>25003064</v>
      </c>
      <c r="N4" s="81"/>
    </row>
    <row r="5" customFormat="false" ht="24.75" hidden="false" customHeight="true" outlineLevel="0" collapsed="false">
      <c r="A5" s="2" t="s">
        <v>14</v>
      </c>
      <c r="B5" s="12" t="s">
        <v>49</v>
      </c>
      <c r="C5" s="94" t="s">
        <v>327</v>
      </c>
      <c r="D5" s="12" t="s">
        <v>13</v>
      </c>
      <c r="E5" s="13" t="n">
        <v>1.85</v>
      </c>
      <c r="F5" s="12" t="n">
        <v>1250</v>
      </c>
      <c r="G5" s="52" t="n">
        <f aca="false">F5*E5</f>
        <v>2312.5</v>
      </c>
      <c r="H5" s="14" t="n">
        <v>45752</v>
      </c>
      <c r="J5" s="6" t="n">
        <f aca="false">G5*4.35</f>
        <v>10059.375</v>
      </c>
      <c r="L5" s="59"/>
      <c r="M5" s="106" t="n">
        <v>25003041</v>
      </c>
      <c r="N5" s="82"/>
    </row>
    <row r="6" customFormat="false" ht="24.75" hidden="false" customHeight="true" outlineLevel="0" collapsed="false">
      <c r="A6" s="12" t="s">
        <v>18</v>
      </c>
      <c r="B6" s="12" t="s">
        <v>118</v>
      </c>
      <c r="C6" s="12" t="s">
        <v>119</v>
      </c>
      <c r="D6" s="12" t="s">
        <v>54</v>
      </c>
      <c r="E6" s="17" t="n">
        <v>6.5</v>
      </c>
      <c r="F6" s="12" t="n">
        <v>1000</v>
      </c>
      <c r="G6" s="16" t="n">
        <f aca="false">F6*E6</f>
        <v>6500</v>
      </c>
      <c r="H6" s="14" t="n">
        <v>45758</v>
      </c>
      <c r="J6" s="6" t="n">
        <f aca="false">G6</f>
        <v>6500</v>
      </c>
      <c r="L6" s="81"/>
      <c r="M6" s="106" t="s">
        <v>328</v>
      </c>
      <c r="N6" s="81"/>
    </row>
    <row r="7" customFormat="false" ht="24.75" hidden="false" customHeight="true" outlineLevel="0" collapsed="false">
      <c r="A7" s="2" t="s">
        <v>21</v>
      </c>
      <c r="B7" s="12" t="s">
        <v>246</v>
      </c>
      <c r="C7" s="12" t="s">
        <v>16</v>
      </c>
      <c r="D7" s="89" t="s">
        <v>149</v>
      </c>
      <c r="E7" s="17" t="n">
        <v>11.1</v>
      </c>
      <c r="F7" s="12" t="n">
        <v>500</v>
      </c>
      <c r="G7" s="16" t="n">
        <f aca="false">F7*E7</f>
        <v>5550</v>
      </c>
      <c r="H7" s="14" t="n">
        <v>45756</v>
      </c>
      <c r="I7" s="60"/>
      <c r="J7" s="6" t="n">
        <f aca="false">G7</f>
        <v>5550</v>
      </c>
      <c r="L7" s="59"/>
      <c r="M7" s="106" t="s">
        <v>329</v>
      </c>
      <c r="N7" s="82"/>
    </row>
    <row r="8" customFormat="false" ht="24.75" hidden="false" customHeight="true" outlineLevel="0" collapsed="false">
      <c r="A8" s="2" t="s">
        <v>25</v>
      </c>
      <c r="B8" s="89" t="s">
        <v>249</v>
      </c>
      <c r="C8" s="12" t="s">
        <v>16</v>
      </c>
      <c r="D8" s="12" t="s">
        <v>103</v>
      </c>
      <c r="E8" s="13" t="n">
        <v>2.6</v>
      </c>
      <c r="F8" s="12" t="n">
        <v>1000</v>
      </c>
      <c r="G8" s="52" t="n">
        <f aca="false">F8*E8</f>
        <v>2600</v>
      </c>
      <c r="H8" s="14" t="n">
        <v>45762</v>
      </c>
      <c r="I8" s="15"/>
      <c r="J8" s="6" t="n">
        <f aca="false">G8*4.35</f>
        <v>11310</v>
      </c>
      <c r="L8" s="80"/>
      <c r="M8" s="106" t="n">
        <v>25003257</v>
      </c>
      <c r="N8" s="82"/>
    </row>
    <row r="9" customFormat="false" ht="24.75" hidden="false" customHeight="true" outlineLevel="0" collapsed="false">
      <c r="A9" s="12" t="s">
        <v>30</v>
      </c>
      <c r="B9" s="2" t="s">
        <v>163</v>
      </c>
      <c r="C9" s="2" t="s">
        <v>65</v>
      </c>
      <c r="D9" s="2" t="s">
        <v>121</v>
      </c>
      <c r="E9" s="3" t="n">
        <v>2.75</v>
      </c>
      <c r="F9" s="2" t="n">
        <v>1000</v>
      </c>
      <c r="G9" s="4" t="n">
        <f aca="false">F9*E9</f>
        <v>2750</v>
      </c>
      <c r="H9" s="5" t="n">
        <v>45762</v>
      </c>
      <c r="I9" s="19"/>
      <c r="J9" s="6" t="n">
        <f aca="false">G9*4.35</f>
        <v>11962.5</v>
      </c>
      <c r="L9" s="59"/>
      <c r="M9" s="99" t="n">
        <v>1286751</v>
      </c>
      <c r="N9" s="86"/>
    </row>
    <row r="10" customFormat="false" ht="24.75" hidden="false" customHeight="true" outlineLevel="0" collapsed="false">
      <c r="A10" s="2" t="s">
        <v>34</v>
      </c>
      <c r="B10" s="12" t="s">
        <v>201</v>
      </c>
      <c r="C10" s="12" t="s">
        <v>32</v>
      </c>
      <c r="D10" s="12" t="s">
        <v>54</v>
      </c>
      <c r="E10" s="17" t="n">
        <v>6</v>
      </c>
      <c r="F10" s="12" t="n">
        <v>3600</v>
      </c>
      <c r="G10" s="16" t="n">
        <f aca="false">F10*E10</f>
        <v>21600</v>
      </c>
      <c r="H10" s="14" t="n">
        <v>45762</v>
      </c>
      <c r="J10" s="17" t="n">
        <f aca="false">G10</f>
        <v>21600</v>
      </c>
      <c r="L10" s="59"/>
      <c r="M10" s="99" t="s">
        <v>330</v>
      </c>
      <c r="N10" s="86"/>
    </row>
    <row r="11" customFormat="false" ht="24.75" hidden="false" customHeight="true" outlineLevel="0" collapsed="false">
      <c r="A11" s="2" t="s">
        <v>39</v>
      </c>
      <c r="B11" s="12" t="s">
        <v>331</v>
      </c>
      <c r="C11" s="12" t="s">
        <v>23</v>
      </c>
      <c r="D11" s="12" t="s">
        <v>332</v>
      </c>
      <c r="E11" s="53"/>
      <c r="F11" s="12" t="n">
        <v>420</v>
      </c>
      <c r="G11" s="52"/>
      <c r="H11" s="14" t="n">
        <v>45762</v>
      </c>
      <c r="J11" s="17" t="n">
        <f aca="false">G11*4.35</f>
        <v>0</v>
      </c>
      <c r="L11" s="59"/>
      <c r="M11" s="106" t="s">
        <v>333</v>
      </c>
      <c r="N11" s="82"/>
    </row>
    <row r="12" customFormat="false" ht="24.75" hidden="false" customHeight="true" outlineLevel="0" collapsed="false">
      <c r="A12" s="2" t="s">
        <v>43</v>
      </c>
      <c r="B12" s="12" t="s">
        <v>177</v>
      </c>
      <c r="C12" s="12" t="s">
        <v>334</v>
      </c>
      <c r="D12" s="12" t="s">
        <v>149</v>
      </c>
      <c r="E12" s="17" t="n">
        <v>10.7</v>
      </c>
      <c r="F12" s="12" t="n">
        <v>500</v>
      </c>
      <c r="G12" s="16" t="n">
        <f aca="false">F12*E12</f>
        <v>5350</v>
      </c>
      <c r="H12" s="14" t="n">
        <v>45762</v>
      </c>
      <c r="J12" s="17" t="n">
        <f aca="false">G12</f>
        <v>5350</v>
      </c>
      <c r="L12" s="59"/>
      <c r="M12" s="106" t="s">
        <v>335</v>
      </c>
      <c r="N12" s="82"/>
    </row>
    <row r="13" customFormat="false" ht="24.75" hidden="false" customHeight="true" outlineLevel="0" collapsed="false">
      <c r="A13" s="2" t="s">
        <v>45</v>
      </c>
      <c r="B13" s="2" t="s">
        <v>84</v>
      </c>
      <c r="C13" s="2" t="s">
        <v>85</v>
      </c>
      <c r="D13" s="2" t="s">
        <v>86</v>
      </c>
      <c r="E13" s="6" t="n">
        <v>4.6</v>
      </c>
      <c r="F13" s="2" t="n">
        <v>2000</v>
      </c>
      <c r="G13" s="7" t="n">
        <v>9200</v>
      </c>
      <c r="H13" s="5" t="n">
        <v>45776</v>
      </c>
      <c r="I13" s="19" t="s">
        <v>296</v>
      </c>
      <c r="J13" s="6" t="n">
        <v>9200</v>
      </c>
      <c r="L13" s="59"/>
      <c r="M13" s="82" t="s">
        <v>336</v>
      </c>
      <c r="N13" s="82"/>
    </row>
    <row r="14" customFormat="false" ht="24.75" hidden="false" customHeight="true" outlineLevel="0" collapsed="false">
      <c r="A14" s="2" t="s">
        <v>48</v>
      </c>
      <c r="B14" s="12"/>
      <c r="C14" s="2"/>
      <c r="D14" s="2"/>
      <c r="E14" s="35"/>
      <c r="F14" s="2"/>
      <c r="G14" s="4"/>
      <c r="H14" s="5"/>
      <c r="J14" s="6" t="n">
        <f aca="false">G14</f>
        <v>0</v>
      </c>
      <c r="L14" s="101"/>
      <c r="M14" s="102"/>
      <c r="N14" s="44"/>
    </row>
    <row r="15" customFormat="false" ht="24.75" hidden="false" customHeight="true" outlineLevel="0" collapsed="false">
      <c r="A15" s="12" t="s">
        <v>51</v>
      </c>
      <c r="B15" s="12"/>
      <c r="C15" s="12"/>
      <c r="D15" s="12"/>
      <c r="E15" s="17"/>
      <c r="F15" s="12"/>
      <c r="G15" s="16"/>
      <c r="H15" s="14"/>
      <c r="I15" s="51"/>
      <c r="J15" s="6" t="n">
        <f aca="false">G15</f>
        <v>0</v>
      </c>
      <c r="L15" s="101"/>
      <c r="M15" s="102"/>
      <c r="N15" s="44"/>
    </row>
    <row r="16" customFormat="false" ht="24.75" hidden="false" customHeight="true" outlineLevel="0" collapsed="false">
      <c r="A16" s="2" t="s">
        <v>55</v>
      </c>
      <c r="B16" s="12"/>
      <c r="C16" s="2"/>
      <c r="D16" s="2"/>
      <c r="E16" s="3"/>
      <c r="F16" s="2"/>
      <c r="G16" s="4"/>
      <c r="H16" s="5"/>
      <c r="I16" s="19"/>
      <c r="J16" s="6" t="n">
        <f aca="false">G16</f>
        <v>0</v>
      </c>
      <c r="L16" s="101"/>
      <c r="M16" s="102"/>
      <c r="N16" s="44"/>
    </row>
    <row r="17" customFormat="false" ht="24.75" hidden="false" customHeight="true" outlineLevel="0" collapsed="false">
      <c r="A17" s="2" t="s">
        <v>57</v>
      </c>
      <c r="B17" s="12"/>
      <c r="C17" s="12"/>
      <c r="D17" s="12"/>
      <c r="E17" s="17"/>
      <c r="F17" s="12"/>
      <c r="G17" s="16"/>
      <c r="H17" s="14"/>
      <c r="I17" s="37"/>
      <c r="J17" s="6" t="n">
        <f aca="false">G17</f>
        <v>0</v>
      </c>
      <c r="L17" s="101"/>
      <c r="M17" s="102"/>
      <c r="N17" s="44"/>
    </row>
    <row r="18" customFormat="false" ht="24.75" hidden="false" customHeight="true" outlineLevel="0" collapsed="false">
      <c r="A18" s="12" t="s">
        <v>59</v>
      </c>
      <c r="B18" s="12"/>
      <c r="C18" s="2"/>
      <c r="D18" s="2"/>
      <c r="E18" s="3"/>
      <c r="F18" s="2"/>
      <c r="G18" s="4"/>
      <c r="H18" s="5"/>
      <c r="J18" s="6" t="n">
        <f aca="false">G18</f>
        <v>0</v>
      </c>
      <c r="L18" s="101"/>
      <c r="M18" s="102"/>
      <c r="N18" s="44"/>
    </row>
    <row r="19" customFormat="false" ht="24.75" hidden="false" customHeight="true" outlineLevel="0" collapsed="false">
      <c r="A19" s="2" t="s">
        <v>61</v>
      </c>
      <c r="B19" s="12"/>
      <c r="C19" s="2"/>
      <c r="D19" s="2"/>
      <c r="E19" s="6"/>
      <c r="F19" s="2"/>
      <c r="G19" s="7"/>
      <c r="H19" s="42"/>
      <c r="J19" s="6" t="n">
        <f aca="false">G19</f>
        <v>0</v>
      </c>
      <c r="L19" s="101"/>
      <c r="M19" s="102"/>
      <c r="N19" s="44"/>
    </row>
    <row r="20" customFormat="false" ht="15" hidden="false" customHeight="false" outlineLevel="0" collapsed="false">
      <c r="J20" s="25" t="n">
        <f aca="false">SUM(J4:J19)</f>
        <v>90384.125</v>
      </c>
    </row>
    <row r="21" customFormat="false" ht="15" hidden="false" customHeight="false" outlineLevel="0" collapsed="false">
      <c r="J21" s="18"/>
    </row>
    <row r="22" customFormat="false" ht="26.25" hidden="false" customHeight="true" outlineLevel="0" collapsed="false">
      <c r="A22" s="1" t="s">
        <v>210</v>
      </c>
      <c r="B22" s="1"/>
      <c r="C22" s="1"/>
      <c r="D22" s="1"/>
      <c r="E22" s="1"/>
      <c r="F22" s="1"/>
      <c r="G22" s="1"/>
      <c r="H22" s="1"/>
    </row>
    <row r="23" customFormat="false" ht="30" hidden="false" customHeight="false" outlineLevel="0" collapsed="false">
      <c r="A23" s="2" t="s">
        <v>1</v>
      </c>
      <c r="B23" s="2" t="s">
        <v>2</v>
      </c>
      <c r="C23" s="2" t="s">
        <v>3</v>
      </c>
      <c r="D23" s="2" t="s">
        <v>4</v>
      </c>
      <c r="E23" s="2" t="s">
        <v>5</v>
      </c>
      <c r="F23" s="2" t="s">
        <v>6</v>
      </c>
      <c r="G23" s="2" t="s">
        <v>7</v>
      </c>
      <c r="H23" s="2" t="s">
        <v>8</v>
      </c>
      <c r="J23" s="2" t="s">
        <v>9</v>
      </c>
    </row>
    <row r="24" customFormat="false" ht="30" hidden="false" customHeight="false" outlineLevel="0" collapsed="false">
      <c r="A24" s="12" t="s">
        <v>10</v>
      </c>
      <c r="B24" s="2" t="s">
        <v>144</v>
      </c>
      <c r="C24" s="2" t="s">
        <v>32</v>
      </c>
      <c r="D24" s="2" t="s">
        <v>157</v>
      </c>
      <c r="E24" s="107" t="n">
        <v>15.32</v>
      </c>
      <c r="F24" s="2" t="n">
        <v>125</v>
      </c>
      <c r="G24" s="108" t="n">
        <f aca="false">E24*F24</f>
        <v>1915</v>
      </c>
      <c r="H24" s="5"/>
      <c r="J24" s="6" t="n">
        <f aca="false">G24*4.35</f>
        <v>8330.25</v>
      </c>
      <c r="L24" s="59"/>
      <c r="M24" s="81" t="s">
        <v>337</v>
      </c>
      <c r="N24" s="81"/>
    </row>
    <row r="25" customFormat="false" ht="15" hidden="false" customHeight="false" outlineLevel="0" collapsed="false">
      <c r="A25" s="12" t="s">
        <v>14</v>
      </c>
      <c r="B25" s="70" t="s">
        <v>338</v>
      </c>
      <c r="C25" s="2" t="s">
        <v>65</v>
      </c>
      <c r="D25" s="2" t="s">
        <v>212</v>
      </c>
      <c r="E25" s="67"/>
      <c r="F25" s="2" t="n">
        <v>25</v>
      </c>
      <c r="G25" s="96"/>
      <c r="H25" s="5" t="n">
        <v>45751</v>
      </c>
      <c r="J25" s="6" t="n">
        <f aca="false">G25</f>
        <v>0</v>
      </c>
      <c r="L25" s="59"/>
      <c r="M25" s="81" t="s">
        <v>339</v>
      </c>
      <c r="N25" s="81"/>
    </row>
    <row r="26" customFormat="false" ht="15" hidden="false" customHeight="false" outlineLevel="0" collapsed="false">
      <c r="A26" s="12" t="s">
        <v>18</v>
      </c>
      <c r="B26" s="70" t="n">
        <v>40614</v>
      </c>
      <c r="C26" s="2" t="s">
        <v>23</v>
      </c>
      <c r="D26" s="2" t="s">
        <v>212</v>
      </c>
      <c r="E26" s="6"/>
      <c r="F26" s="2" t="n">
        <v>25</v>
      </c>
      <c r="G26" s="96" t="n">
        <f aca="false">E26*F26</f>
        <v>0</v>
      </c>
      <c r="H26" s="5" t="n">
        <v>45751</v>
      </c>
      <c r="J26" s="6" t="n">
        <f aca="false">G26</f>
        <v>0</v>
      </c>
      <c r="L26" s="59"/>
      <c r="M26" s="81" t="s">
        <v>340</v>
      </c>
      <c r="N26" s="81"/>
    </row>
    <row r="27" customFormat="false" ht="15" hidden="false" customHeight="false" outlineLevel="0" collapsed="false">
      <c r="A27" s="12" t="s">
        <v>21</v>
      </c>
      <c r="B27" s="70" t="n">
        <v>30634</v>
      </c>
      <c r="C27" s="2" t="s">
        <v>23</v>
      </c>
      <c r="D27" s="2" t="s">
        <v>212</v>
      </c>
      <c r="E27" s="6"/>
      <c r="F27" s="2" t="n">
        <v>25</v>
      </c>
      <c r="G27" s="96" t="n">
        <f aca="false">E27*F27</f>
        <v>0</v>
      </c>
      <c r="H27" s="5" t="n">
        <v>45751</v>
      </c>
      <c r="J27" s="6" t="n">
        <f aca="false">G27</f>
        <v>0</v>
      </c>
      <c r="L27" s="59"/>
      <c r="M27" s="81" t="s">
        <v>340</v>
      </c>
      <c r="N27" s="81"/>
    </row>
    <row r="28" customFormat="false" ht="15" hidden="false" customHeight="false" outlineLevel="0" collapsed="false">
      <c r="A28" s="12" t="s">
        <v>25</v>
      </c>
      <c r="B28" s="2" t="s">
        <v>223</v>
      </c>
      <c r="C28" s="2"/>
      <c r="D28" s="2" t="s">
        <v>212</v>
      </c>
      <c r="E28" s="3"/>
      <c r="F28" s="2" t="n">
        <v>25</v>
      </c>
      <c r="G28" s="4"/>
      <c r="H28" s="5" t="n">
        <v>45751</v>
      </c>
      <c r="J28" s="6" t="n">
        <f aca="false">G28*4.35</f>
        <v>0</v>
      </c>
      <c r="L28" s="59"/>
      <c r="M28" s="81" t="s">
        <v>341</v>
      </c>
      <c r="N28" s="81"/>
    </row>
    <row r="29" customFormat="false" ht="15" hidden="false" customHeight="false" outlineLevel="0" collapsed="false">
      <c r="A29" s="12" t="s">
        <v>30</v>
      </c>
      <c r="B29" s="2" t="s">
        <v>304</v>
      </c>
      <c r="C29" s="2" t="s">
        <v>23</v>
      </c>
      <c r="D29" s="2" t="s">
        <v>212</v>
      </c>
      <c r="E29" s="3"/>
      <c r="F29" s="12" t="n">
        <v>25</v>
      </c>
      <c r="G29" s="4"/>
      <c r="H29" s="5" t="n">
        <v>45777</v>
      </c>
      <c r="J29" s="6" t="n">
        <f aca="false">G29*4.35</f>
        <v>0</v>
      </c>
      <c r="L29" s="59"/>
      <c r="M29" s="81" t="s">
        <v>342</v>
      </c>
      <c r="N29" s="81"/>
    </row>
    <row r="30" customFormat="false" ht="15" hidden="false" customHeight="false" outlineLevel="0" collapsed="false">
      <c r="A30" s="12" t="s">
        <v>34</v>
      </c>
      <c r="B30" s="70" t="s">
        <v>302</v>
      </c>
      <c r="C30" s="2" t="s">
        <v>23</v>
      </c>
      <c r="D30" s="2" t="s">
        <v>212</v>
      </c>
      <c r="E30" s="6"/>
      <c r="F30" s="12" t="n">
        <v>25</v>
      </c>
      <c r="G30" s="7"/>
      <c r="H30" s="5" t="n">
        <v>45777</v>
      </c>
      <c r="J30" s="6" t="n">
        <f aca="false">G30*4.35</f>
        <v>0</v>
      </c>
      <c r="L30" s="59"/>
      <c r="M30" s="81" t="s">
        <v>342</v>
      </c>
      <c r="N30" s="81"/>
    </row>
    <row r="31" customFormat="false" ht="15" hidden="false" customHeight="false" outlineLevel="0" collapsed="false">
      <c r="A31" s="12" t="s">
        <v>39</v>
      </c>
      <c r="B31" s="109" t="s">
        <v>343</v>
      </c>
      <c r="C31" s="2" t="s">
        <v>41</v>
      </c>
      <c r="D31" s="2" t="s">
        <v>212</v>
      </c>
      <c r="E31" s="3"/>
      <c r="F31" s="12" t="n">
        <v>25</v>
      </c>
      <c r="G31" s="4"/>
      <c r="H31" s="5" t="n">
        <v>45777</v>
      </c>
      <c r="J31" s="6" t="n">
        <f aca="false">G31*4.35</f>
        <v>0</v>
      </c>
      <c r="L31" s="59"/>
      <c r="M31" s="81" t="s">
        <v>342</v>
      </c>
      <c r="N31" s="81"/>
    </row>
    <row r="32" customFormat="false" ht="15" hidden="false" customHeight="false" outlineLevel="0" collapsed="false">
      <c r="A32" s="12" t="s">
        <v>43</v>
      </c>
      <c r="B32" s="109" t="s">
        <v>344</v>
      </c>
      <c r="C32" s="2" t="s">
        <v>41</v>
      </c>
      <c r="D32" s="2" t="s">
        <v>212</v>
      </c>
      <c r="E32" s="6"/>
      <c r="F32" s="12" t="n">
        <v>25</v>
      </c>
      <c r="G32" s="7"/>
      <c r="H32" s="5" t="n">
        <v>45777</v>
      </c>
      <c r="J32" s="6" t="n">
        <f aca="false">G32*4.35</f>
        <v>0</v>
      </c>
      <c r="L32" s="59"/>
      <c r="M32" s="81" t="s">
        <v>345</v>
      </c>
      <c r="N32" s="81"/>
    </row>
    <row r="33" customFormat="false" ht="15" hidden="false" customHeight="false" outlineLevel="0" collapsed="false">
      <c r="A33" s="12" t="s">
        <v>45</v>
      </c>
      <c r="B33" s="110" t="s">
        <v>346</v>
      </c>
      <c r="C33" s="2" t="s">
        <v>41</v>
      </c>
      <c r="D33" s="2" t="s">
        <v>212</v>
      </c>
      <c r="E33" s="3"/>
      <c r="F33" s="12" t="n">
        <v>25</v>
      </c>
      <c r="G33" s="4"/>
      <c r="H33" s="5" t="n">
        <v>45777</v>
      </c>
      <c r="J33" s="6" t="n">
        <f aca="false">G33*4.35</f>
        <v>0</v>
      </c>
      <c r="L33" s="59"/>
      <c r="M33" s="81" t="s">
        <v>342</v>
      </c>
      <c r="N33" s="81"/>
    </row>
    <row r="34" customFormat="false" ht="15" hidden="false" customHeight="false" outlineLevel="0" collapsed="false">
      <c r="A34" s="12" t="s">
        <v>48</v>
      </c>
      <c r="B34" s="70"/>
      <c r="C34" s="2"/>
      <c r="D34" s="2"/>
      <c r="E34" s="6"/>
      <c r="F34" s="2"/>
      <c r="G34" s="7"/>
      <c r="H34" s="42"/>
      <c r="J34" s="6"/>
      <c r="L34" s="101"/>
      <c r="M34" s="102"/>
      <c r="N34" s="111"/>
    </row>
    <row r="35" customFormat="false" ht="15" hidden="false" customHeight="false" outlineLevel="0" collapsed="false">
      <c r="A35" s="12" t="s">
        <v>51</v>
      </c>
      <c r="B35" s="2"/>
      <c r="C35" s="2"/>
      <c r="D35" s="2"/>
      <c r="E35" s="3"/>
      <c r="F35" s="2"/>
      <c r="G35" s="4"/>
      <c r="H35" s="5"/>
      <c r="J35" s="6" t="n">
        <f aca="false">G35*4.35</f>
        <v>0</v>
      </c>
      <c r="L35" s="101"/>
      <c r="M35" s="102"/>
      <c r="N35" s="102"/>
    </row>
    <row r="36" customFormat="false" ht="15" hidden="false" customHeight="false" outlineLevel="0" collapsed="false">
      <c r="J36" s="25" t="n">
        <f aca="false">SUM(J24:J35)</f>
        <v>8330.25</v>
      </c>
    </row>
    <row r="40" customFormat="false" ht="15" hidden="false" customHeight="false" outlineLevel="0" collapsed="false">
      <c r="C40" s="40"/>
    </row>
  </sheetData>
  <mergeCells count="3">
    <mergeCell ref="A1:H1"/>
    <mergeCell ref="A2:H2"/>
    <mergeCell ref="A22:H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40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B4" activeCellId="0" sqref="B4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24.72"/>
    <col collapsed="false" customWidth="true" hidden="false" outlineLevel="0" max="4" min="3" style="0" width="15.71"/>
    <col collapsed="false" customWidth="true" hidden="false" outlineLevel="0" max="5" min="5" style="0" width="9.85"/>
    <col collapsed="false" customWidth="true" hidden="false" outlineLevel="0" max="6" min="6" style="0" width="6.71"/>
    <col collapsed="false" customWidth="true" hidden="false" outlineLevel="0" max="7" min="7" style="0" width="10.71"/>
    <col collapsed="false" customWidth="true" hidden="false" outlineLevel="0" max="8" min="8" style="0" width="8.71"/>
    <col collapsed="false" customWidth="true" hidden="false" outlineLevel="0" max="9" min="9" style="0" width="20.28"/>
    <col collapsed="false" customWidth="true" hidden="false" outlineLevel="0" max="10" min="10" style="0" width="16.71"/>
    <col collapsed="false" customWidth="true" hidden="false" outlineLevel="0" max="12" min="12" style="0" width="11.71"/>
    <col collapsed="false" customWidth="true" hidden="false" outlineLevel="0" max="13" min="13" style="0" width="16.43"/>
    <col collapsed="false" customWidth="true" hidden="false" outlineLevel="0" max="14" min="14" style="0" width="45.85"/>
  </cols>
  <sheetData>
    <row r="1" customFormat="false" ht="40.5" hidden="false" customHeight="true" outlineLevel="0" collapsed="false">
      <c r="A1" s="1" t="s">
        <v>347</v>
      </c>
      <c r="B1" s="1"/>
      <c r="C1" s="1"/>
      <c r="D1" s="1"/>
      <c r="E1" s="1"/>
      <c r="F1" s="1"/>
      <c r="G1" s="1"/>
      <c r="H1" s="1"/>
    </row>
    <row r="2" customFormat="false" ht="22.5" hidden="false" customHeight="true" outlineLevel="0" collapsed="false">
      <c r="A2" s="1" t="s">
        <v>189</v>
      </c>
      <c r="B2" s="1"/>
      <c r="C2" s="1"/>
      <c r="D2" s="1"/>
      <c r="E2" s="1"/>
      <c r="F2" s="1"/>
      <c r="G2" s="1"/>
      <c r="H2" s="1"/>
    </row>
    <row r="3" customFormat="false" ht="30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J3" s="2" t="s">
        <v>9</v>
      </c>
      <c r="L3" s="39" t="s">
        <v>190</v>
      </c>
      <c r="M3" s="2" t="s">
        <v>191</v>
      </c>
      <c r="N3" s="2" t="s">
        <v>234</v>
      </c>
    </row>
    <row r="4" customFormat="false" ht="30" hidden="false" customHeight="true" outlineLevel="0" collapsed="false">
      <c r="A4" s="2" t="s">
        <v>10</v>
      </c>
      <c r="B4" s="12" t="s">
        <v>348</v>
      </c>
      <c r="C4" s="12" t="s">
        <v>23</v>
      </c>
      <c r="D4" s="12" t="s">
        <v>171</v>
      </c>
      <c r="E4" s="17" t="n">
        <v>5.9</v>
      </c>
      <c r="F4" s="12" t="n">
        <v>500</v>
      </c>
      <c r="G4" s="16" t="n">
        <f aca="false">F4*E4</f>
        <v>2950</v>
      </c>
      <c r="H4" s="14" t="n">
        <v>45782</v>
      </c>
      <c r="I4" s="19"/>
      <c r="J4" s="6" t="n">
        <f aca="false">G4</f>
        <v>2950</v>
      </c>
      <c r="L4" s="81"/>
      <c r="M4" s="81" t="s">
        <v>349</v>
      </c>
      <c r="N4" s="81"/>
    </row>
    <row r="5" customFormat="false" ht="24.75" hidden="false" customHeight="true" outlineLevel="0" collapsed="false">
      <c r="A5" s="2" t="s">
        <v>14</v>
      </c>
      <c r="B5" s="2" t="s">
        <v>163</v>
      </c>
      <c r="C5" s="2" t="s">
        <v>65</v>
      </c>
      <c r="D5" s="2" t="s">
        <v>121</v>
      </c>
      <c r="E5" s="3" t="n">
        <v>2.75</v>
      </c>
      <c r="F5" s="2" t="n">
        <v>1000</v>
      </c>
      <c r="G5" s="4" t="n">
        <f aca="false">F5*E5</f>
        <v>2750</v>
      </c>
      <c r="H5" s="5" t="n">
        <v>45782</v>
      </c>
      <c r="I5" s="19"/>
      <c r="J5" s="6" t="n">
        <f aca="false">G5*4.35</f>
        <v>11962.5</v>
      </c>
      <c r="L5" s="59"/>
      <c r="M5" s="81" t="n">
        <v>1287559</v>
      </c>
      <c r="N5" s="82"/>
    </row>
    <row r="6" customFormat="false" ht="24.75" hidden="false" customHeight="true" outlineLevel="0" collapsed="false">
      <c r="A6" s="12" t="s">
        <v>18</v>
      </c>
      <c r="B6" s="12" t="s">
        <v>174</v>
      </c>
      <c r="C6" s="12" t="s">
        <v>23</v>
      </c>
      <c r="D6" s="12" t="s">
        <v>95</v>
      </c>
      <c r="E6" s="53" t="n">
        <v>3.03</v>
      </c>
      <c r="F6" s="12" t="n">
        <v>3000</v>
      </c>
      <c r="G6" s="52" t="n">
        <f aca="false">F6*E6</f>
        <v>9090</v>
      </c>
      <c r="H6" s="14" t="n">
        <v>45783</v>
      </c>
      <c r="I6" s="15"/>
      <c r="J6" s="17" t="n">
        <f aca="false">G6*4.35</f>
        <v>39541.5</v>
      </c>
      <c r="L6" s="81"/>
      <c r="M6" s="81" t="s">
        <v>350</v>
      </c>
      <c r="N6" s="81"/>
    </row>
    <row r="7" customFormat="false" ht="24.75" hidden="false" customHeight="true" outlineLevel="0" collapsed="false">
      <c r="A7" s="2" t="s">
        <v>21</v>
      </c>
      <c r="B7" s="12" t="s">
        <v>35</v>
      </c>
      <c r="C7" s="12" t="s">
        <v>92</v>
      </c>
      <c r="D7" s="12" t="s">
        <v>37</v>
      </c>
      <c r="E7" s="17" t="n">
        <v>4.5</v>
      </c>
      <c r="F7" s="12" t="n">
        <v>5000</v>
      </c>
      <c r="G7" s="16" t="n">
        <f aca="false">F7*E7</f>
        <v>22500</v>
      </c>
      <c r="H7" s="14" t="n">
        <v>45783</v>
      </c>
      <c r="I7" s="37"/>
      <c r="J7" s="17" t="n">
        <f aca="false">G7</f>
        <v>22500</v>
      </c>
      <c r="L7" s="59"/>
      <c r="M7" s="100" t="n">
        <v>45780</v>
      </c>
      <c r="N7" s="82"/>
    </row>
    <row r="8" customFormat="false" ht="24.75" hidden="false" customHeight="true" outlineLevel="0" collapsed="false">
      <c r="A8" s="2" t="s">
        <v>25</v>
      </c>
      <c r="B8" s="94" t="s">
        <v>351</v>
      </c>
      <c r="C8" s="12" t="s">
        <v>106</v>
      </c>
      <c r="D8" s="12" t="s">
        <v>20</v>
      </c>
      <c r="E8" s="17" t="n">
        <v>12.7</v>
      </c>
      <c r="F8" s="12" t="n">
        <v>100</v>
      </c>
      <c r="G8" s="112" t="n">
        <f aca="false">F8*E8</f>
        <v>1270</v>
      </c>
      <c r="H8" s="14" t="n">
        <v>45790</v>
      </c>
      <c r="J8" s="17" t="n">
        <f aca="false">G8*4.35</f>
        <v>5524.5</v>
      </c>
      <c r="L8" s="59"/>
      <c r="M8" s="81" t="s">
        <v>352</v>
      </c>
      <c r="N8" s="82"/>
    </row>
    <row r="9" customFormat="false" ht="30.75" hidden="false" customHeight="true" outlineLevel="0" collapsed="false">
      <c r="A9" s="12" t="s">
        <v>30</v>
      </c>
      <c r="B9" s="12" t="s">
        <v>107</v>
      </c>
      <c r="C9" s="12" t="s">
        <v>106</v>
      </c>
      <c r="D9" s="12" t="s">
        <v>20</v>
      </c>
      <c r="E9" s="17" t="n">
        <v>11.4</v>
      </c>
      <c r="F9" s="12" t="n">
        <v>300</v>
      </c>
      <c r="G9" s="16" t="n">
        <f aca="false">F9*E9</f>
        <v>3420</v>
      </c>
      <c r="H9" s="14" t="n">
        <v>45791</v>
      </c>
      <c r="I9" s="15"/>
      <c r="J9" s="17" t="n">
        <f aca="false">G9</f>
        <v>3420</v>
      </c>
      <c r="L9" s="80"/>
      <c r="M9" s="81" t="s">
        <v>352</v>
      </c>
      <c r="N9" s="82"/>
    </row>
    <row r="10" customFormat="false" ht="24.75" hidden="false" customHeight="true" outlineLevel="0" collapsed="false">
      <c r="A10" s="2" t="s">
        <v>34</v>
      </c>
      <c r="B10" s="12" t="s">
        <v>100</v>
      </c>
      <c r="C10" s="12" t="s">
        <v>101</v>
      </c>
      <c r="D10" s="12" t="s">
        <v>28</v>
      </c>
      <c r="E10" s="17" t="n">
        <v>3.5</v>
      </c>
      <c r="F10" s="12" t="n">
        <v>3000</v>
      </c>
      <c r="G10" s="16" t="n">
        <f aca="false">F10*E10</f>
        <v>10500</v>
      </c>
      <c r="H10" s="14" t="n">
        <v>45791</v>
      </c>
      <c r="I10" s="51"/>
      <c r="J10" s="17" t="n">
        <f aca="false">G10</f>
        <v>10500</v>
      </c>
      <c r="L10" s="59"/>
      <c r="M10" s="98" t="n">
        <v>45795</v>
      </c>
      <c r="N10" s="86"/>
    </row>
    <row r="11" customFormat="false" ht="31.5" hidden="false" customHeight="true" outlineLevel="0" collapsed="false">
      <c r="A11" s="2" t="s">
        <v>39</v>
      </c>
      <c r="B11" s="12" t="s">
        <v>353</v>
      </c>
      <c r="C11" s="12" t="s">
        <v>117</v>
      </c>
      <c r="D11" s="12" t="s">
        <v>354</v>
      </c>
      <c r="E11" s="17" t="n">
        <v>6</v>
      </c>
      <c r="F11" s="55" t="n">
        <v>5500</v>
      </c>
      <c r="G11" s="16" t="n">
        <f aca="false">F11*E11</f>
        <v>33000</v>
      </c>
      <c r="H11" s="14" t="n">
        <v>45791</v>
      </c>
      <c r="I11" s="88"/>
      <c r="J11" s="17" t="n">
        <f aca="false">G11</f>
        <v>33000</v>
      </c>
      <c r="L11" s="59"/>
      <c r="M11" s="99" t="s">
        <v>355</v>
      </c>
      <c r="N11" s="86"/>
    </row>
    <row r="12" customFormat="false" ht="33" hidden="false" customHeight="true" outlineLevel="0" collapsed="false">
      <c r="A12" s="12" t="s">
        <v>43</v>
      </c>
      <c r="B12" s="12" t="s">
        <v>194</v>
      </c>
      <c r="C12" s="12" t="s">
        <v>41</v>
      </c>
      <c r="D12" s="12" t="s">
        <v>13</v>
      </c>
      <c r="E12" s="13" t="n">
        <v>1.45</v>
      </c>
      <c r="F12" s="12" t="n">
        <v>4125</v>
      </c>
      <c r="G12" s="52" t="n">
        <f aca="false">F12*E12</f>
        <v>5981.25</v>
      </c>
      <c r="H12" s="14" t="n">
        <v>45793</v>
      </c>
      <c r="I12" s="19"/>
      <c r="J12" s="6" t="n">
        <f aca="false">G12*4.35</f>
        <v>26018.4375</v>
      </c>
      <c r="L12" s="59"/>
      <c r="M12" s="81" t="n">
        <v>25004199</v>
      </c>
      <c r="N12" s="82"/>
    </row>
    <row r="13" customFormat="false" ht="24.75" hidden="false" customHeight="true" outlineLevel="0" collapsed="false">
      <c r="A13" s="2" t="s">
        <v>45</v>
      </c>
      <c r="B13" s="12" t="s">
        <v>356</v>
      </c>
      <c r="C13" s="12" t="s">
        <v>135</v>
      </c>
      <c r="D13" s="89" t="s">
        <v>20</v>
      </c>
      <c r="E13" s="17" t="n">
        <v>10.8</v>
      </c>
      <c r="F13" s="12" t="n">
        <v>500</v>
      </c>
      <c r="G13" s="16" t="n">
        <f aca="false">F13*E13</f>
        <v>5400</v>
      </c>
      <c r="H13" s="14" t="n">
        <v>45796</v>
      </c>
      <c r="I13" s="37"/>
      <c r="J13" s="17" t="n">
        <f aca="false">G13</f>
        <v>5400</v>
      </c>
      <c r="L13" s="59"/>
      <c r="M13" s="81" t="s">
        <v>357</v>
      </c>
      <c r="N13" s="82"/>
    </row>
    <row r="14" customFormat="false" ht="24.75" hidden="false" customHeight="true" outlineLevel="0" collapsed="false">
      <c r="A14" s="2" t="s">
        <v>48</v>
      </c>
      <c r="B14" s="12" t="s">
        <v>19</v>
      </c>
      <c r="C14" s="12" t="s">
        <v>161</v>
      </c>
      <c r="D14" s="12" t="s">
        <v>69</v>
      </c>
      <c r="E14" s="17" t="n">
        <v>5.35</v>
      </c>
      <c r="F14" s="12" t="n">
        <v>2750</v>
      </c>
      <c r="G14" s="16" t="n">
        <f aca="false">F14*E14</f>
        <v>14712.5</v>
      </c>
      <c r="H14" s="14" t="n">
        <v>45799</v>
      </c>
      <c r="I14" s="37"/>
      <c r="J14" s="17" t="n">
        <f aca="false">G14</f>
        <v>14712.5</v>
      </c>
      <c r="L14" s="59"/>
      <c r="M14" s="81" t="s">
        <v>358</v>
      </c>
      <c r="N14" s="82"/>
    </row>
    <row r="15" customFormat="false" ht="24.75" hidden="false" customHeight="true" outlineLevel="0" collapsed="false">
      <c r="A15" s="12" t="s">
        <v>51</v>
      </c>
      <c r="B15" s="12" t="s">
        <v>40</v>
      </c>
      <c r="C15" s="12" t="s">
        <v>41</v>
      </c>
      <c r="D15" s="12" t="s">
        <v>69</v>
      </c>
      <c r="E15" s="17" t="n">
        <v>5.1</v>
      </c>
      <c r="F15" s="12" t="n">
        <v>1375</v>
      </c>
      <c r="G15" s="16" t="n">
        <f aca="false">F15*E15</f>
        <v>7012.5</v>
      </c>
      <c r="H15" s="14" t="n">
        <v>45799</v>
      </c>
      <c r="I15" s="37"/>
      <c r="J15" s="17" t="n">
        <f aca="false">G15*4.35</f>
        <v>30504.375</v>
      </c>
      <c r="L15" s="59"/>
      <c r="M15" s="81" t="s">
        <v>359</v>
      </c>
      <c r="N15" s="82"/>
    </row>
    <row r="16" customFormat="false" ht="24.75" hidden="false" customHeight="true" outlineLevel="0" collapsed="false">
      <c r="A16" s="2" t="s">
        <v>55</v>
      </c>
      <c r="B16" s="2" t="s">
        <v>84</v>
      </c>
      <c r="C16" s="2" t="s">
        <v>85</v>
      </c>
      <c r="D16" s="2" t="s">
        <v>86</v>
      </c>
      <c r="E16" s="6" t="n">
        <v>4.6</v>
      </c>
      <c r="F16" s="2" t="n">
        <v>1000</v>
      </c>
      <c r="G16" s="7" t="n">
        <v>9200</v>
      </c>
      <c r="H16" s="5" t="n">
        <v>45804</v>
      </c>
      <c r="I16" s="19" t="s">
        <v>296</v>
      </c>
      <c r="J16" s="17" t="n">
        <f aca="false">G16</f>
        <v>9200</v>
      </c>
      <c r="L16" s="113"/>
      <c r="M16" s="114" t="s">
        <v>360</v>
      </c>
      <c r="N16" s="115"/>
    </row>
    <row r="17" customFormat="false" ht="24.75" hidden="false" customHeight="true" outlineLevel="0" collapsed="false">
      <c r="A17" s="2" t="s">
        <v>57</v>
      </c>
      <c r="B17" s="12"/>
      <c r="C17" s="12"/>
      <c r="D17" s="12"/>
      <c r="E17" s="17"/>
      <c r="F17" s="12"/>
      <c r="G17" s="16"/>
      <c r="H17" s="14"/>
      <c r="I17" s="37"/>
      <c r="J17" s="6" t="n">
        <f aca="false">G17</f>
        <v>0</v>
      </c>
      <c r="L17" s="101"/>
      <c r="M17" s="102"/>
      <c r="N17" s="44"/>
    </row>
    <row r="18" customFormat="false" ht="24.75" hidden="false" customHeight="true" outlineLevel="0" collapsed="false">
      <c r="A18" s="12" t="s">
        <v>59</v>
      </c>
      <c r="B18" s="2"/>
      <c r="C18" s="2"/>
      <c r="D18" s="2"/>
      <c r="E18" s="3"/>
      <c r="F18" s="2"/>
      <c r="G18" s="4"/>
      <c r="H18" s="5"/>
      <c r="J18" s="6" t="n">
        <f aca="false">G18</f>
        <v>0</v>
      </c>
      <c r="L18" s="101"/>
      <c r="M18" s="102"/>
      <c r="N18" s="44"/>
    </row>
    <row r="19" customFormat="false" ht="24.75" hidden="false" customHeight="true" outlineLevel="0" collapsed="false">
      <c r="A19" s="2" t="s">
        <v>61</v>
      </c>
      <c r="B19" s="11"/>
      <c r="C19" s="2"/>
      <c r="D19" s="2"/>
      <c r="E19" s="6"/>
      <c r="F19" s="2"/>
      <c r="G19" s="7"/>
      <c r="H19" s="42"/>
      <c r="J19" s="6" t="n">
        <f aca="false">G19</f>
        <v>0</v>
      </c>
      <c r="L19" s="101"/>
      <c r="M19" s="102"/>
      <c r="N19" s="44"/>
    </row>
    <row r="20" customFormat="false" ht="15" hidden="false" customHeight="false" outlineLevel="0" collapsed="false">
      <c r="J20" s="25" t="n">
        <f aca="false">SUM(J4:J19)</f>
        <v>215233.8125</v>
      </c>
    </row>
    <row r="21" customFormat="false" ht="15" hidden="false" customHeight="false" outlineLevel="0" collapsed="false">
      <c r="J21" s="18"/>
    </row>
    <row r="22" customFormat="false" ht="26.25" hidden="false" customHeight="true" outlineLevel="0" collapsed="false">
      <c r="A22" s="1" t="s">
        <v>210</v>
      </c>
      <c r="B22" s="1"/>
      <c r="C22" s="1"/>
      <c r="D22" s="1"/>
      <c r="E22" s="1"/>
      <c r="F22" s="1"/>
      <c r="G22" s="1"/>
      <c r="H22" s="1"/>
    </row>
    <row r="23" customFormat="false" ht="30" hidden="false" customHeight="false" outlineLevel="0" collapsed="false">
      <c r="A23" s="2" t="s">
        <v>1</v>
      </c>
      <c r="B23" s="2" t="s">
        <v>2</v>
      </c>
      <c r="C23" s="2" t="s">
        <v>3</v>
      </c>
      <c r="D23" s="2" t="s">
        <v>4</v>
      </c>
      <c r="E23" s="2" t="s">
        <v>5</v>
      </c>
      <c r="F23" s="2" t="s">
        <v>6</v>
      </c>
      <c r="G23" s="2" t="s">
        <v>7</v>
      </c>
      <c r="H23" s="2" t="s">
        <v>8</v>
      </c>
      <c r="J23" s="2" t="s">
        <v>9</v>
      </c>
    </row>
    <row r="24" customFormat="false" ht="45" hidden="false" customHeight="false" outlineLevel="0" collapsed="false">
      <c r="A24" s="12" t="s">
        <v>10</v>
      </c>
      <c r="B24" s="12" t="s">
        <v>361</v>
      </c>
      <c r="C24" s="12" t="s">
        <v>106</v>
      </c>
      <c r="D24" s="12" t="s">
        <v>33</v>
      </c>
      <c r="E24" s="3" t="n">
        <v>14.41</v>
      </c>
      <c r="F24" s="12" t="n">
        <v>25</v>
      </c>
      <c r="G24" s="4" t="n">
        <f aca="false">F24*E24</f>
        <v>360.25</v>
      </c>
      <c r="H24" s="14" t="n">
        <v>45799</v>
      </c>
      <c r="I24" s="15"/>
      <c r="J24" s="6" t="n">
        <f aca="false">G24*4.35</f>
        <v>1567.0875</v>
      </c>
      <c r="L24" s="59"/>
      <c r="M24" s="81" t="s">
        <v>362</v>
      </c>
      <c r="N24" s="81"/>
    </row>
    <row r="25" customFormat="false" ht="15" hidden="false" customHeight="false" outlineLevel="0" collapsed="false">
      <c r="A25" s="12" t="s">
        <v>14</v>
      </c>
      <c r="B25" s="109" t="s">
        <v>363</v>
      </c>
      <c r="C25" s="2" t="s">
        <v>23</v>
      </c>
      <c r="D25" s="2" t="s">
        <v>215</v>
      </c>
      <c r="E25" s="116" t="n">
        <v>30</v>
      </c>
      <c r="F25" s="2" t="n">
        <v>25</v>
      </c>
      <c r="G25" s="117" t="n">
        <f aca="false">F25*E25</f>
        <v>750</v>
      </c>
      <c r="H25" s="5" t="n">
        <v>45784</v>
      </c>
      <c r="J25" s="6" t="n">
        <f aca="false">G25</f>
        <v>750</v>
      </c>
      <c r="L25" s="59"/>
      <c r="M25" s="81" t="s">
        <v>364</v>
      </c>
      <c r="N25" s="81"/>
    </row>
    <row r="26" customFormat="false" ht="15" hidden="false" customHeight="false" outlineLevel="0" collapsed="false">
      <c r="A26" s="12" t="s">
        <v>18</v>
      </c>
      <c r="B26" s="109" t="s">
        <v>365</v>
      </c>
      <c r="C26" s="2" t="s">
        <v>23</v>
      </c>
      <c r="D26" s="2" t="s">
        <v>215</v>
      </c>
      <c r="E26" s="116" t="n">
        <v>26.5</v>
      </c>
      <c r="F26" s="2" t="n">
        <v>25</v>
      </c>
      <c r="G26" s="117" t="n">
        <f aca="false">F26*E26</f>
        <v>662.5</v>
      </c>
      <c r="H26" s="5" t="n">
        <v>45784</v>
      </c>
      <c r="J26" s="6" t="n">
        <f aca="false">G26</f>
        <v>662.5</v>
      </c>
      <c r="L26" s="59"/>
      <c r="M26" s="81" t="s">
        <v>364</v>
      </c>
      <c r="N26" s="81"/>
    </row>
    <row r="27" customFormat="false" ht="15" hidden="false" customHeight="false" outlineLevel="0" collapsed="false">
      <c r="A27" s="12" t="s">
        <v>21</v>
      </c>
      <c r="B27" s="109" t="s">
        <v>366</v>
      </c>
      <c r="C27" s="2" t="s">
        <v>23</v>
      </c>
      <c r="D27" s="2" t="s">
        <v>215</v>
      </c>
      <c r="E27" s="116" t="n">
        <v>30.1</v>
      </c>
      <c r="F27" s="2" t="n">
        <v>25</v>
      </c>
      <c r="G27" s="117" t="n">
        <f aca="false">F27*E27</f>
        <v>752.5</v>
      </c>
      <c r="H27" s="5" t="n">
        <v>45784</v>
      </c>
      <c r="J27" s="6" t="n">
        <f aca="false">G27</f>
        <v>752.5</v>
      </c>
      <c r="L27" s="59"/>
      <c r="M27" s="81" t="s">
        <v>364</v>
      </c>
      <c r="N27" s="81"/>
    </row>
    <row r="28" customFormat="false" ht="15" hidden="false" customHeight="false" outlineLevel="0" collapsed="false">
      <c r="A28" s="12" t="s">
        <v>25</v>
      </c>
      <c r="B28" s="109" t="s">
        <v>367</v>
      </c>
      <c r="C28" s="2" t="s">
        <v>23</v>
      </c>
      <c r="D28" s="2" t="s">
        <v>215</v>
      </c>
      <c r="E28" s="118" t="n">
        <v>29.9</v>
      </c>
      <c r="F28" s="2" t="n">
        <v>25</v>
      </c>
      <c r="G28" s="117" t="n">
        <f aca="false">F28*E28</f>
        <v>747.5</v>
      </c>
      <c r="H28" s="5" t="n">
        <v>45796</v>
      </c>
      <c r="J28" s="6" t="n">
        <f aca="false">G28</f>
        <v>747.5</v>
      </c>
      <c r="L28" s="59"/>
      <c r="M28" s="81" t="s">
        <v>368</v>
      </c>
      <c r="N28" s="81"/>
    </row>
    <row r="29" customFormat="false" ht="15" hidden="false" customHeight="false" outlineLevel="0" collapsed="false">
      <c r="A29" s="12" t="s">
        <v>30</v>
      </c>
      <c r="B29" s="109" t="s">
        <v>369</v>
      </c>
      <c r="C29" s="2" t="s">
        <v>23</v>
      </c>
      <c r="D29" s="2" t="s">
        <v>215</v>
      </c>
      <c r="E29" s="118" t="n">
        <v>24.9</v>
      </c>
      <c r="F29" s="2" t="n">
        <v>25</v>
      </c>
      <c r="G29" s="117" t="n">
        <f aca="false">F29*E29</f>
        <v>622.5</v>
      </c>
      <c r="H29" s="5" t="n">
        <v>45796</v>
      </c>
      <c r="J29" s="6" t="n">
        <f aca="false">G29</f>
        <v>622.5</v>
      </c>
      <c r="L29" s="59"/>
      <c r="M29" s="81" t="s">
        <v>368</v>
      </c>
      <c r="N29" s="81"/>
    </row>
    <row r="30" customFormat="false" ht="15" hidden="false" customHeight="false" outlineLevel="0" collapsed="false">
      <c r="A30" s="12" t="s">
        <v>34</v>
      </c>
      <c r="B30" s="109" t="s">
        <v>370</v>
      </c>
      <c r="C30" s="2" t="s">
        <v>23</v>
      </c>
      <c r="D30" s="2" t="s">
        <v>215</v>
      </c>
      <c r="E30" s="118" t="n">
        <v>37.6</v>
      </c>
      <c r="F30" s="2" t="n">
        <v>25</v>
      </c>
      <c r="G30" s="117" t="n">
        <f aca="false">F30*E30</f>
        <v>940</v>
      </c>
      <c r="H30" s="5" t="n">
        <v>45796</v>
      </c>
      <c r="J30" s="6" t="n">
        <f aca="false">G30</f>
        <v>940</v>
      </c>
      <c r="L30" s="59"/>
      <c r="M30" s="81" t="s">
        <v>368</v>
      </c>
      <c r="N30" s="97"/>
    </row>
    <row r="31" customFormat="false" ht="15" hidden="false" customHeight="false" outlineLevel="0" collapsed="false">
      <c r="A31" s="12" t="s">
        <v>39</v>
      </c>
      <c r="B31" s="109" t="n">
        <v>30634</v>
      </c>
      <c r="C31" s="2" t="s">
        <v>23</v>
      </c>
      <c r="D31" s="2" t="s">
        <v>212</v>
      </c>
      <c r="E31" s="6"/>
      <c r="F31" s="2" t="n">
        <v>25</v>
      </c>
      <c r="G31" s="7"/>
      <c r="H31" s="5" t="n">
        <v>45791</v>
      </c>
      <c r="J31" s="6" t="n">
        <f aca="false">G31</f>
        <v>0</v>
      </c>
      <c r="L31" s="59"/>
      <c r="M31" s="81" t="s">
        <v>371</v>
      </c>
      <c r="N31" s="97"/>
    </row>
    <row r="32" customFormat="false" ht="15" hidden="false" customHeight="false" outlineLevel="0" collapsed="false">
      <c r="A32" s="12" t="s">
        <v>43</v>
      </c>
      <c r="B32" s="109" t="n">
        <v>40614</v>
      </c>
      <c r="C32" s="2" t="s">
        <v>23</v>
      </c>
      <c r="D32" s="2" t="s">
        <v>212</v>
      </c>
      <c r="E32" s="3"/>
      <c r="F32" s="2" t="n">
        <v>25</v>
      </c>
      <c r="G32" s="4"/>
      <c r="H32" s="5" t="n">
        <v>45791</v>
      </c>
      <c r="J32" s="6" t="n">
        <f aca="false">G32</f>
        <v>0</v>
      </c>
      <c r="L32" s="59"/>
      <c r="M32" s="81" t="s">
        <v>371</v>
      </c>
      <c r="N32" s="97"/>
    </row>
    <row r="33" customFormat="false" ht="15" hidden="false" customHeight="false" outlineLevel="0" collapsed="false">
      <c r="A33" s="12" t="s">
        <v>45</v>
      </c>
      <c r="B33" s="109" t="s">
        <v>372</v>
      </c>
      <c r="C33" s="2" t="s">
        <v>23</v>
      </c>
      <c r="D33" s="2" t="s">
        <v>212</v>
      </c>
      <c r="E33" s="6"/>
      <c r="F33" s="2" t="n">
        <v>25</v>
      </c>
      <c r="G33" s="7"/>
      <c r="H33" s="5" t="n">
        <v>45791</v>
      </c>
      <c r="J33" s="6" t="n">
        <f aca="false">G33</f>
        <v>0</v>
      </c>
      <c r="L33" s="59"/>
      <c r="M33" s="81" t="s">
        <v>373</v>
      </c>
      <c r="N33" s="97"/>
    </row>
    <row r="34" customFormat="false" ht="15" hidden="false" customHeight="false" outlineLevel="0" collapsed="false">
      <c r="A34" s="12" t="s">
        <v>48</v>
      </c>
      <c r="B34" s="109" t="s">
        <v>223</v>
      </c>
      <c r="C34" s="2" t="s">
        <v>23</v>
      </c>
      <c r="D34" s="2" t="s">
        <v>212</v>
      </c>
      <c r="E34" s="6"/>
      <c r="F34" s="2" t="n">
        <v>25</v>
      </c>
      <c r="G34" s="7"/>
      <c r="H34" s="5" t="n">
        <v>45791</v>
      </c>
      <c r="J34" s="6" t="n">
        <f aca="false">G34</f>
        <v>0</v>
      </c>
      <c r="L34" s="59"/>
      <c r="M34" s="81" t="s">
        <v>373</v>
      </c>
      <c r="N34" s="97"/>
    </row>
    <row r="35" customFormat="false" ht="15" hidden="false" customHeight="false" outlineLevel="0" collapsed="false">
      <c r="A35" s="12" t="s">
        <v>51</v>
      </c>
      <c r="B35" s="109" t="s">
        <v>374</v>
      </c>
      <c r="C35" s="2" t="s">
        <v>23</v>
      </c>
      <c r="D35" s="2" t="s">
        <v>212</v>
      </c>
      <c r="E35" s="3"/>
      <c r="F35" s="2" t="n">
        <v>25</v>
      </c>
      <c r="G35" s="4"/>
      <c r="H35" s="5" t="n">
        <v>45791</v>
      </c>
      <c r="J35" s="6" t="n">
        <f aca="false">G35</f>
        <v>0</v>
      </c>
      <c r="L35" s="59"/>
      <c r="M35" s="81" t="s">
        <v>373</v>
      </c>
      <c r="N35" s="81"/>
    </row>
    <row r="36" customFormat="false" ht="15" hidden="false" customHeight="false" outlineLevel="0" collapsed="false">
      <c r="J36" s="25" t="n">
        <f aca="false">SUM(J24:J35)</f>
        <v>6042.0875</v>
      </c>
    </row>
    <row r="40" customFormat="false" ht="15" hidden="false" customHeight="false" outlineLevel="0" collapsed="false">
      <c r="C40" s="40"/>
    </row>
  </sheetData>
  <mergeCells count="3">
    <mergeCell ref="A1:H1"/>
    <mergeCell ref="A2:H2"/>
    <mergeCell ref="A22:H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24.72"/>
    <col collapsed="false" customWidth="true" hidden="false" outlineLevel="0" max="4" min="3" style="0" width="15.71"/>
    <col collapsed="false" customWidth="true" hidden="false" outlineLevel="0" max="5" min="5" style="0" width="9.85"/>
    <col collapsed="false" customWidth="true" hidden="false" outlineLevel="0" max="6" min="6" style="0" width="6.71"/>
    <col collapsed="false" customWidth="true" hidden="false" outlineLevel="0" max="7" min="7" style="0" width="10.71"/>
    <col collapsed="false" customWidth="true" hidden="false" outlineLevel="0" max="8" min="8" style="0" width="8.71"/>
    <col collapsed="false" customWidth="true" hidden="false" outlineLevel="0" max="9" min="9" style="0" width="20.28"/>
    <col collapsed="false" customWidth="true" hidden="false" outlineLevel="0" max="10" min="10" style="0" width="16.71"/>
    <col collapsed="false" customWidth="true" hidden="false" outlineLevel="0" max="12" min="12" style="0" width="11.71"/>
    <col collapsed="false" customWidth="true" hidden="false" outlineLevel="0" max="13" min="13" style="0" width="16.43"/>
    <col collapsed="false" customWidth="true" hidden="false" outlineLevel="0" max="14" min="14" style="0" width="45.85"/>
  </cols>
  <sheetData>
    <row r="1" customFormat="false" ht="40.5" hidden="false" customHeight="true" outlineLevel="0" collapsed="false">
      <c r="A1" s="1" t="s">
        <v>375</v>
      </c>
      <c r="B1" s="1"/>
      <c r="C1" s="1"/>
      <c r="D1" s="1"/>
      <c r="E1" s="1"/>
      <c r="F1" s="1"/>
      <c r="G1" s="1"/>
      <c r="H1" s="1"/>
    </row>
    <row r="2" customFormat="false" ht="22.5" hidden="false" customHeight="true" outlineLevel="0" collapsed="false">
      <c r="A2" s="1" t="s">
        <v>189</v>
      </c>
      <c r="B2" s="1"/>
      <c r="C2" s="1"/>
      <c r="D2" s="1"/>
      <c r="E2" s="1"/>
      <c r="F2" s="1"/>
      <c r="G2" s="1"/>
      <c r="H2" s="1"/>
    </row>
    <row r="3" customFormat="false" ht="30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J3" s="2" t="s">
        <v>9</v>
      </c>
      <c r="L3" s="39" t="s">
        <v>190</v>
      </c>
      <c r="M3" s="2" t="s">
        <v>191</v>
      </c>
      <c r="N3" s="2" t="s">
        <v>234</v>
      </c>
    </row>
    <row r="4" customFormat="false" ht="30" hidden="false" customHeight="true" outlineLevel="0" collapsed="false">
      <c r="A4" s="2" t="s">
        <v>10</v>
      </c>
      <c r="B4" s="103" t="s">
        <v>11</v>
      </c>
      <c r="C4" s="2" t="s">
        <v>12</v>
      </c>
      <c r="D4" s="2" t="s">
        <v>13</v>
      </c>
      <c r="E4" s="3" t="n">
        <v>1.95</v>
      </c>
      <c r="F4" s="2" t="n">
        <v>2000</v>
      </c>
      <c r="G4" s="4" t="n">
        <f aca="false">F4*E4</f>
        <v>3900</v>
      </c>
      <c r="H4" s="5" t="n">
        <v>45811</v>
      </c>
      <c r="I4" s="19" t="s">
        <v>72</v>
      </c>
      <c r="J4" s="6" t="n">
        <f aca="false">G4*4.35</f>
        <v>16965</v>
      </c>
      <c r="L4" s="81"/>
      <c r="M4" s="81" t="n">
        <v>25005155</v>
      </c>
      <c r="N4" s="81"/>
    </row>
    <row r="5" customFormat="false" ht="24.75" hidden="false" customHeight="true" outlineLevel="0" collapsed="false">
      <c r="A5" s="2" t="s">
        <v>14</v>
      </c>
      <c r="B5" s="12" t="s">
        <v>104</v>
      </c>
      <c r="C5" s="12" t="s">
        <v>23</v>
      </c>
      <c r="D5" s="12" t="s">
        <v>24</v>
      </c>
      <c r="E5" s="53" t="n">
        <v>3.68</v>
      </c>
      <c r="F5" s="12" t="n">
        <v>15840</v>
      </c>
      <c r="G5" s="52" t="n">
        <f aca="false">F5*E5</f>
        <v>58291.2</v>
      </c>
      <c r="H5" s="14" t="n">
        <v>45811</v>
      </c>
      <c r="J5" s="17" t="n">
        <f aca="false">G5*4.35</f>
        <v>253566.72</v>
      </c>
      <c r="L5" s="59"/>
      <c r="M5" s="81" t="n">
        <v>91173749</v>
      </c>
      <c r="N5" s="82"/>
    </row>
    <row r="6" customFormat="false" ht="24.75" hidden="false" customHeight="true" outlineLevel="0" collapsed="false">
      <c r="A6" s="12" t="s">
        <v>18</v>
      </c>
      <c r="B6" s="12" t="s">
        <v>35</v>
      </c>
      <c r="C6" s="12" t="s">
        <v>92</v>
      </c>
      <c r="D6" s="12" t="s">
        <v>37</v>
      </c>
      <c r="E6" s="17" t="n">
        <v>4.5</v>
      </c>
      <c r="F6" s="12" t="n">
        <v>4000</v>
      </c>
      <c r="G6" s="16" t="n">
        <f aca="false">F6*E6</f>
        <v>18000</v>
      </c>
      <c r="H6" s="14" t="n">
        <v>45813</v>
      </c>
      <c r="I6" s="37"/>
      <c r="J6" s="17" t="n">
        <f aca="false">G6</f>
        <v>18000</v>
      </c>
      <c r="L6" s="81"/>
      <c r="M6" s="100" t="n">
        <v>45809</v>
      </c>
      <c r="N6" s="81"/>
    </row>
    <row r="7" customFormat="false" ht="24.75" hidden="false" customHeight="true" outlineLevel="0" collapsed="false">
      <c r="A7" s="2" t="s">
        <v>21</v>
      </c>
      <c r="B7" s="12" t="s">
        <v>174</v>
      </c>
      <c r="C7" s="12" t="s">
        <v>23</v>
      </c>
      <c r="D7" s="12" t="s">
        <v>95</v>
      </c>
      <c r="E7" s="53" t="n">
        <v>3.03</v>
      </c>
      <c r="F7" s="12" t="n">
        <v>4000</v>
      </c>
      <c r="G7" s="52" t="n">
        <f aca="false">F7*E7</f>
        <v>12120</v>
      </c>
      <c r="H7" s="14" t="n">
        <v>45813</v>
      </c>
      <c r="I7" s="15"/>
      <c r="J7" s="17" t="n">
        <f aca="false">G7*4.35</f>
        <v>52722</v>
      </c>
      <c r="L7" s="59"/>
      <c r="M7" s="81" t="s">
        <v>376</v>
      </c>
      <c r="N7" s="82"/>
    </row>
    <row r="8" customFormat="false" ht="24.75" hidden="false" customHeight="true" outlineLevel="0" collapsed="false">
      <c r="A8" s="2" t="s">
        <v>25</v>
      </c>
      <c r="B8" s="12" t="s">
        <v>170</v>
      </c>
      <c r="C8" s="12" t="s">
        <v>65</v>
      </c>
      <c r="D8" s="12" t="s">
        <v>69</v>
      </c>
      <c r="E8" s="17" t="n">
        <v>5.25</v>
      </c>
      <c r="F8" s="12" t="n">
        <v>1375</v>
      </c>
      <c r="G8" s="16" t="n">
        <f aca="false">F8*E8</f>
        <v>7218.75</v>
      </c>
      <c r="H8" s="14" t="n">
        <v>45813</v>
      </c>
      <c r="I8" s="88"/>
      <c r="J8" s="17" t="n">
        <f aca="false">G8</f>
        <v>7218.75</v>
      </c>
      <c r="L8" s="80"/>
      <c r="M8" s="81" t="s">
        <v>377</v>
      </c>
      <c r="N8" s="82"/>
    </row>
    <row r="9" customFormat="false" ht="24.75" hidden="false" customHeight="true" outlineLevel="0" collapsed="false">
      <c r="A9" s="2" t="s">
        <v>43</v>
      </c>
      <c r="B9" s="12" t="s">
        <v>19</v>
      </c>
      <c r="C9" s="12" t="s">
        <v>161</v>
      </c>
      <c r="D9" s="12" t="s">
        <v>69</v>
      </c>
      <c r="E9" s="17" t="n">
        <v>5.25</v>
      </c>
      <c r="F9" s="12" t="n">
        <v>1375</v>
      </c>
      <c r="G9" s="16" t="n">
        <f aca="false">F9*E9</f>
        <v>7218.75</v>
      </c>
      <c r="H9" s="14" t="n">
        <v>45818</v>
      </c>
      <c r="I9" s="37"/>
      <c r="J9" s="17" t="n">
        <f aca="false">G9</f>
        <v>7218.75</v>
      </c>
      <c r="L9" s="59"/>
      <c r="M9" s="99" t="s">
        <v>378</v>
      </c>
      <c r="N9" s="86"/>
    </row>
    <row r="10" customFormat="false" ht="24.75" hidden="false" customHeight="true" outlineLevel="0" collapsed="false">
      <c r="A10" s="2" t="s">
        <v>34</v>
      </c>
      <c r="B10" s="94" t="s">
        <v>351</v>
      </c>
      <c r="C10" s="12" t="s">
        <v>106</v>
      </c>
      <c r="D10" s="12" t="s">
        <v>20</v>
      </c>
      <c r="E10" s="17" t="n">
        <v>12.7</v>
      </c>
      <c r="F10" s="12" t="n">
        <v>100</v>
      </c>
      <c r="G10" s="112" t="n">
        <f aca="false">F10*E10</f>
        <v>1270</v>
      </c>
      <c r="H10" s="14" t="n">
        <v>45821</v>
      </c>
      <c r="J10" s="17" t="n">
        <f aca="false">G10*4.35</f>
        <v>5524.5</v>
      </c>
      <c r="L10" s="59"/>
      <c r="M10" s="99" t="s">
        <v>379</v>
      </c>
      <c r="N10" s="86"/>
    </row>
    <row r="11" customFormat="false" ht="24.75" hidden="false" customHeight="true" outlineLevel="0" collapsed="false">
      <c r="A11" s="2" t="s">
        <v>39</v>
      </c>
      <c r="B11" s="2" t="s">
        <v>163</v>
      </c>
      <c r="C11" s="2" t="s">
        <v>65</v>
      </c>
      <c r="D11" s="2" t="s">
        <v>121</v>
      </c>
      <c r="E11" s="3" t="n">
        <v>2.75</v>
      </c>
      <c r="F11" s="2" t="n">
        <v>1000</v>
      </c>
      <c r="G11" s="4" t="n">
        <f aca="false">F11*E11</f>
        <v>2750</v>
      </c>
      <c r="H11" s="5" t="n">
        <v>45825</v>
      </c>
      <c r="I11" s="19"/>
      <c r="J11" s="6" t="n">
        <f aca="false">G11*4.35</f>
        <v>11962.5</v>
      </c>
      <c r="L11" s="59"/>
      <c r="M11" s="81" t="n">
        <v>1289375</v>
      </c>
      <c r="N11" s="82"/>
    </row>
    <row r="12" customFormat="false" ht="24.75" hidden="false" customHeight="true" outlineLevel="0" collapsed="false">
      <c r="A12" s="12" t="s">
        <v>43</v>
      </c>
      <c r="B12" s="103" t="s">
        <v>11</v>
      </c>
      <c r="C12" s="2" t="s">
        <v>12</v>
      </c>
      <c r="D12" s="2" t="s">
        <v>13</v>
      </c>
      <c r="E12" s="3" t="n">
        <v>1.95</v>
      </c>
      <c r="F12" s="2" t="n">
        <v>2000</v>
      </c>
      <c r="G12" s="4" t="n">
        <f aca="false">F12*E12</f>
        <v>3900</v>
      </c>
      <c r="H12" s="5" t="n">
        <v>45826</v>
      </c>
      <c r="I12" s="19" t="s">
        <v>72</v>
      </c>
      <c r="J12" s="6" t="n">
        <f aca="false">G12*4.35</f>
        <v>16965</v>
      </c>
      <c r="L12" s="59"/>
      <c r="M12" s="81" t="n">
        <v>25004686</v>
      </c>
      <c r="N12" s="82"/>
    </row>
    <row r="13" customFormat="false" ht="24.75" hidden="false" customHeight="true" outlineLevel="0" collapsed="false">
      <c r="A13" s="2" t="s">
        <v>45</v>
      </c>
      <c r="B13" s="12" t="s">
        <v>100</v>
      </c>
      <c r="C13" s="12" t="s">
        <v>101</v>
      </c>
      <c r="D13" s="12" t="s">
        <v>28</v>
      </c>
      <c r="E13" s="17" t="n">
        <v>3.5</v>
      </c>
      <c r="F13" s="12" t="n">
        <v>2000</v>
      </c>
      <c r="G13" s="16" t="n">
        <f aca="false">F13*E13</f>
        <v>7000</v>
      </c>
      <c r="H13" s="14" t="n">
        <v>45826</v>
      </c>
      <c r="I13" s="51"/>
      <c r="J13" s="17" t="n">
        <f aca="false">G13</f>
        <v>7000</v>
      </c>
      <c r="L13" s="59"/>
      <c r="M13" s="81" t="s">
        <v>380</v>
      </c>
      <c r="N13" s="82"/>
    </row>
    <row r="14" customFormat="false" ht="24.75" hidden="false" customHeight="true" outlineLevel="0" collapsed="false">
      <c r="A14" s="2" t="s">
        <v>48</v>
      </c>
      <c r="B14" s="12" t="s">
        <v>174</v>
      </c>
      <c r="C14" s="12" t="s">
        <v>23</v>
      </c>
      <c r="D14" s="12" t="s">
        <v>95</v>
      </c>
      <c r="E14" s="53" t="n">
        <v>3.03</v>
      </c>
      <c r="F14" s="12" t="n">
        <v>2000</v>
      </c>
      <c r="G14" s="52" t="n">
        <f aca="false">F14*E14</f>
        <v>6060</v>
      </c>
      <c r="H14" s="14" t="n">
        <v>45838</v>
      </c>
      <c r="I14" s="15"/>
      <c r="J14" s="17" t="n">
        <f aca="false">G14*4.35</f>
        <v>26361</v>
      </c>
      <c r="L14" s="59"/>
      <c r="M14" s="81" t="s">
        <v>381</v>
      </c>
      <c r="N14" s="82"/>
    </row>
    <row r="15" customFormat="false" ht="24.75" hidden="false" customHeight="true" outlineLevel="0" collapsed="false">
      <c r="A15" s="12" t="s">
        <v>51</v>
      </c>
      <c r="B15" s="12"/>
      <c r="C15" s="12"/>
      <c r="D15" s="12"/>
      <c r="E15" s="17"/>
      <c r="F15" s="12"/>
      <c r="G15" s="16"/>
      <c r="H15" s="14"/>
      <c r="I15" s="51"/>
      <c r="J15" s="6" t="n">
        <f aca="false">G15</f>
        <v>0</v>
      </c>
      <c r="L15" s="101"/>
      <c r="M15" s="102"/>
      <c r="N15" s="44"/>
    </row>
    <row r="16" customFormat="false" ht="24.75" hidden="false" customHeight="true" outlineLevel="0" collapsed="false">
      <c r="A16" s="2" t="s">
        <v>55</v>
      </c>
      <c r="B16" s="103"/>
      <c r="C16" s="2"/>
      <c r="D16" s="2"/>
      <c r="E16" s="3"/>
      <c r="F16" s="2"/>
      <c r="G16" s="4"/>
      <c r="H16" s="5"/>
      <c r="I16" s="19"/>
      <c r="J16" s="6" t="n">
        <f aca="false">G16</f>
        <v>0</v>
      </c>
      <c r="L16" s="101"/>
      <c r="M16" s="102"/>
      <c r="N16" s="44"/>
    </row>
    <row r="17" customFormat="false" ht="24.75" hidden="false" customHeight="true" outlineLevel="0" collapsed="false">
      <c r="A17" s="2" t="s">
        <v>57</v>
      </c>
      <c r="B17" s="12"/>
      <c r="C17" s="12"/>
      <c r="D17" s="12"/>
      <c r="E17" s="17"/>
      <c r="F17" s="12"/>
      <c r="G17" s="16"/>
      <c r="H17" s="14"/>
      <c r="I17" s="37"/>
      <c r="J17" s="6" t="n">
        <f aca="false">G17</f>
        <v>0</v>
      </c>
      <c r="L17" s="101"/>
      <c r="M17" s="102"/>
      <c r="N17" s="44"/>
    </row>
    <row r="18" customFormat="false" ht="24.75" hidden="false" customHeight="true" outlineLevel="0" collapsed="false">
      <c r="A18" s="12" t="s">
        <v>59</v>
      </c>
      <c r="B18" s="2"/>
      <c r="C18" s="2"/>
      <c r="D18" s="2"/>
      <c r="E18" s="3"/>
      <c r="F18" s="2"/>
      <c r="G18" s="4"/>
      <c r="H18" s="5"/>
      <c r="J18" s="6" t="n">
        <f aca="false">G18</f>
        <v>0</v>
      </c>
      <c r="L18" s="101"/>
      <c r="M18" s="102"/>
      <c r="N18" s="44"/>
    </row>
    <row r="19" customFormat="false" ht="24.75" hidden="false" customHeight="true" outlineLevel="0" collapsed="false">
      <c r="A19" s="2" t="s">
        <v>61</v>
      </c>
      <c r="B19" s="11"/>
      <c r="C19" s="2"/>
      <c r="D19" s="2"/>
      <c r="E19" s="6"/>
      <c r="F19" s="2"/>
      <c r="G19" s="7"/>
      <c r="H19" s="42"/>
      <c r="J19" s="6" t="n">
        <f aca="false">G19</f>
        <v>0</v>
      </c>
      <c r="L19" s="101"/>
      <c r="M19" s="102"/>
      <c r="N19" s="44"/>
    </row>
    <row r="20" customFormat="false" ht="15" hidden="false" customHeight="false" outlineLevel="0" collapsed="false">
      <c r="J20" s="25" t="n">
        <f aca="false">SUM(J4:J19)</f>
        <v>423504.22</v>
      </c>
    </row>
    <row r="21" customFormat="false" ht="15" hidden="false" customHeight="false" outlineLevel="0" collapsed="false">
      <c r="J21" s="18"/>
    </row>
    <row r="22" customFormat="false" ht="26.25" hidden="false" customHeight="true" outlineLevel="0" collapsed="false">
      <c r="A22" s="1" t="s">
        <v>210</v>
      </c>
      <c r="B22" s="1"/>
      <c r="C22" s="1"/>
      <c r="D22" s="1"/>
      <c r="E22" s="1"/>
      <c r="F22" s="1"/>
      <c r="G22" s="1"/>
      <c r="H22" s="1"/>
    </row>
    <row r="23" customFormat="false" ht="30" hidden="false" customHeight="false" outlineLevel="0" collapsed="false">
      <c r="A23" s="2" t="s">
        <v>1</v>
      </c>
      <c r="B23" s="2" t="s">
        <v>2</v>
      </c>
      <c r="C23" s="2" t="s">
        <v>3</v>
      </c>
      <c r="D23" s="2" t="s">
        <v>4</v>
      </c>
      <c r="E23" s="2" t="s">
        <v>5</v>
      </c>
      <c r="F23" s="2" t="s">
        <v>6</v>
      </c>
      <c r="G23" s="2" t="s">
        <v>7</v>
      </c>
      <c r="H23" s="2" t="s">
        <v>8</v>
      </c>
      <c r="J23" s="2" t="s">
        <v>9</v>
      </c>
    </row>
    <row r="24" customFormat="false" ht="30" hidden="false" customHeight="false" outlineLevel="0" collapsed="false">
      <c r="A24" s="12" t="s">
        <v>10</v>
      </c>
      <c r="B24" s="2" t="s">
        <v>382</v>
      </c>
      <c r="C24" s="2" t="s">
        <v>23</v>
      </c>
      <c r="D24" s="2" t="s">
        <v>157</v>
      </c>
      <c r="E24" s="3" t="n">
        <v>70.36</v>
      </c>
      <c r="F24" s="2" t="n">
        <v>25</v>
      </c>
      <c r="G24" s="4" t="n">
        <f aca="false">F24*E24</f>
        <v>1759</v>
      </c>
      <c r="H24" s="5" t="n">
        <v>45810</v>
      </c>
      <c r="J24" s="6" t="n">
        <f aca="false">G24*4.35</f>
        <v>7651.65</v>
      </c>
      <c r="L24" s="59"/>
      <c r="M24" s="81" t="s">
        <v>383</v>
      </c>
      <c r="N24" s="81"/>
    </row>
    <row r="25" customFormat="false" ht="15" hidden="false" customHeight="false" outlineLevel="0" collapsed="false">
      <c r="A25" s="12" t="s">
        <v>14</v>
      </c>
      <c r="B25" s="70" t="s">
        <v>384</v>
      </c>
      <c r="C25" s="2" t="s">
        <v>385</v>
      </c>
      <c r="D25" s="2" t="s">
        <v>212</v>
      </c>
      <c r="E25" s="67"/>
      <c r="F25" s="2" t="n">
        <v>25</v>
      </c>
      <c r="G25" s="96"/>
      <c r="H25" s="5" t="n">
        <v>45813</v>
      </c>
      <c r="J25" s="6" t="n">
        <f aca="false">G25</f>
        <v>0</v>
      </c>
      <c r="L25" s="59"/>
      <c r="M25" s="81" t="s">
        <v>386</v>
      </c>
      <c r="N25" s="81"/>
    </row>
    <row r="26" customFormat="false" ht="15" hidden="false" customHeight="false" outlineLevel="0" collapsed="false">
      <c r="A26" s="12" t="s">
        <v>18</v>
      </c>
      <c r="B26" s="2" t="s">
        <v>228</v>
      </c>
      <c r="C26" s="2" t="s">
        <v>65</v>
      </c>
      <c r="D26" s="2" t="s">
        <v>229</v>
      </c>
      <c r="E26" s="67"/>
      <c r="F26" s="2" t="n">
        <v>50</v>
      </c>
      <c r="G26" s="96"/>
      <c r="H26" s="5" t="n">
        <v>45812</v>
      </c>
      <c r="J26" s="6" t="n">
        <f aca="false">G26</f>
        <v>0</v>
      </c>
      <c r="L26" s="59"/>
      <c r="M26" s="81" t="n">
        <v>90251514</v>
      </c>
      <c r="N26" s="81"/>
    </row>
    <row r="27" customFormat="false" ht="15" hidden="false" customHeight="false" outlineLevel="0" collapsed="false">
      <c r="A27" s="12" t="s">
        <v>21</v>
      </c>
      <c r="B27" s="70" t="s">
        <v>387</v>
      </c>
      <c r="C27" s="2"/>
      <c r="D27" s="2"/>
      <c r="E27" s="6"/>
      <c r="F27" s="2"/>
      <c r="G27" s="96"/>
      <c r="H27" s="74"/>
      <c r="J27" s="6" t="n">
        <f aca="false">G27</f>
        <v>0</v>
      </c>
      <c r="L27" s="59"/>
      <c r="M27" s="81" t="s">
        <v>388</v>
      </c>
      <c r="N27" s="81"/>
    </row>
    <row r="28" customFormat="false" ht="15" hidden="false" customHeight="false" outlineLevel="0" collapsed="false">
      <c r="A28" s="12" t="s">
        <v>25</v>
      </c>
      <c r="B28" s="2" t="s">
        <v>389</v>
      </c>
      <c r="C28" s="2"/>
      <c r="D28" s="2"/>
      <c r="E28" s="3"/>
      <c r="F28" s="2"/>
      <c r="G28" s="4"/>
      <c r="H28" s="5"/>
      <c r="J28" s="6" t="n">
        <f aca="false">G28*4.35</f>
        <v>0</v>
      </c>
      <c r="L28" s="59"/>
      <c r="M28" s="81" t="s">
        <v>390</v>
      </c>
      <c r="N28" s="81"/>
    </row>
    <row r="29" customFormat="false" ht="15" hidden="false" customHeight="false" outlineLevel="0" collapsed="false">
      <c r="A29" s="12" t="s">
        <v>30</v>
      </c>
      <c r="B29" s="70" t="s">
        <v>264</v>
      </c>
      <c r="C29" s="2"/>
      <c r="D29" s="2"/>
      <c r="E29" s="6"/>
      <c r="F29" s="2"/>
      <c r="G29" s="7"/>
      <c r="H29" s="42"/>
      <c r="J29" s="6" t="n">
        <f aca="false">G29*4.35</f>
        <v>0</v>
      </c>
      <c r="L29" s="59"/>
      <c r="M29" s="81" t="s">
        <v>391</v>
      </c>
      <c r="N29" s="81"/>
    </row>
    <row r="30" customFormat="false" ht="15" hidden="false" customHeight="false" outlineLevel="0" collapsed="false">
      <c r="A30" s="12" t="s">
        <v>34</v>
      </c>
      <c r="B30" s="70"/>
      <c r="C30" s="2"/>
      <c r="D30" s="2"/>
      <c r="E30" s="3"/>
      <c r="F30" s="2"/>
      <c r="G30" s="4"/>
      <c r="H30" s="5"/>
      <c r="J30" s="6" t="n">
        <f aca="false">G30*4.35</f>
        <v>0</v>
      </c>
      <c r="L30" s="101"/>
      <c r="M30" s="102"/>
      <c r="N30" s="111"/>
    </row>
    <row r="31" customFormat="false" ht="15" hidden="false" customHeight="false" outlineLevel="0" collapsed="false">
      <c r="A31" s="12" t="s">
        <v>39</v>
      </c>
      <c r="B31" s="70"/>
      <c r="C31" s="2"/>
      <c r="D31" s="2"/>
      <c r="E31" s="6"/>
      <c r="F31" s="2"/>
      <c r="G31" s="7"/>
      <c r="H31" s="42"/>
      <c r="J31" s="6" t="n">
        <f aca="false">G31*4.35</f>
        <v>0</v>
      </c>
      <c r="L31" s="101"/>
      <c r="M31" s="102"/>
      <c r="N31" s="111"/>
    </row>
    <row r="32" customFormat="false" ht="15" hidden="false" customHeight="false" outlineLevel="0" collapsed="false">
      <c r="A32" s="12" t="s">
        <v>43</v>
      </c>
      <c r="B32" s="70"/>
      <c r="C32" s="2"/>
      <c r="D32" s="2"/>
      <c r="E32" s="3"/>
      <c r="F32" s="2"/>
      <c r="G32" s="4"/>
      <c r="H32" s="5"/>
      <c r="J32" s="6" t="n">
        <f aca="false">G32*4.35</f>
        <v>0</v>
      </c>
      <c r="L32" s="101"/>
      <c r="M32" s="102"/>
      <c r="N32" s="111"/>
    </row>
    <row r="33" customFormat="false" ht="15" hidden="false" customHeight="false" outlineLevel="0" collapsed="false">
      <c r="A33" s="12" t="s">
        <v>45</v>
      </c>
      <c r="B33" s="70"/>
      <c r="C33" s="2"/>
      <c r="D33" s="2"/>
      <c r="E33" s="6"/>
      <c r="F33" s="2"/>
      <c r="G33" s="7"/>
      <c r="H33" s="42"/>
      <c r="J33" s="6" t="n">
        <f aca="false">G33*4.35</f>
        <v>0</v>
      </c>
      <c r="L33" s="101"/>
      <c r="M33" s="102"/>
      <c r="N33" s="111"/>
    </row>
    <row r="34" customFormat="false" ht="15" hidden="false" customHeight="false" outlineLevel="0" collapsed="false">
      <c r="A34" s="12" t="s">
        <v>48</v>
      </c>
      <c r="B34" s="70"/>
      <c r="C34" s="2"/>
      <c r="D34" s="2"/>
      <c r="E34" s="6"/>
      <c r="F34" s="2"/>
      <c r="G34" s="7"/>
      <c r="H34" s="42"/>
      <c r="J34" s="6"/>
      <c r="L34" s="101"/>
      <c r="M34" s="102"/>
      <c r="N34" s="111"/>
    </row>
    <row r="35" customFormat="false" ht="15" hidden="false" customHeight="false" outlineLevel="0" collapsed="false">
      <c r="A35" s="12" t="s">
        <v>51</v>
      </c>
      <c r="B35" s="2"/>
      <c r="C35" s="2"/>
      <c r="D35" s="2"/>
      <c r="E35" s="3"/>
      <c r="F35" s="2"/>
      <c r="G35" s="4"/>
      <c r="H35" s="5"/>
      <c r="J35" s="6" t="n">
        <f aca="false">G35*4.35</f>
        <v>0</v>
      </c>
      <c r="L35" s="101"/>
      <c r="M35" s="102"/>
      <c r="N35" s="102"/>
    </row>
    <row r="36" customFormat="false" ht="15" hidden="false" customHeight="false" outlineLevel="0" collapsed="false">
      <c r="J36" s="25" t="n">
        <f aca="false">SUM(J24:J35)</f>
        <v>7651.65</v>
      </c>
    </row>
    <row r="40" customFormat="false" ht="15" hidden="false" customHeight="false" outlineLevel="0" collapsed="false">
      <c r="C40" s="40"/>
    </row>
  </sheetData>
  <mergeCells count="3">
    <mergeCell ref="A1:H1"/>
    <mergeCell ref="A2:H2"/>
    <mergeCell ref="A22:H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24.72"/>
    <col collapsed="false" customWidth="true" hidden="false" outlineLevel="0" max="4" min="3" style="0" width="15.71"/>
    <col collapsed="false" customWidth="true" hidden="false" outlineLevel="0" max="5" min="5" style="0" width="9.85"/>
    <col collapsed="false" customWidth="true" hidden="false" outlineLevel="0" max="6" min="6" style="0" width="6.71"/>
    <col collapsed="false" customWidth="true" hidden="false" outlineLevel="0" max="7" min="7" style="0" width="10.71"/>
    <col collapsed="false" customWidth="true" hidden="false" outlineLevel="0" max="8" min="8" style="0" width="8.71"/>
    <col collapsed="false" customWidth="true" hidden="false" outlineLevel="0" max="9" min="9" style="0" width="20.28"/>
    <col collapsed="false" customWidth="true" hidden="false" outlineLevel="0" max="10" min="10" style="0" width="16.71"/>
    <col collapsed="false" customWidth="true" hidden="false" outlineLevel="0" max="12" min="12" style="0" width="11.71"/>
    <col collapsed="false" customWidth="true" hidden="false" outlineLevel="0" max="13" min="13" style="0" width="16.43"/>
    <col collapsed="false" customWidth="true" hidden="false" outlineLevel="0" max="14" min="14" style="0" width="45.85"/>
  </cols>
  <sheetData>
    <row r="1" customFormat="false" ht="40.5" hidden="false" customHeight="true" outlineLevel="0" collapsed="false">
      <c r="A1" s="1" t="s">
        <v>392</v>
      </c>
      <c r="B1" s="1"/>
      <c r="C1" s="1"/>
      <c r="D1" s="1"/>
      <c r="E1" s="1"/>
      <c r="F1" s="1"/>
      <c r="G1" s="1"/>
      <c r="H1" s="1"/>
    </row>
    <row r="2" customFormat="false" ht="22.5" hidden="false" customHeight="true" outlineLevel="0" collapsed="false">
      <c r="A2" s="1" t="s">
        <v>189</v>
      </c>
      <c r="B2" s="1"/>
      <c r="C2" s="1"/>
      <c r="D2" s="1"/>
      <c r="E2" s="1"/>
      <c r="F2" s="1"/>
      <c r="G2" s="1"/>
      <c r="H2" s="1"/>
    </row>
    <row r="3" customFormat="false" ht="30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J3" s="2" t="s">
        <v>9</v>
      </c>
      <c r="L3" s="39" t="s">
        <v>190</v>
      </c>
      <c r="M3" s="2" t="s">
        <v>191</v>
      </c>
      <c r="N3" s="2" t="s">
        <v>234</v>
      </c>
    </row>
    <row r="4" customFormat="false" ht="30" hidden="false" customHeight="true" outlineLevel="0" collapsed="false">
      <c r="A4" s="2" t="s">
        <v>10</v>
      </c>
      <c r="B4" s="12" t="s">
        <v>177</v>
      </c>
      <c r="C4" s="12" t="s">
        <v>393</v>
      </c>
      <c r="D4" s="12" t="s">
        <v>149</v>
      </c>
      <c r="E4" s="17" t="n">
        <v>10.9</v>
      </c>
      <c r="F4" s="12" t="n">
        <v>750</v>
      </c>
      <c r="G4" s="16" t="n">
        <f aca="false">F4*E4</f>
        <v>8175</v>
      </c>
      <c r="H4" s="14" t="n">
        <v>45840</v>
      </c>
      <c r="I4" s="51"/>
      <c r="J4" s="17" t="n">
        <f aca="false">G4</f>
        <v>8175</v>
      </c>
      <c r="L4" s="81"/>
      <c r="M4" s="81" t="s">
        <v>394</v>
      </c>
      <c r="N4" s="81"/>
    </row>
    <row r="5" customFormat="false" ht="24.75" hidden="false" customHeight="true" outlineLevel="0" collapsed="false">
      <c r="A5" s="2" t="s">
        <v>14</v>
      </c>
      <c r="B5" s="12" t="s">
        <v>19</v>
      </c>
      <c r="C5" s="12" t="s">
        <v>161</v>
      </c>
      <c r="D5" s="12" t="s">
        <v>69</v>
      </c>
      <c r="E5" s="17" t="n">
        <v>5.25</v>
      </c>
      <c r="F5" s="12" t="n">
        <v>1375</v>
      </c>
      <c r="G5" s="16" t="n">
        <f aca="false">F5*E5</f>
        <v>7218.75</v>
      </c>
      <c r="H5" s="14" t="n">
        <v>45846</v>
      </c>
      <c r="I5" s="37"/>
      <c r="J5" s="17" t="n">
        <f aca="false">G5</f>
        <v>7218.75</v>
      </c>
      <c r="L5" s="81"/>
      <c r="M5" s="81" t="s">
        <v>395</v>
      </c>
      <c r="N5" s="81"/>
    </row>
    <row r="6" customFormat="false" ht="24.75" hidden="false" customHeight="true" outlineLevel="0" collapsed="false">
      <c r="A6" s="12" t="s">
        <v>18</v>
      </c>
      <c r="B6" s="2" t="s">
        <v>133</v>
      </c>
      <c r="C6" s="2" t="s">
        <v>106</v>
      </c>
      <c r="D6" s="2" t="s">
        <v>20</v>
      </c>
      <c r="E6" s="6" t="n">
        <v>13</v>
      </c>
      <c r="F6" s="2" t="n">
        <v>350</v>
      </c>
      <c r="G6" s="7" t="n">
        <f aca="false">F6*E6</f>
        <v>4550</v>
      </c>
      <c r="H6" s="5" t="n">
        <v>45848</v>
      </c>
      <c r="J6" s="6" t="n">
        <f aca="false">G6</f>
        <v>4550</v>
      </c>
      <c r="L6" s="59"/>
      <c r="M6" s="81" t="s">
        <v>396</v>
      </c>
      <c r="N6" s="82"/>
    </row>
    <row r="7" customFormat="false" ht="30.75" hidden="false" customHeight="true" outlineLevel="0" collapsed="false">
      <c r="A7" s="2" t="s">
        <v>21</v>
      </c>
      <c r="B7" s="12" t="s">
        <v>174</v>
      </c>
      <c r="C7" s="12" t="s">
        <v>23</v>
      </c>
      <c r="D7" s="12" t="s">
        <v>95</v>
      </c>
      <c r="E7" s="53" t="n">
        <v>3.03</v>
      </c>
      <c r="F7" s="12" t="n">
        <v>3000</v>
      </c>
      <c r="G7" s="52" t="n">
        <f aca="false">F7*E7</f>
        <v>9090</v>
      </c>
      <c r="H7" s="14" t="n">
        <v>45853</v>
      </c>
      <c r="I7" s="88"/>
      <c r="J7" s="17" t="n">
        <f aca="false">G7*4.35</f>
        <v>39541.5</v>
      </c>
      <c r="L7" s="80"/>
      <c r="M7" s="81" t="s">
        <v>397</v>
      </c>
      <c r="N7" s="82"/>
    </row>
    <row r="8" customFormat="false" ht="24.75" hidden="false" customHeight="true" outlineLevel="0" collapsed="false">
      <c r="A8" s="2" t="s">
        <v>25</v>
      </c>
      <c r="B8" s="2" t="s">
        <v>163</v>
      </c>
      <c r="C8" s="2" t="s">
        <v>65</v>
      </c>
      <c r="D8" s="2" t="s">
        <v>121</v>
      </c>
      <c r="E8" s="3" t="n">
        <v>2.75</v>
      </c>
      <c r="F8" s="2" t="n">
        <v>1000</v>
      </c>
      <c r="G8" s="4" t="n">
        <f aca="false">F8*E8</f>
        <v>2750</v>
      </c>
      <c r="H8" s="14" t="n">
        <v>45854</v>
      </c>
      <c r="I8" s="88"/>
      <c r="J8" s="17" t="n">
        <f aca="false">G8*4.35</f>
        <v>11962.5</v>
      </c>
      <c r="L8" s="59"/>
      <c r="M8" s="99" t="n">
        <v>1290732</v>
      </c>
      <c r="N8" s="86"/>
    </row>
    <row r="9" customFormat="false" ht="24.75" hidden="false" customHeight="true" outlineLevel="0" collapsed="false">
      <c r="A9" s="2" t="s">
        <v>30</v>
      </c>
      <c r="B9" s="2" t="s">
        <v>84</v>
      </c>
      <c r="C9" s="2" t="s">
        <v>85</v>
      </c>
      <c r="D9" s="2" t="s">
        <v>86</v>
      </c>
      <c r="E9" s="6" t="n">
        <v>4.6</v>
      </c>
      <c r="F9" s="2" t="n">
        <v>1000</v>
      </c>
      <c r="G9" s="7" t="n">
        <v>9200</v>
      </c>
      <c r="H9" s="14" t="n">
        <v>45854</v>
      </c>
      <c r="I9" s="37"/>
      <c r="J9" s="17" t="n">
        <f aca="false">G9</f>
        <v>9200</v>
      </c>
      <c r="L9" s="59"/>
      <c r="M9" s="99" t="s">
        <v>398</v>
      </c>
      <c r="N9" s="86"/>
    </row>
    <row r="10" customFormat="false" ht="24.75" hidden="false" customHeight="true" outlineLevel="0" collapsed="false">
      <c r="A10" s="2" t="s">
        <v>34</v>
      </c>
      <c r="B10" s="12" t="s">
        <v>49</v>
      </c>
      <c r="C10" s="94" t="s">
        <v>327</v>
      </c>
      <c r="D10" s="12" t="s">
        <v>13</v>
      </c>
      <c r="E10" s="13" t="n">
        <v>1.95</v>
      </c>
      <c r="F10" s="12" t="n">
        <v>500</v>
      </c>
      <c r="G10" s="52" t="n">
        <f aca="false">F10*E10</f>
        <v>975</v>
      </c>
      <c r="H10" s="14" t="n">
        <v>45855</v>
      </c>
      <c r="I10" s="19"/>
      <c r="J10" s="6" t="n">
        <f aca="false">G10*4.35</f>
        <v>4241.25</v>
      </c>
      <c r="L10" s="59"/>
      <c r="M10" s="81" t="n">
        <v>25005971</v>
      </c>
      <c r="N10" s="82"/>
    </row>
    <row r="11" customFormat="false" ht="24.75" hidden="false" customHeight="true" outlineLevel="0" collapsed="false">
      <c r="A11" s="12" t="s">
        <v>39</v>
      </c>
      <c r="B11" s="12" t="s">
        <v>89</v>
      </c>
      <c r="C11" s="12" t="s">
        <v>187</v>
      </c>
      <c r="D11" s="12" t="s">
        <v>37</v>
      </c>
      <c r="E11" s="17" t="n">
        <v>3.5</v>
      </c>
      <c r="F11" s="12" t="n">
        <v>2000</v>
      </c>
      <c r="G11" s="16" t="n">
        <f aca="false">F11*E11</f>
        <v>7000</v>
      </c>
      <c r="H11" s="14" t="n">
        <v>45856</v>
      </c>
      <c r="I11" s="37"/>
      <c r="J11" s="17" t="n">
        <f aca="false">G11</f>
        <v>7000</v>
      </c>
      <c r="L11" s="59"/>
      <c r="M11" s="81"/>
      <c r="N11" s="82"/>
    </row>
    <row r="12" customFormat="false" ht="24.75" hidden="false" customHeight="true" outlineLevel="0" collapsed="false">
      <c r="A12" s="2" t="s">
        <v>43</v>
      </c>
      <c r="B12" s="12" t="s">
        <v>118</v>
      </c>
      <c r="C12" s="12" t="s">
        <v>119</v>
      </c>
      <c r="D12" s="12" t="s">
        <v>54</v>
      </c>
      <c r="E12" s="17" t="n">
        <v>6.5</v>
      </c>
      <c r="F12" s="12" t="n">
        <v>1000</v>
      </c>
      <c r="G12" s="16" t="n">
        <f aca="false">F12*E12</f>
        <v>6500</v>
      </c>
      <c r="H12" s="14" t="n">
        <v>45856</v>
      </c>
      <c r="J12" s="6" t="n">
        <f aca="false">G12</f>
        <v>6500</v>
      </c>
      <c r="L12" s="59"/>
      <c r="M12" s="81" t="s">
        <v>399</v>
      </c>
      <c r="N12" s="82"/>
    </row>
    <row r="13" customFormat="false" ht="24.75" hidden="false" customHeight="true" outlineLevel="0" collapsed="false">
      <c r="A13" s="2" t="s">
        <v>45</v>
      </c>
      <c r="B13" s="12" t="s">
        <v>248</v>
      </c>
      <c r="C13" s="12" t="s">
        <v>16</v>
      </c>
      <c r="D13" s="12" t="s">
        <v>17</v>
      </c>
      <c r="E13" s="17" t="n">
        <v>17.4</v>
      </c>
      <c r="F13" s="12" t="n">
        <v>250</v>
      </c>
      <c r="G13" s="16" t="n">
        <f aca="false">F13*E13</f>
        <v>4350</v>
      </c>
      <c r="H13" s="14" t="n">
        <v>45856</v>
      </c>
      <c r="I13" s="15"/>
      <c r="J13" s="17" t="n">
        <f aca="false">G13</f>
        <v>4350</v>
      </c>
      <c r="L13" s="59"/>
      <c r="M13" s="81" t="s">
        <v>400</v>
      </c>
      <c r="N13" s="82"/>
    </row>
    <row r="14" customFormat="false" ht="24.75" hidden="false" customHeight="true" outlineLevel="0" collapsed="false">
      <c r="A14" s="2" t="s">
        <v>48</v>
      </c>
      <c r="B14" s="89" t="s">
        <v>249</v>
      </c>
      <c r="C14" s="12" t="s">
        <v>16</v>
      </c>
      <c r="D14" s="12" t="s">
        <v>103</v>
      </c>
      <c r="E14" s="3" t="n">
        <v>2.6</v>
      </c>
      <c r="F14" s="12" t="n">
        <v>1000</v>
      </c>
      <c r="G14" s="4" t="n">
        <f aca="false">F14*E14</f>
        <v>2600</v>
      </c>
      <c r="H14" s="14" t="n">
        <v>45856</v>
      </c>
      <c r="I14" s="90"/>
      <c r="J14" s="6" t="n">
        <f aca="false">G14*4.35</f>
        <v>11310</v>
      </c>
      <c r="L14" s="59"/>
      <c r="M14" s="81" t="n">
        <v>25006037</v>
      </c>
      <c r="N14" s="82"/>
    </row>
    <row r="15" customFormat="false" ht="24.75" hidden="false" customHeight="true" outlineLevel="0" collapsed="false">
      <c r="A15" s="2" t="s">
        <v>51</v>
      </c>
      <c r="B15" s="12" t="s">
        <v>194</v>
      </c>
      <c r="C15" s="12" t="s">
        <v>41</v>
      </c>
      <c r="D15" s="12" t="s">
        <v>13</v>
      </c>
      <c r="E15" s="13" t="n">
        <v>1.45</v>
      </c>
      <c r="F15" s="12" t="n">
        <v>2750</v>
      </c>
      <c r="G15" s="52" t="n">
        <f aca="false">F15*E15</f>
        <v>3987.5</v>
      </c>
      <c r="H15" s="14" t="n">
        <v>45866</v>
      </c>
      <c r="I15" s="37"/>
      <c r="J15" s="17" t="n">
        <f aca="false">G15*4.35</f>
        <v>17345.625</v>
      </c>
      <c r="L15" s="59"/>
      <c r="M15" s="81"/>
      <c r="N15" s="82"/>
    </row>
    <row r="16" customFormat="false" ht="24.75" hidden="false" customHeight="true" outlineLevel="0" collapsed="false">
      <c r="A16" s="12" t="s">
        <v>55</v>
      </c>
      <c r="B16" s="119"/>
      <c r="C16" s="119"/>
      <c r="D16" s="119"/>
      <c r="E16" s="119"/>
      <c r="F16" s="119"/>
      <c r="G16" s="119"/>
      <c r="H16" s="119"/>
      <c r="J16" s="6" t="n">
        <f aca="false">G16</f>
        <v>0</v>
      </c>
      <c r="L16" s="120"/>
      <c r="M16" s="120"/>
      <c r="N16" s="120"/>
    </row>
    <row r="17" customFormat="false" ht="24.75" hidden="false" customHeight="true" outlineLevel="0" collapsed="false">
      <c r="A17" s="2" t="s">
        <v>57</v>
      </c>
      <c r="B17" s="12"/>
      <c r="C17" s="12"/>
      <c r="D17" s="12"/>
      <c r="E17" s="17"/>
      <c r="F17" s="12"/>
      <c r="G17" s="16"/>
      <c r="H17" s="14"/>
      <c r="I17" s="37"/>
      <c r="J17" s="6" t="n">
        <f aca="false">G17</f>
        <v>0</v>
      </c>
      <c r="L17" s="101"/>
      <c r="M17" s="102"/>
      <c r="N17" s="44"/>
    </row>
    <row r="18" customFormat="false" ht="24.75" hidden="false" customHeight="true" outlineLevel="0" collapsed="false">
      <c r="A18" s="2" t="s">
        <v>59</v>
      </c>
      <c r="B18" s="2"/>
      <c r="C18" s="2"/>
      <c r="D18" s="2"/>
      <c r="E18" s="3"/>
      <c r="F18" s="2"/>
      <c r="G18" s="4"/>
      <c r="H18" s="5"/>
      <c r="J18" s="6" t="n">
        <f aca="false">G18</f>
        <v>0</v>
      </c>
      <c r="L18" s="101"/>
      <c r="M18" s="102"/>
      <c r="N18" s="44"/>
    </row>
    <row r="19" customFormat="false" ht="24.75" hidden="false" customHeight="true" outlineLevel="0" collapsed="false">
      <c r="A19" s="2" t="s">
        <v>61</v>
      </c>
      <c r="B19" s="11"/>
      <c r="C19" s="2"/>
      <c r="D19" s="2"/>
      <c r="E19" s="6"/>
      <c r="F19" s="2"/>
      <c r="G19" s="7"/>
      <c r="H19" s="42"/>
      <c r="J19" s="6" t="n">
        <f aca="false">G19</f>
        <v>0</v>
      </c>
      <c r="L19" s="101"/>
      <c r="M19" s="102"/>
      <c r="N19" s="44"/>
    </row>
    <row r="20" customFormat="false" ht="15" hidden="false" customHeight="false" outlineLevel="0" collapsed="false">
      <c r="J20" s="25" t="n">
        <f aca="false">SUM(J4:J19)</f>
        <v>131394.625</v>
      </c>
    </row>
    <row r="21" customFormat="false" ht="15" hidden="false" customHeight="false" outlineLevel="0" collapsed="false">
      <c r="J21" s="18"/>
    </row>
    <row r="22" customFormat="false" ht="26.25" hidden="false" customHeight="true" outlineLevel="0" collapsed="false">
      <c r="A22" s="1" t="s">
        <v>210</v>
      </c>
      <c r="B22" s="1"/>
      <c r="C22" s="1"/>
      <c r="D22" s="1"/>
      <c r="E22" s="1"/>
      <c r="F22" s="1"/>
      <c r="G22" s="1"/>
      <c r="H22" s="1"/>
    </row>
    <row r="23" customFormat="false" ht="30" hidden="false" customHeight="false" outlineLevel="0" collapsed="false">
      <c r="A23" s="2" t="s">
        <v>1</v>
      </c>
      <c r="B23" s="2" t="s">
        <v>2</v>
      </c>
      <c r="C23" s="2" t="s">
        <v>3</v>
      </c>
      <c r="D23" s="2" t="s">
        <v>4</v>
      </c>
      <c r="E23" s="2" t="s">
        <v>5</v>
      </c>
      <c r="F23" s="2" t="s">
        <v>6</v>
      </c>
      <c r="G23" s="2" t="s">
        <v>7</v>
      </c>
      <c r="H23" s="2" t="s">
        <v>8</v>
      </c>
      <c r="J23" s="2" t="s">
        <v>9</v>
      </c>
    </row>
    <row r="24" customFormat="false" ht="30" hidden="false" customHeight="false" outlineLevel="0" collapsed="false">
      <c r="A24" s="12" t="s">
        <v>10</v>
      </c>
      <c r="B24" s="2" t="s">
        <v>382</v>
      </c>
      <c r="C24" s="2" t="s">
        <v>23</v>
      </c>
      <c r="D24" s="2" t="s">
        <v>157</v>
      </c>
      <c r="E24" s="3" t="n">
        <v>70.36</v>
      </c>
      <c r="F24" s="2" t="n">
        <v>25</v>
      </c>
      <c r="G24" s="4" t="n">
        <f aca="false">F24*E24</f>
        <v>1759</v>
      </c>
      <c r="H24" s="5" t="n">
        <v>45810</v>
      </c>
      <c r="J24" s="6" t="n">
        <f aca="false">G24*4.35</f>
        <v>7651.65</v>
      </c>
      <c r="L24" s="101"/>
      <c r="M24" s="102"/>
      <c r="N24" s="102"/>
    </row>
    <row r="25" customFormat="false" ht="15" hidden="false" customHeight="false" outlineLevel="0" collapsed="false">
      <c r="A25" s="12" t="s">
        <v>14</v>
      </c>
      <c r="B25" s="70" t="s">
        <v>228</v>
      </c>
      <c r="C25" s="2" t="s">
        <v>401</v>
      </c>
      <c r="D25" s="2" t="s">
        <v>229</v>
      </c>
      <c r="E25" s="67"/>
      <c r="F25" s="2" t="n">
        <v>25</v>
      </c>
      <c r="G25" s="96"/>
      <c r="H25" s="5" t="n">
        <v>45842</v>
      </c>
      <c r="J25" s="6" t="n">
        <f aca="false">G25</f>
        <v>0</v>
      </c>
      <c r="L25" s="59"/>
      <c r="M25" s="81"/>
      <c r="N25" s="81"/>
    </row>
    <row r="26" customFormat="false" ht="15" hidden="false" customHeight="false" outlineLevel="0" collapsed="false">
      <c r="A26" s="12" t="s">
        <v>18</v>
      </c>
      <c r="B26" s="2" t="s">
        <v>384</v>
      </c>
      <c r="C26" s="2" t="s">
        <v>12</v>
      </c>
      <c r="D26" s="2" t="s">
        <v>212</v>
      </c>
      <c r="E26" s="67"/>
      <c r="F26" s="2" t="n">
        <v>25</v>
      </c>
      <c r="G26" s="96"/>
      <c r="H26" s="5" t="n">
        <v>45842</v>
      </c>
      <c r="J26" s="6" t="n">
        <f aca="false">G26</f>
        <v>0</v>
      </c>
      <c r="L26" s="59"/>
      <c r="M26" s="81" t="s">
        <v>402</v>
      </c>
      <c r="N26" s="81"/>
    </row>
    <row r="27" customFormat="false" ht="15" hidden="false" customHeight="false" outlineLevel="0" collapsed="false">
      <c r="A27" s="12" t="s">
        <v>21</v>
      </c>
      <c r="B27" s="70" t="s">
        <v>403</v>
      </c>
      <c r="C27" s="2" t="s">
        <v>12</v>
      </c>
      <c r="D27" s="2" t="s">
        <v>212</v>
      </c>
      <c r="E27" s="6"/>
      <c r="F27" s="2" t="n">
        <v>25</v>
      </c>
      <c r="G27" s="96"/>
      <c r="H27" s="5" t="n">
        <v>45842</v>
      </c>
      <c r="J27" s="6" t="n">
        <f aca="false">G27</f>
        <v>0</v>
      </c>
      <c r="L27" s="59"/>
      <c r="M27" s="81" t="s">
        <v>404</v>
      </c>
      <c r="N27" s="81"/>
    </row>
    <row r="28" customFormat="false" ht="15" hidden="false" customHeight="false" outlineLevel="0" collapsed="false">
      <c r="A28" s="12" t="s">
        <v>25</v>
      </c>
      <c r="B28" s="109" t="s">
        <v>405</v>
      </c>
      <c r="C28" s="2" t="s">
        <v>23</v>
      </c>
      <c r="D28" s="2" t="s">
        <v>212</v>
      </c>
      <c r="E28" s="3"/>
      <c r="F28" s="2" t="n">
        <v>25</v>
      </c>
      <c r="G28" s="4"/>
      <c r="H28" s="5" t="n">
        <v>45842</v>
      </c>
      <c r="J28" s="6" t="n">
        <f aca="false">G28*4.35</f>
        <v>0</v>
      </c>
      <c r="L28" s="59"/>
      <c r="M28" s="81" t="s">
        <v>404</v>
      </c>
      <c r="N28" s="81"/>
    </row>
    <row r="29" customFormat="false" ht="15" hidden="false" customHeight="false" outlineLevel="0" collapsed="false">
      <c r="A29" s="12" t="s">
        <v>30</v>
      </c>
      <c r="B29" s="109" t="s">
        <v>406</v>
      </c>
      <c r="C29" s="2" t="s">
        <v>23</v>
      </c>
      <c r="D29" s="2" t="s">
        <v>212</v>
      </c>
      <c r="E29" s="6"/>
      <c r="F29" s="2" t="n">
        <v>25</v>
      </c>
      <c r="G29" s="7"/>
      <c r="H29" s="5" t="n">
        <v>45842</v>
      </c>
      <c r="J29" s="6" t="n">
        <f aca="false">G29*4.35</f>
        <v>0</v>
      </c>
      <c r="L29" s="59"/>
      <c r="M29" s="81" t="s">
        <v>404</v>
      </c>
      <c r="N29" s="81"/>
    </row>
    <row r="30" customFormat="false" ht="15" hidden="false" customHeight="false" outlineLevel="0" collapsed="false">
      <c r="A30" s="12" t="s">
        <v>34</v>
      </c>
      <c r="B30" s="109" t="s">
        <v>407</v>
      </c>
      <c r="C30" s="2" t="s">
        <v>23</v>
      </c>
      <c r="D30" s="2" t="s">
        <v>212</v>
      </c>
      <c r="E30" s="3"/>
      <c r="F30" s="2" t="n">
        <v>25</v>
      </c>
      <c r="G30" s="4"/>
      <c r="H30" s="5" t="n">
        <v>45842</v>
      </c>
      <c r="J30" s="6" t="n">
        <f aca="false">G30*4.35</f>
        <v>0</v>
      </c>
      <c r="L30" s="59"/>
      <c r="M30" s="81" t="s">
        <v>408</v>
      </c>
      <c r="N30" s="97"/>
    </row>
    <row r="31" customFormat="false" ht="15" hidden="false" customHeight="false" outlineLevel="0" collapsed="false">
      <c r="A31" s="12" t="s">
        <v>39</v>
      </c>
      <c r="B31" s="109" t="s">
        <v>409</v>
      </c>
      <c r="C31" s="2" t="s">
        <v>23</v>
      </c>
      <c r="D31" s="2" t="s">
        <v>212</v>
      </c>
      <c r="E31" s="6"/>
      <c r="F31" s="2" t="n">
        <v>25</v>
      </c>
      <c r="G31" s="7"/>
      <c r="H31" s="5" t="n">
        <v>45842</v>
      </c>
      <c r="J31" s="6" t="n">
        <f aca="false">G31*4.35</f>
        <v>0</v>
      </c>
      <c r="L31" s="59"/>
      <c r="M31" s="81" t="s">
        <v>404</v>
      </c>
      <c r="N31" s="97"/>
    </row>
    <row r="32" customFormat="false" ht="15" hidden="false" customHeight="false" outlineLevel="0" collapsed="false">
      <c r="A32" s="12" t="s">
        <v>43</v>
      </c>
      <c r="B32" s="109" t="s">
        <v>410</v>
      </c>
      <c r="C32" s="2" t="s">
        <v>23</v>
      </c>
      <c r="D32" s="2" t="s">
        <v>212</v>
      </c>
      <c r="E32" s="3"/>
      <c r="F32" s="2" t="n">
        <v>25</v>
      </c>
      <c r="G32" s="4"/>
      <c r="H32" s="5" t="n">
        <v>45842</v>
      </c>
      <c r="J32" s="6" t="n">
        <f aca="false">G32*4.35</f>
        <v>0</v>
      </c>
      <c r="L32" s="59"/>
      <c r="M32" s="81" t="s">
        <v>404</v>
      </c>
      <c r="N32" s="97"/>
    </row>
    <row r="33" customFormat="false" ht="15" hidden="false" customHeight="false" outlineLevel="0" collapsed="false">
      <c r="A33" s="12" t="s">
        <v>45</v>
      </c>
      <c r="B33" s="109" t="s">
        <v>411</v>
      </c>
      <c r="C33" s="2" t="s">
        <v>23</v>
      </c>
      <c r="D33" s="2" t="s">
        <v>215</v>
      </c>
      <c r="E33" s="6"/>
      <c r="F33" s="2" t="n">
        <v>25</v>
      </c>
      <c r="G33" s="7"/>
      <c r="H33" s="42"/>
      <c r="J33" s="6" t="n">
        <f aca="false">G33*4.35</f>
        <v>0</v>
      </c>
      <c r="L33" s="59"/>
      <c r="M33" s="81" t="s">
        <v>412</v>
      </c>
      <c r="N33" s="97"/>
    </row>
    <row r="34" customFormat="false" ht="15" hidden="false" customHeight="false" outlineLevel="0" collapsed="false">
      <c r="A34" s="12" t="s">
        <v>48</v>
      </c>
      <c r="B34" s="109" t="s">
        <v>363</v>
      </c>
      <c r="C34" s="2" t="s">
        <v>23</v>
      </c>
      <c r="D34" s="2" t="s">
        <v>215</v>
      </c>
      <c r="E34" s="6"/>
      <c r="F34" s="2" t="n">
        <v>25</v>
      </c>
      <c r="G34" s="7"/>
      <c r="H34" s="42"/>
      <c r="J34" s="6" t="n">
        <f aca="false">G34*4.35</f>
        <v>0</v>
      </c>
      <c r="L34" s="59"/>
      <c r="M34" s="81" t="s">
        <v>413</v>
      </c>
      <c r="N34" s="97"/>
    </row>
    <row r="35" customFormat="false" ht="15" hidden="false" customHeight="false" outlineLevel="0" collapsed="false">
      <c r="A35" s="12" t="s">
        <v>51</v>
      </c>
      <c r="B35" s="109"/>
      <c r="C35" s="2"/>
      <c r="D35" s="2"/>
      <c r="E35" s="6"/>
      <c r="F35" s="2"/>
      <c r="G35" s="7"/>
      <c r="H35" s="42"/>
      <c r="J35" s="6" t="n">
        <f aca="false">G35*4.35</f>
        <v>0</v>
      </c>
      <c r="L35" s="59"/>
      <c r="M35" s="81"/>
      <c r="N35" s="97"/>
    </row>
    <row r="36" customFormat="false" ht="15" hidden="false" customHeight="false" outlineLevel="0" collapsed="false">
      <c r="A36" s="12" t="s">
        <v>55</v>
      </c>
      <c r="B36" s="109" t="s">
        <v>414</v>
      </c>
      <c r="C36" s="2" t="s">
        <v>23</v>
      </c>
      <c r="D36" s="2" t="s">
        <v>215</v>
      </c>
      <c r="E36" s="6"/>
      <c r="F36" s="2" t="n">
        <v>25</v>
      </c>
      <c r="G36" s="7"/>
      <c r="H36" s="42"/>
      <c r="J36" s="6" t="n">
        <f aca="false">G36*4.35</f>
        <v>0</v>
      </c>
      <c r="L36" s="59"/>
      <c r="M36" s="81" t="s">
        <v>413</v>
      </c>
      <c r="N36" s="97"/>
    </row>
    <row r="37" customFormat="false" ht="15" hidden="false" customHeight="false" outlineLevel="0" collapsed="false">
      <c r="A37" s="12" t="s">
        <v>57</v>
      </c>
      <c r="B37" s="109" t="s">
        <v>415</v>
      </c>
      <c r="C37" s="2" t="s">
        <v>23</v>
      </c>
      <c r="D37" s="2" t="s">
        <v>215</v>
      </c>
      <c r="E37" s="6"/>
      <c r="F37" s="2" t="n">
        <v>25</v>
      </c>
      <c r="G37" s="7"/>
      <c r="H37" s="42"/>
      <c r="J37" s="6" t="n">
        <f aca="false">G37*4.35</f>
        <v>0</v>
      </c>
      <c r="L37" s="59"/>
      <c r="M37" s="81" t="s">
        <v>413</v>
      </c>
      <c r="N37" s="97"/>
    </row>
    <row r="38" customFormat="false" ht="15" hidden="false" customHeight="false" outlineLevel="0" collapsed="false">
      <c r="A38" s="12" t="s">
        <v>59</v>
      </c>
      <c r="B38" s="109" t="s">
        <v>416</v>
      </c>
      <c r="C38" s="2" t="s">
        <v>23</v>
      </c>
      <c r="D38" s="2" t="s">
        <v>215</v>
      </c>
      <c r="E38" s="6"/>
      <c r="F38" s="2" t="n">
        <v>25</v>
      </c>
      <c r="G38" s="7"/>
      <c r="H38" s="42"/>
      <c r="J38" s="6" t="n">
        <f aca="false">G38*4.35</f>
        <v>0</v>
      </c>
      <c r="L38" s="59"/>
      <c r="M38" s="81" t="s">
        <v>417</v>
      </c>
      <c r="N38" s="97"/>
    </row>
    <row r="39" customFormat="false" ht="15" hidden="false" customHeight="false" outlineLevel="0" collapsed="false">
      <c r="A39" s="12" t="s">
        <v>61</v>
      </c>
      <c r="B39" s="2" t="s">
        <v>418</v>
      </c>
      <c r="C39" s="2" t="s">
        <v>23</v>
      </c>
      <c r="D39" s="2" t="s">
        <v>215</v>
      </c>
      <c r="E39" s="6"/>
      <c r="F39" s="2" t="n">
        <v>25</v>
      </c>
      <c r="G39" s="7"/>
      <c r="H39" s="5"/>
      <c r="J39" s="6" t="n">
        <f aca="false">G39*4.35</f>
        <v>0</v>
      </c>
      <c r="L39" s="59"/>
      <c r="M39" s="81" t="s">
        <v>419</v>
      </c>
      <c r="N39" s="81"/>
    </row>
    <row r="40" customFormat="false" ht="15" hidden="false" customHeight="false" outlineLevel="0" collapsed="false">
      <c r="J40" s="25" t="n">
        <f aca="false">SUM(J24:J39)</f>
        <v>7651.65</v>
      </c>
    </row>
    <row r="44" customFormat="false" ht="15" hidden="false" customHeight="false" outlineLevel="0" collapsed="false">
      <c r="C44" s="40"/>
    </row>
  </sheetData>
  <mergeCells count="3">
    <mergeCell ref="A1:H1"/>
    <mergeCell ref="A2:H2"/>
    <mergeCell ref="A22:H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4" activeCellId="0" sqref="D14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24.72"/>
    <col collapsed="false" customWidth="true" hidden="false" outlineLevel="0" max="4" min="3" style="0" width="15.71"/>
    <col collapsed="false" customWidth="true" hidden="false" outlineLevel="0" max="5" min="5" style="0" width="9.85"/>
    <col collapsed="false" customWidth="true" hidden="false" outlineLevel="0" max="6" min="6" style="0" width="6.71"/>
    <col collapsed="false" customWidth="true" hidden="false" outlineLevel="0" max="7" min="7" style="0" width="10.71"/>
    <col collapsed="false" customWidth="true" hidden="false" outlineLevel="0" max="8" min="8" style="0" width="8.71"/>
    <col collapsed="false" customWidth="true" hidden="false" outlineLevel="0" max="9" min="9" style="0" width="20.28"/>
    <col collapsed="false" customWidth="true" hidden="false" outlineLevel="0" max="10" min="10" style="0" width="16.71"/>
    <col collapsed="false" customWidth="true" hidden="false" outlineLevel="0" max="12" min="12" style="0" width="11.71"/>
    <col collapsed="false" customWidth="true" hidden="false" outlineLevel="0" max="13" min="13" style="0" width="16.43"/>
    <col collapsed="false" customWidth="true" hidden="false" outlineLevel="0" max="14" min="14" style="0" width="45.85"/>
  </cols>
  <sheetData>
    <row r="1" customFormat="false" ht="40.5" hidden="false" customHeight="true" outlineLevel="0" collapsed="false">
      <c r="A1" s="1" t="s">
        <v>420</v>
      </c>
      <c r="B1" s="1"/>
      <c r="C1" s="1"/>
      <c r="D1" s="1"/>
      <c r="E1" s="1"/>
      <c r="F1" s="1"/>
      <c r="G1" s="1"/>
      <c r="H1" s="1"/>
    </row>
    <row r="2" customFormat="false" ht="22.5" hidden="false" customHeight="true" outlineLevel="0" collapsed="false">
      <c r="A2" s="1" t="s">
        <v>189</v>
      </c>
      <c r="B2" s="1"/>
      <c r="C2" s="1"/>
      <c r="D2" s="1"/>
      <c r="E2" s="1"/>
      <c r="F2" s="1"/>
      <c r="G2" s="1"/>
      <c r="H2" s="1"/>
    </row>
    <row r="3" customFormat="false" ht="30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J3" s="2" t="s">
        <v>9</v>
      </c>
      <c r="L3" s="39" t="s">
        <v>190</v>
      </c>
      <c r="M3" s="2" t="s">
        <v>191</v>
      </c>
      <c r="N3" s="2" t="s">
        <v>234</v>
      </c>
    </row>
    <row r="4" customFormat="false" ht="30" hidden="false" customHeight="true" outlineLevel="0" collapsed="false">
      <c r="A4" s="2" t="s">
        <v>10</v>
      </c>
      <c r="B4" s="12" t="s">
        <v>107</v>
      </c>
      <c r="C4" s="12" t="s">
        <v>106</v>
      </c>
      <c r="D4" s="12" t="s">
        <v>20</v>
      </c>
      <c r="E4" s="17" t="n">
        <v>11.4</v>
      </c>
      <c r="F4" s="12" t="n">
        <v>300</v>
      </c>
      <c r="G4" s="16" t="n">
        <f aca="false">F4*E4</f>
        <v>3420</v>
      </c>
      <c r="H4" s="14" t="n">
        <v>45873</v>
      </c>
      <c r="I4" s="15"/>
      <c r="J4" s="17" t="n">
        <f aca="false">G4</f>
        <v>3420</v>
      </c>
      <c r="L4" s="81"/>
      <c r="M4" s="81" t="s">
        <v>421</v>
      </c>
      <c r="N4" s="81"/>
    </row>
    <row r="5" customFormat="false" ht="24.75" hidden="false" customHeight="true" outlineLevel="0" collapsed="false">
      <c r="A5" s="2" t="s">
        <v>14</v>
      </c>
      <c r="B5" s="12" t="s">
        <v>40</v>
      </c>
      <c r="C5" s="12" t="s">
        <v>41</v>
      </c>
      <c r="D5" s="12" t="s">
        <v>69</v>
      </c>
      <c r="E5" s="17" t="n">
        <v>5.2</v>
      </c>
      <c r="F5" s="12" t="n">
        <v>1375</v>
      </c>
      <c r="G5" s="16" t="n">
        <f aca="false">F5*E5</f>
        <v>7150</v>
      </c>
      <c r="H5" s="14" t="n">
        <v>45873</v>
      </c>
      <c r="J5" s="6" t="n">
        <f aca="false">G5</f>
        <v>7150</v>
      </c>
      <c r="L5" s="59"/>
      <c r="M5" s="81" t="s">
        <v>422</v>
      </c>
      <c r="N5" s="82"/>
    </row>
    <row r="6" customFormat="false" ht="24.75" hidden="false" customHeight="true" outlineLevel="0" collapsed="false">
      <c r="A6" s="12" t="s">
        <v>18</v>
      </c>
      <c r="B6" s="12"/>
      <c r="C6" s="12"/>
      <c r="D6" s="12"/>
      <c r="E6" s="13"/>
      <c r="F6" s="12"/>
      <c r="G6" s="52"/>
      <c r="H6" s="14"/>
      <c r="I6" s="37"/>
      <c r="J6" s="17" t="n">
        <f aca="false">G6</f>
        <v>0</v>
      </c>
      <c r="L6" s="121"/>
      <c r="M6" s="121"/>
      <c r="N6" s="121"/>
    </row>
    <row r="7" customFormat="false" ht="30.75" hidden="false" customHeight="true" outlineLevel="0" collapsed="false">
      <c r="A7" s="2" t="s">
        <v>21</v>
      </c>
      <c r="B7" s="12" t="s">
        <v>423</v>
      </c>
      <c r="C7" s="12" t="s">
        <v>23</v>
      </c>
      <c r="D7" s="12" t="s">
        <v>332</v>
      </c>
      <c r="E7" s="17" t="n">
        <v>11.7</v>
      </c>
      <c r="F7" s="12" t="n">
        <v>1000</v>
      </c>
      <c r="G7" s="16" t="n">
        <f aca="false">F7*E7</f>
        <v>11700</v>
      </c>
      <c r="H7" s="14" t="n">
        <v>45874</v>
      </c>
      <c r="J7" s="6" t="n">
        <f aca="false">G7</f>
        <v>11700</v>
      </c>
      <c r="L7" s="59"/>
      <c r="M7" s="81" t="s">
        <v>424</v>
      </c>
      <c r="N7" s="82"/>
    </row>
    <row r="8" customFormat="false" ht="24.75" hidden="false" customHeight="true" outlineLevel="0" collapsed="false">
      <c r="A8" s="2" t="s">
        <v>25</v>
      </c>
      <c r="B8" s="12"/>
      <c r="C8" s="12"/>
      <c r="D8" s="12"/>
      <c r="E8" s="17"/>
      <c r="F8" s="12"/>
      <c r="G8" s="16"/>
      <c r="H8" s="14"/>
      <c r="I8" s="88"/>
      <c r="J8" s="17" t="n">
        <f aca="false">G8</f>
        <v>0</v>
      </c>
      <c r="L8" s="122"/>
      <c r="M8" s="121"/>
      <c r="N8" s="12"/>
    </row>
    <row r="9" customFormat="false" ht="24.75" hidden="false" customHeight="true" outlineLevel="0" collapsed="false">
      <c r="A9" s="2" t="s">
        <v>43</v>
      </c>
      <c r="B9" s="12"/>
      <c r="C9" s="12"/>
      <c r="D9" s="12"/>
      <c r="E9" s="17"/>
      <c r="F9" s="12"/>
      <c r="G9" s="16"/>
      <c r="H9" s="14"/>
      <c r="I9" s="37"/>
      <c r="J9" s="17" t="n">
        <f aca="false">G9</f>
        <v>0</v>
      </c>
      <c r="L9" s="17"/>
      <c r="M9" s="123"/>
      <c r="N9" s="36"/>
    </row>
    <row r="10" customFormat="false" ht="24.75" hidden="false" customHeight="true" outlineLevel="0" collapsed="false">
      <c r="A10" s="2" t="s">
        <v>45</v>
      </c>
      <c r="B10" s="12" t="s">
        <v>104</v>
      </c>
      <c r="C10" s="12" t="s">
        <v>23</v>
      </c>
      <c r="D10" s="12" t="s">
        <v>24</v>
      </c>
      <c r="E10" s="53" t="n">
        <v>3.68</v>
      </c>
      <c r="F10" s="12" t="n">
        <v>15840</v>
      </c>
      <c r="G10" s="52" t="n">
        <f aca="false">F10*E10</f>
        <v>58291.2</v>
      </c>
      <c r="H10" s="14" t="n">
        <v>45881</v>
      </c>
      <c r="I10" s="124" t="s">
        <v>425</v>
      </c>
      <c r="J10" s="17" t="n">
        <f aca="false">G10*4.35</f>
        <v>253566.72</v>
      </c>
      <c r="L10" s="59"/>
      <c r="M10" s="99" t="n">
        <v>91176989</v>
      </c>
      <c r="N10" s="86" t="s">
        <v>426</v>
      </c>
    </row>
    <row r="11" customFormat="false" ht="24.75" hidden="false" customHeight="true" outlineLevel="0" collapsed="false">
      <c r="A11" s="2" t="s">
        <v>39</v>
      </c>
      <c r="B11" s="2"/>
      <c r="C11" s="2"/>
      <c r="D11" s="2"/>
      <c r="E11" s="3"/>
      <c r="F11" s="2"/>
      <c r="G11" s="4"/>
      <c r="H11" s="5"/>
      <c r="I11" s="19"/>
      <c r="J11" s="6" t="n">
        <f aca="false">G11*4.35</f>
        <v>0</v>
      </c>
      <c r="L11" s="17"/>
      <c r="M11" s="121"/>
      <c r="N11" s="12"/>
    </row>
    <row r="12" customFormat="false" ht="24.75" hidden="false" customHeight="true" outlineLevel="0" collapsed="false">
      <c r="A12" s="12" t="s">
        <v>43</v>
      </c>
      <c r="B12" s="125" t="s">
        <v>11</v>
      </c>
      <c r="C12" s="12" t="s">
        <v>12</v>
      </c>
      <c r="D12" s="12" t="s">
        <v>13</v>
      </c>
      <c r="E12" s="13" t="n">
        <v>1.95</v>
      </c>
      <c r="F12" s="12" t="n">
        <v>2000</v>
      </c>
      <c r="G12" s="52" t="n">
        <f aca="false">F12*E12</f>
        <v>3900</v>
      </c>
      <c r="H12" s="14" t="n">
        <v>45896</v>
      </c>
      <c r="I12" s="19" t="s">
        <v>72</v>
      </c>
      <c r="J12" s="6" t="n">
        <f aca="false">G12*4.35</f>
        <v>16965</v>
      </c>
      <c r="L12" s="59"/>
      <c r="M12" s="81" t="n">
        <v>25007069</v>
      </c>
      <c r="N12" s="82"/>
    </row>
    <row r="13" customFormat="false" ht="24.75" hidden="false" customHeight="true" outlineLevel="0" collapsed="false">
      <c r="A13" s="2" t="s">
        <v>45</v>
      </c>
      <c r="B13" s="12" t="s">
        <v>19</v>
      </c>
      <c r="C13" s="12" t="s">
        <v>12</v>
      </c>
      <c r="D13" s="12" t="s">
        <v>69</v>
      </c>
      <c r="E13" s="17" t="n">
        <v>5.25</v>
      </c>
      <c r="F13" s="12" t="n">
        <v>1375</v>
      </c>
      <c r="G13" s="16" t="n">
        <f aca="false">F13*E13</f>
        <v>7218.75</v>
      </c>
      <c r="H13" s="14" t="n">
        <v>45896</v>
      </c>
      <c r="I13" s="37"/>
      <c r="J13" s="17" t="n">
        <f aca="false">G13</f>
        <v>7218.75</v>
      </c>
      <c r="L13" s="59"/>
      <c r="M13" s="81" t="s">
        <v>427</v>
      </c>
      <c r="N13" s="82"/>
    </row>
    <row r="14" customFormat="false" ht="24.75" hidden="false" customHeight="true" outlineLevel="0" collapsed="false">
      <c r="A14" s="2" t="s">
        <v>48</v>
      </c>
      <c r="B14" s="12" t="s">
        <v>35</v>
      </c>
      <c r="C14" s="12" t="s">
        <v>92</v>
      </c>
      <c r="D14" s="12" t="s">
        <v>37</v>
      </c>
      <c r="E14" s="17" t="n">
        <v>4.5</v>
      </c>
      <c r="F14" s="12" t="n">
        <v>4000</v>
      </c>
      <c r="G14" s="16" t="n">
        <f aca="false">F14*E14</f>
        <v>18000</v>
      </c>
      <c r="H14" s="14" t="n">
        <v>45897</v>
      </c>
      <c r="I14" s="37"/>
      <c r="J14" s="17" t="n">
        <f aca="false">G14</f>
        <v>18000</v>
      </c>
      <c r="L14" s="59"/>
      <c r="M14" s="100" t="n">
        <v>45884</v>
      </c>
      <c r="N14" s="82"/>
    </row>
    <row r="15" customFormat="false" ht="24.75" hidden="false" customHeight="true" outlineLevel="0" collapsed="false">
      <c r="A15" s="12" t="s">
        <v>51</v>
      </c>
      <c r="B15" s="12" t="s">
        <v>194</v>
      </c>
      <c r="C15" s="12" t="s">
        <v>41</v>
      </c>
      <c r="D15" s="12" t="s">
        <v>13</v>
      </c>
      <c r="E15" s="13" t="n">
        <v>1.45</v>
      </c>
      <c r="F15" s="12" t="n">
        <v>4125</v>
      </c>
      <c r="G15" s="52" t="n">
        <f aca="false">F15*E15</f>
        <v>5981.25</v>
      </c>
      <c r="H15" s="14" t="n">
        <v>45898</v>
      </c>
      <c r="I15" s="126"/>
      <c r="J15" s="17" t="n">
        <f aca="false">G15*4.35</f>
        <v>26018.4375</v>
      </c>
      <c r="L15" s="59"/>
      <c r="M15" s="81" t="n">
        <v>25007165</v>
      </c>
      <c r="N15" s="82"/>
    </row>
    <row r="16" customFormat="false" ht="24.75" hidden="false" customHeight="true" outlineLevel="0" collapsed="false">
      <c r="A16" s="2" t="s">
        <v>55</v>
      </c>
      <c r="B16" s="125"/>
      <c r="C16" s="12"/>
      <c r="D16" s="12"/>
      <c r="E16" s="13"/>
      <c r="F16" s="12"/>
      <c r="G16" s="52"/>
      <c r="H16" s="14"/>
      <c r="I16" s="19"/>
      <c r="J16" s="6" t="n">
        <f aca="false">G16*4.35</f>
        <v>0</v>
      </c>
      <c r="L16" s="17"/>
      <c r="M16" s="121"/>
      <c r="N16" s="12"/>
    </row>
    <row r="17" customFormat="false" ht="24.75" hidden="false" customHeight="true" outlineLevel="0" collapsed="false">
      <c r="A17" s="2" t="s">
        <v>57</v>
      </c>
      <c r="B17" s="12"/>
      <c r="C17" s="12"/>
      <c r="D17" s="12"/>
      <c r="E17" s="17"/>
      <c r="F17" s="12"/>
      <c r="G17" s="16"/>
      <c r="H17" s="14"/>
      <c r="I17" s="37"/>
      <c r="J17" s="17" t="n">
        <f aca="false">G17</f>
        <v>0</v>
      </c>
      <c r="L17" s="17"/>
      <c r="M17" s="121"/>
      <c r="N17" s="12"/>
    </row>
    <row r="18" customFormat="false" ht="24.75" hidden="false" customHeight="true" outlineLevel="0" collapsed="false">
      <c r="A18" s="12" t="s">
        <v>59</v>
      </c>
      <c r="B18" s="2"/>
      <c r="C18" s="2"/>
      <c r="D18" s="2"/>
      <c r="E18" s="3"/>
      <c r="F18" s="2"/>
      <c r="G18" s="4"/>
      <c r="H18" s="5"/>
      <c r="J18" s="6" t="n">
        <f aca="false">G18</f>
        <v>0</v>
      </c>
      <c r="L18" s="17"/>
      <c r="M18" s="121"/>
      <c r="N18" s="12"/>
    </row>
    <row r="19" customFormat="false" ht="15" hidden="false" customHeight="false" outlineLevel="0" collapsed="false">
      <c r="J19" s="25" t="n">
        <f aca="false">SUM(J4:J18)</f>
        <v>344038.9075</v>
      </c>
    </row>
    <row r="20" customFormat="false" ht="15" hidden="false" customHeight="false" outlineLevel="0" collapsed="false">
      <c r="J20" s="18"/>
    </row>
    <row r="21" customFormat="false" ht="26.25" hidden="false" customHeight="true" outlineLevel="0" collapsed="false">
      <c r="A21" s="1" t="s">
        <v>210</v>
      </c>
      <c r="B21" s="1"/>
      <c r="C21" s="1"/>
      <c r="D21" s="1"/>
      <c r="E21" s="1"/>
      <c r="F21" s="1"/>
      <c r="G21" s="1"/>
      <c r="H21" s="1"/>
    </row>
    <row r="22" customFormat="false" ht="30" hidden="false" customHeight="false" outlineLevel="0" collapsed="false">
      <c r="A22" s="2" t="s">
        <v>1</v>
      </c>
      <c r="B22" s="2" t="s">
        <v>2</v>
      </c>
      <c r="C22" s="2" t="s">
        <v>3</v>
      </c>
      <c r="D22" s="2" t="s">
        <v>4</v>
      </c>
      <c r="E22" s="2" t="s">
        <v>5</v>
      </c>
      <c r="F22" s="2" t="s">
        <v>6</v>
      </c>
      <c r="G22" s="2" t="s">
        <v>7</v>
      </c>
      <c r="H22" s="2" t="s">
        <v>8</v>
      </c>
      <c r="J22" s="2" t="s">
        <v>9</v>
      </c>
    </row>
    <row r="23" customFormat="false" ht="15" hidden="false" customHeight="false" outlineLevel="0" collapsed="false">
      <c r="A23" s="12" t="s">
        <v>10</v>
      </c>
      <c r="B23" s="2" t="s">
        <v>370</v>
      </c>
      <c r="C23" s="2" t="s">
        <v>428</v>
      </c>
      <c r="D23" s="2" t="s">
        <v>429</v>
      </c>
      <c r="E23" s="127"/>
      <c r="F23" s="109" t="n">
        <v>25</v>
      </c>
      <c r="G23" s="4"/>
      <c r="H23" s="5" t="n">
        <v>45876</v>
      </c>
      <c r="J23" s="6" t="n">
        <f aca="false">G23*4.35</f>
        <v>0</v>
      </c>
      <c r="L23" s="59"/>
      <c r="M23" s="81"/>
      <c r="N23" s="81"/>
    </row>
    <row r="24" customFormat="false" ht="15" hidden="false" customHeight="false" outlineLevel="0" collapsed="false">
      <c r="A24" s="12" t="s">
        <v>14</v>
      </c>
      <c r="B24" s="70" t="s">
        <v>430</v>
      </c>
      <c r="C24" s="2" t="s">
        <v>428</v>
      </c>
      <c r="D24" s="2" t="s">
        <v>429</v>
      </c>
      <c r="E24" s="127"/>
      <c r="F24" s="109" t="n">
        <v>25</v>
      </c>
      <c r="G24" s="96"/>
      <c r="H24" s="5" t="n">
        <v>45870</v>
      </c>
      <c r="J24" s="6" t="n">
        <f aca="false">G24</f>
        <v>0</v>
      </c>
      <c r="L24" s="59"/>
      <c r="M24" s="81"/>
      <c r="N24" s="81"/>
    </row>
    <row r="25" customFormat="false" ht="15" hidden="false" customHeight="false" outlineLevel="0" collapsed="false">
      <c r="A25" s="12" t="s">
        <v>18</v>
      </c>
      <c r="B25" s="109" t="s">
        <v>414</v>
      </c>
      <c r="C25" s="2" t="s">
        <v>428</v>
      </c>
      <c r="D25" s="2" t="s">
        <v>429</v>
      </c>
      <c r="E25" s="67"/>
      <c r="F25" s="109" t="n">
        <v>25</v>
      </c>
      <c r="G25" s="96"/>
      <c r="H25" s="5" t="n">
        <v>45870</v>
      </c>
      <c r="J25" s="6" t="n">
        <f aca="false">G25</f>
        <v>0</v>
      </c>
      <c r="L25" s="59"/>
      <c r="M25" s="81"/>
      <c r="N25" s="81"/>
    </row>
    <row r="26" customFormat="false" ht="15" hidden="false" customHeight="false" outlineLevel="0" collapsed="false">
      <c r="A26" s="12" t="s">
        <v>21</v>
      </c>
      <c r="B26" s="109" t="s">
        <v>226</v>
      </c>
      <c r="C26" s="2" t="s">
        <v>428</v>
      </c>
      <c r="D26" s="2" t="s">
        <v>212</v>
      </c>
      <c r="E26" s="6"/>
      <c r="F26" s="2" t="n">
        <v>25</v>
      </c>
      <c r="G26" s="96"/>
      <c r="H26" s="5"/>
      <c r="J26" s="6" t="n">
        <f aca="false">G26</f>
        <v>0</v>
      </c>
      <c r="L26" s="59"/>
      <c r="M26" s="81"/>
      <c r="N26" s="81"/>
    </row>
    <row r="27" customFormat="false" ht="15" hidden="false" customHeight="false" outlineLevel="0" collapsed="false">
      <c r="A27" s="12" t="s">
        <v>25</v>
      </c>
      <c r="B27" s="109" t="s">
        <v>374</v>
      </c>
      <c r="C27" s="2" t="s">
        <v>428</v>
      </c>
      <c r="D27" s="2" t="s">
        <v>212</v>
      </c>
      <c r="E27" s="3"/>
      <c r="F27" s="2" t="n">
        <v>25</v>
      </c>
      <c r="G27" s="4"/>
      <c r="H27" s="5"/>
      <c r="J27" s="6" t="n">
        <f aca="false">G27*4.35</f>
        <v>0</v>
      </c>
      <c r="L27" s="59"/>
      <c r="M27" s="81"/>
      <c r="N27" s="81"/>
    </row>
    <row r="28" customFormat="false" ht="15" hidden="false" customHeight="false" outlineLevel="0" collapsed="false">
      <c r="A28" s="12" t="s">
        <v>30</v>
      </c>
      <c r="B28" s="70" t="s">
        <v>431</v>
      </c>
      <c r="C28" s="2" t="s">
        <v>12</v>
      </c>
      <c r="D28" s="2" t="s">
        <v>229</v>
      </c>
      <c r="E28" s="6"/>
      <c r="F28" s="2" t="n">
        <v>50</v>
      </c>
      <c r="G28" s="7"/>
      <c r="H28" s="42"/>
      <c r="J28" s="6" t="n">
        <f aca="false">G28*4.35</f>
        <v>0</v>
      </c>
      <c r="L28" s="59"/>
      <c r="M28" s="81"/>
      <c r="N28" s="81"/>
    </row>
    <row r="29" customFormat="false" ht="15" hidden="false" customHeight="false" outlineLevel="0" collapsed="false">
      <c r="A29" s="12" t="s">
        <v>34</v>
      </c>
      <c r="B29" s="109" t="s">
        <v>308</v>
      </c>
      <c r="C29" s="2" t="s">
        <v>12</v>
      </c>
      <c r="D29" s="2" t="s">
        <v>212</v>
      </c>
      <c r="E29" s="3"/>
      <c r="F29" s="2" t="n">
        <v>50</v>
      </c>
      <c r="G29" s="4"/>
      <c r="H29" s="5"/>
      <c r="J29" s="6" t="n">
        <f aca="false">G29*4.35</f>
        <v>0</v>
      </c>
      <c r="L29" s="59"/>
      <c r="M29" s="81"/>
      <c r="N29" s="97"/>
    </row>
    <row r="30" customFormat="false" ht="15" hidden="false" customHeight="false" outlineLevel="0" collapsed="false">
      <c r="A30" s="12" t="s">
        <v>39</v>
      </c>
      <c r="B30" s="70" t="s">
        <v>432</v>
      </c>
      <c r="C30" s="2" t="s">
        <v>12</v>
      </c>
      <c r="D30" s="2" t="s">
        <v>212</v>
      </c>
      <c r="E30" s="6"/>
      <c r="F30" s="2" t="n">
        <v>75</v>
      </c>
      <c r="G30" s="7"/>
      <c r="H30" s="42"/>
      <c r="J30" s="6" t="n">
        <f aca="false">G30*4.35</f>
        <v>0</v>
      </c>
      <c r="L30" s="59"/>
      <c r="M30" s="81"/>
      <c r="N30" s="97"/>
    </row>
    <row r="31" customFormat="false" ht="15" hidden="false" customHeight="false" outlineLevel="0" collapsed="false">
      <c r="A31" s="12" t="s">
        <v>43</v>
      </c>
      <c r="B31" s="70"/>
      <c r="C31" s="2"/>
      <c r="D31" s="2"/>
      <c r="E31" s="3"/>
      <c r="F31" s="2"/>
      <c r="G31" s="4"/>
      <c r="H31" s="5"/>
      <c r="J31" s="6" t="n">
        <f aca="false">G31*4.35</f>
        <v>0</v>
      </c>
      <c r="L31" s="17"/>
      <c r="M31" s="121"/>
      <c r="N31" s="128"/>
    </row>
    <row r="32" customFormat="false" ht="15" hidden="false" customHeight="false" outlineLevel="0" collapsed="false">
      <c r="A32" s="12" t="s">
        <v>45</v>
      </c>
      <c r="B32" s="70"/>
      <c r="C32" s="2"/>
      <c r="D32" s="2"/>
      <c r="E32" s="6"/>
      <c r="F32" s="2"/>
      <c r="G32" s="7"/>
      <c r="H32" s="42"/>
      <c r="J32" s="6" t="n">
        <f aca="false">G32*4.35</f>
        <v>0</v>
      </c>
      <c r="L32" s="17"/>
      <c r="M32" s="121"/>
      <c r="N32" s="128"/>
    </row>
    <row r="33" customFormat="false" ht="15" hidden="false" customHeight="false" outlineLevel="0" collapsed="false">
      <c r="A33" s="12" t="s">
        <v>48</v>
      </c>
      <c r="B33" s="70"/>
      <c r="C33" s="2"/>
      <c r="D33" s="2"/>
      <c r="E33" s="6"/>
      <c r="F33" s="2"/>
      <c r="G33" s="7"/>
      <c r="H33" s="42"/>
      <c r="J33" s="6"/>
      <c r="L33" s="17"/>
      <c r="M33" s="121"/>
      <c r="N33" s="128"/>
    </row>
    <row r="34" customFormat="false" ht="15" hidden="false" customHeight="false" outlineLevel="0" collapsed="false">
      <c r="A34" s="12" t="s">
        <v>51</v>
      </c>
      <c r="B34" s="2"/>
      <c r="C34" s="2"/>
      <c r="D34" s="2"/>
      <c r="E34" s="3"/>
      <c r="F34" s="2"/>
      <c r="G34" s="4"/>
      <c r="H34" s="5"/>
      <c r="J34" s="6" t="n">
        <f aca="false">G34*4.35</f>
        <v>0</v>
      </c>
      <c r="L34" s="17"/>
      <c r="M34" s="121"/>
      <c r="N34" s="121"/>
    </row>
    <row r="35" customFormat="false" ht="15" hidden="false" customHeight="false" outlineLevel="0" collapsed="false">
      <c r="J35" s="25" t="n">
        <f aca="false">SUM(J23:J34)</f>
        <v>0</v>
      </c>
    </row>
    <row r="39" customFormat="false" ht="15" hidden="false" customHeight="false" outlineLevel="0" collapsed="false">
      <c r="C39" s="40"/>
    </row>
  </sheetData>
  <mergeCells count="3">
    <mergeCell ref="A1:H1"/>
    <mergeCell ref="A2:H2"/>
    <mergeCell ref="A21:H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24.72"/>
    <col collapsed="false" customWidth="true" hidden="false" outlineLevel="0" max="4" min="3" style="0" width="15.71"/>
    <col collapsed="false" customWidth="true" hidden="false" outlineLevel="0" max="5" min="5" style="0" width="9.85"/>
    <col collapsed="false" customWidth="true" hidden="false" outlineLevel="0" max="6" min="6" style="0" width="6.71"/>
    <col collapsed="false" customWidth="true" hidden="false" outlineLevel="0" max="7" min="7" style="0" width="10.71"/>
    <col collapsed="false" customWidth="true" hidden="false" outlineLevel="0" max="8" min="8" style="0" width="8.71"/>
    <col collapsed="false" customWidth="true" hidden="false" outlineLevel="0" max="9" min="9" style="0" width="20.28"/>
    <col collapsed="false" customWidth="true" hidden="false" outlineLevel="0" max="10" min="10" style="0" width="16.71"/>
    <col collapsed="false" customWidth="true" hidden="false" outlineLevel="0" max="12" min="12" style="0" width="11.71"/>
    <col collapsed="false" customWidth="true" hidden="false" outlineLevel="0" max="13" min="13" style="0" width="16.43"/>
    <col collapsed="false" customWidth="true" hidden="false" outlineLevel="0" max="14" min="14" style="0" width="45.85"/>
  </cols>
  <sheetData>
    <row r="1" customFormat="false" ht="40.5" hidden="false" customHeight="true" outlineLevel="0" collapsed="false">
      <c r="A1" s="1" t="s">
        <v>433</v>
      </c>
      <c r="B1" s="1"/>
      <c r="C1" s="1"/>
      <c r="D1" s="1"/>
      <c r="E1" s="1"/>
      <c r="F1" s="1"/>
      <c r="G1" s="1"/>
      <c r="H1" s="1"/>
    </row>
    <row r="2" customFormat="false" ht="22.5" hidden="false" customHeight="true" outlineLevel="0" collapsed="false">
      <c r="A2" s="1" t="s">
        <v>189</v>
      </c>
      <c r="B2" s="1"/>
      <c r="C2" s="1"/>
      <c r="D2" s="1"/>
      <c r="E2" s="1"/>
      <c r="F2" s="1"/>
      <c r="G2" s="1"/>
      <c r="H2" s="1"/>
    </row>
    <row r="3" customFormat="false" ht="30" hidden="false" customHeight="false" outlineLevel="0" collapsed="false">
      <c r="A3" s="129" t="s">
        <v>1</v>
      </c>
      <c r="B3" s="129" t="s">
        <v>2</v>
      </c>
      <c r="C3" s="129" t="s">
        <v>3</v>
      </c>
      <c r="D3" s="129" t="s">
        <v>4</v>
      </c>
      <c r="E3" s="129" t="s">
        <v>5</v>
      </c>
      <c r="F3" s="129" t="s">
        <v>6</v>
      </c>
      <c r="G3" s="129" t="s">
        <v>7</v>
      </c>
      <c r="H3" s="129" t="s">
        <v>8</v>
      </c>
      <c r="J3" s="129" t="s">
        <v>9</v>
      </c>
      <c r="L3" s="130" t="s">
        <v>190</v>
      </c>
      <c r="M3" s="129" t="s">
        <v>191</v>
      </c>
      <c r="N3" s="129" t="s">
        <v>234</v>
      </c>
    </row>
    <row r="4" customFormat="false" ht="30" hidden="false" customHeight="true" outlineLevel="0" collapsed="false">
      <c r="A4" s="2" t="n">
        <v>1</v>
      </c>
      <c r="B4" s="2" t="s">
        <v>133</v>
      </c>
      <c r="C4" s="2" t="s">
        <v>106</v>
      </c>
      <c r="D4" s="2" t="s">
        <v>20</v>
      </c>
      <c r="E4" s="6" t="n">
        <v>13</v>
      </c>
      <c r="F4" s="2" t="n">
        <v>350</v>
      </c>
      <c r="G4" s="7" t="n">
        <f aca="false">F4*E4</f>
        <v>4550</v>
      </c>
      <c r="H4" s="5" t="n">
        <v>45902</v>
      </c>
      <c r="I4" s="51"/>
      <c r="J4" s="17" t="n">
        <f aca="false">G4</f>
        <v>4550</v>
      </c>
      <c r="L4" s="131"/>
      <c r="M4" s="132" t="s">
        <v>434</v>
      </c>
      <c r="N4" s="131"/>
    </row>
    <row r="5" customFormat="false" ht="24.75" hidden="false" customHeight="true" outlineLevel="0" collapsed="false">
      <c r="A5" s="2" t="n">
        <v>2</v>
      </c>
      <c r="B5" s="12" t="s">
        <v>49</v>
      </c>
      <c r="C5" s="94" t="s">
        <v>327</v>
      </c>
      <c r="D5" s="12" t="s">
        <v>13</v>
      </c>
      <c r="E5" s="13" t="n">
        <v>1.95</v>
      </c>
      <c r="F5" s="12" t="n">
        <v>500</v>
      </c>
      <c r="G5" s="52" t="n">
        <f aca="false">F5*E5</f>
        <v>975</v>
      </c>
      <c r="H5" s="14" t="n">
        <v>45903</v>
      </c>
      <c r="I5" s="19"/>
      <c r="J5" s="6" t="n">
        <f aca="false">G5*4.35</f>
        <v>4241.25</v>
      </c>
      <c r="L5" s="133"/>
      <c r="M5" s="132" t="n">
        <v>25007265</v>
      </c>
      <c r="N5" s="134"/>
    </row>
    <row r="6" customFormat="false" ht="24.75" hidden="false" customHeight="true" outlineLevel="0" collapsed="false">
      <c r="A6" s="2" t="n">
        <v>3</v>
      </c>
      <c r="B6" s="2" t="s">
        <v>84</v>
      </c>
      <c r="C6" s="2" t="s">
        <v>85</v>
      </c>
      <c r="D6" s="2" t="s">
        <v>86</v>
      </c>
      <c r="E6" s="6" t="n">
        <v>4.6</v>
      </c>
      <c r="F6" s="2" t="n">
        <v>2000</v>
      </c>
      <c r="G6" s="7" t="n">
        <v>9200</v>
      </c>
      <c r="H6" s="5" t="n">
        <v>45909</v>
      </c>
      <c r="I6" s="19" t="s">
        <v>296</v>
      </c>
      <c r="J6" s="17" t="n">
        <f aca="false">G6</f>
        <v>9200</v>
      </c>
      <c r="L6" s="131"/>
      <c r="M6" s="132" t="s">
        <v>435</v>
      </c>
      <c r="N6" s="131"/>
    </row>
    <row r="7" customFormat="false" ht="30.75" hidden="false" customHeight="true" outlineLevel="0" collapsed="false">
      <c r="A7" s="2" t="n">
        <v>4</v>
      </c>
      <c r="B7" s="12" t="s">
        <v>348</v>
      </c>
      <c r="C7" s="12" t="s">
        <v>23</v>
      </c>
      <c r="D7" s="12" t="s">
        <v>171</v>
      </c>
      <c r="E7" s="17" t="n">
        <v>5.45</v>
      </c>
      <c r="F7" s="12" t="n">
        <v>500</v>
      </c>
      <c r="G7" s="16" t="n">
        <f aca="false">F7*E7</f>
        <v>2725</v>
      </c>
      <c r="H7" s="14" t="n">
        <v>45904</v>
      </c>
      <c r="I7" s="19"/>
      <c r="J7" s="6" t="n">
        <f aca="false">G7</f>
        <v>2725</v>
      </c>
      <c r="L7" s="133"/>
      <c r="M7" s="132" t="s">
        <v>436</v>
      </c>
      <c r="N7" s="134"/>
    </row>
    <row r="8" customFormat="false" ht="24.75" hidden="false" customHeight="true" outlineLevel="0" collapsed="false">
      <c r="A8" s="2" t="n">
        <v>5</v>
      </c>
      <c r="B8" s="12" t="s">
        <v>40</v>
      </c>
      <c r="C8" s="12" t="s">
        <v>41</v>
      </c>
      <c r="D8" s="12" t="s">
        <v>69</v>
      </c>
      <c r="E8" s="17" t="n">
        <v>5.05</v>
      </c>
      <c r="F8" s="12" t="n">
        <v>2750</v>
      </c>
      <c r="G8" s="16" t="n">
        <f aca="false">F8*E8</f>
        <v>13887.5</v>
      </c>
      <c r="H8" s="14" t="n">
        <v>45912</v>
      </c>
      <c r="I8" s="88"/>
      <c r="J8" s="17" t="n">
        <f aca="false">G8</f>
        <v>13887.5</v>
      </c>
      <c r="L8" s="135"/>
      <c r="M8" s="132" t="s">
        <v>437</v>
      </c>
      <c r="N8" s="134"/>
    </row>
    <row r="9" customFormat="false" ht="24.75" hidden="false" customHeight="true" outlineLevel="0" collapsed="false">
      <c r="A9" s="2" t="n">
        <v>6</v>
      </c>
      <c r="B9" s="12" t="s">
        <v>104</v>
      </c>
      <c r="C9" s="12" t="s">
        <v>23</v>
      </c>
      <c r="D9" s="12" t="s">
        <v>24</v>
      </c>
      <c r="E9" s="53" t="n">
        <v>3.68</v>
      </c>
      <c r="F9" s="12" t="n">
        <v>8160</v>
      </c>
      <c r="G9" s="52" t="n">
        <f aca="false">F9*E9</f>
        <v>30028.8</v>
      </c>
      <c r="H9" s="14" t="n">
        <v>45916</v>
      </c>
      <c r="I9" s="37"/>
      <c r="J9" s="17" t="n">
        <f aca="false">G9*4.35</f>
        <v>130625.28</v>
      </c>
      <c r="L9" s="133"/>
      <c r="M9" s="136" t="n">
        <v>91178533</v>
      </c>
      <c r="N9" s="137"/>
    </row>
    <row r="10" customFormat="false" ht="24.75" hidden="false" customHeight="true" outlineLevel="0" collapsed="false">
      <c r="A10" s="2" t="n">
        <v>7</v>
      </c>
      <c r="B10" s="12" t="s">
        <v>174</v>
      </c>
      <c r="C10" s="12" t="s">
        <v>23</v>
      </c>
      <c r="D10" s="12" t="s">
        <v>95</v>
      </c>
      <c r="E10" s="53" t="n">
        <v>3.03</v>
      </c>
      <c r="F10" s="12" t="n">
        <v>4000</v>
      </c>
      <c r="G10" s="52" t="n">
        <f aca="false">F10*E10</f>
        <v>12120</v>
      </c>
      <c r="H10" s="14" t="n">
        <v>45918</v>
      </c>
      <c r="I10" s="88"/>
      <c r="J10" s="17" t="n">
        <f aca="false">G10*4.35</f>
        <v>52722</v>
      </c>
      <c r="L10" s="133"/>
      <c r="M10" s="136" t="s">
        <v>438</v>
      </c>
      <c r="N10" s="137" t="s">
        <v>439</v>
      </c>
    </row>
    <row r="11" customFormat="false" ht="24.75" hidden="false" customHeight="true" outlineLevel="0" collapsed="false">
      <c r="A11" s="2" t="n">
        <v>8</v>
      </c>
      <c r="B11" s="12" t="s">
        <v>248</v>
      </c>
      <c r="C11" s="12" t="s">
        <v>16</v>
      </c>
      <c r="D11" s="12" t="s">
        <v>17</v>
      </c>
      <c r="E11" s="17" t="n">
        <v>15.05</v>
      </c>
      <c r="F11" s="12" t="n">
        <v>200</v>
      </c>
      <c r="G11" s="16" t="n">
        <f aca="false">F11*E11</f>
        <v>3010</v>
      </c>
      <c r="H11" s="14" t="n">
        <v>45918</v>
      </c>
      <c r="I11" s="15"/>
      <c r="J11" s="17" t="n">
        <f aca="false">G11</f>
        <v>3010</v>
      </c>
      <c r="L11" s="133"/>
      <c r="M11" s="132" t="s">
        <v>440</v>
      </c>
      <c r="N11" s="134"/>
    </row>
    <row r="12" customFormat="false" ht="24.75" hidden="false" customHeight="true" outlineLevel="0" collapsed="false">
      <c r="A12" s="2" t="n">
        <v>9</v>
      </c>
      <c r="B12" s="12" t="s">
        <v>107</v>
      </c>
      <c r="C12" s="12" t="s">
        <v>106</v>
      </c>
      <c r="D12" s="12" t="s">
        <v>20</v>
      </c>
      <c r="E12" s="17" t="n">
        <v>11.4</v>
      </c>
      <c r="F12" s="12" t="n">
        <v>300</v>
      </c>
      <c r="G12" s="16" t="n">
        <f aca="false">F12*E12</f>
        <v>3420</v>
      </c>
      <c r="H12" s="14" t="n">
        <v>45922</v>
      </c>
      <c r="I12" s="15"/>
      <c r="J12" s="17" t="n">
        <f aca="false">G12</f>
        <v>3420</v>
      </c>
      <c r="L12" s="133"/>
      <c r="M12" s="132" t="s">
        <v>441</v>
      </c>
      <c r="N12" s="134"/>
    </row>
    <row r="13" customFormat="false" ht="24.75" hidden="false" customHeight="true" outlineLevel="0" collapsed="false">
      <c r="A13" s="2" t="n">
        <v>10</v>
      </c>
      <c r="B13" s="12"/>
      <c r="C13" s="12"/>
      <c r="D13" s="12"/>
      <c r="E13" s="17"/>
      <c r="F13" s="12"/>
      <c r="G13" s="16"/>
      <c r="H13" s="14"/>
      <c r="I13" s="51"/>
      <c r="J13" s="17" t="n">
        <f aca="false">G13</f>
        <v>0</v>
      </c>
      <c r="L13" s="17"/>
      <c r="M13" s="138"/>
      <c r="N13" s="12"/>
    </row>
    <row r="14" customFormat="false" ht="24.75" hidden="false" customHeight="true" outlineLevel="0" collapsed="false">
      <c r="A14" s="2" t="n">
        <v>11</v>
      </c>
      <c r="B14" s="12"/>
      <c r="C14" s="12"/>
      <c r="D14" s="12"/>
      <c r="E14" s="53"/>
      <c r="F14" s="12"/>
      <c r="G14" s="52"/>
      <c r="H14" s="14"/>
      <c r="J14" s="6" t="n">
        <f aca="false">G14</f>
        <v>0</v>
      </c>
      <c r="L14" s="17"/>
      <c r="M14" s="138"/>
      <c r="N14" s="12"/>
    </row>
    <row r="15" customFormat="false" ht="24.75" hidden="false" customHeight="true" outlineLevel="0" collapsed="false">
      <c r="A15" s="2" t="n">
        <v>12</v>
      </c>
      <c r="B15" s="12"/>
      <c r="C15" s="12"/>
      <c r="D15" s="12"/>
      <c r="E15" s="13"/>
      <c r="F15" s="12"/>
      <c r="G15" s="52"/>
      <c r="H15" s="14"/>
      <c r="I15" s="126"/>
      <c r="J15" s="17" t="n">
        <f aca="false">G15*4.35</f>
        <v>0</v>
      </c>
      <c r="L15" s="17"/>
      <c r="M15" s="138"/>
      <c r="N15" s="12"/>
    </row>
    <row r="16" customFormat="false" ht="24.75" hidden="false" customHeight="true" outlineLevel="0" collapsed="false">
      <c r="A16" s="2" t="n">
        <v>13</v>
      </c>
      <c r="B16" s="103"/>
      <c r="C16" s="2"/>
      <c r="D16" s="2"/>
      <c r="E16" s="3"/>
      <c r="F16" s="2"/>
      <c r="G16" s="4"/>
      <c r="H16" s="5"/>
      <c r="I16" s="19"/>
      <c r="J16" s="6" t="n">
        <f aca="false">G16</f>
        <v>0</v>
      </c>
      <c r="L16" s="17"/>
      <c r="M16" s="138"/>
      <c r="N16" s="12"/>
    </row>
    <row r="17" customFormat="false" ht="24.75" hidden="false" customHeight="true" outlineLevel="0" collapsed="false">
      <c r="A17" s="2" t="n">
        <v>14</v>
      </c>
      <c r="B17" s="12"/>
      <c r="C17" s="12"/>
      <c r="D17" s="12"/>
      <c r="E17" s="17"/>
      <c r="F17" s="12"/>
      <c r="G17" s="16"/>
      <c r="H17" s="14"/>
      <c r="I17" s="37"/>
      <c r="J17" s="6" t="n">
        <f aca="false">G17</f>
        <v>0</v>
      </c>
      <c r="L17" s="17"/>
      <c r="M17" s="138"/>
      <c r="N17" s="12"/>
    </row>
    <row r="18" customFormat="false" ht="24.75" hidden="false" customHeight="true" outlineLevel="0" collapsed="false">
      <c r="A18" s="2" t="n">
        <v>15</v>
      </c>
      <c r="B18" s="2"/>
      <c r="C18" s="2"/>
      <c r="D18" s="2"/>
      <c r="E18" s="3"/>
      <c r="F18" s="2"/>
      <c r="G18" s="4"/>
      <c r="H18" s="5"/>
      <c r="J18" s="6" t="n">
        <f aca="false">G18</f>
        <v>0</v>
      </c>
      <c r="L18" s="17"/>
      <c r="M18" s="138"/>
      <c r="N18" s="12"/>
    </row>
    <row r="19" customFormat="false" ht="15" hidden="false" customHeight="false" outlineLevel="0" collapsed="false">
      <c r="J19" s="25" t="n">
        <f aca="false">SUM(J4:J18)</f>
        <v>224381.03</v>
      </c>
    </row>
    <row r="20" customFormat="false" ht="15" hidden="false" customHeight="false" outlineLevel="0" collapsed="false">
      <c r="J20" s="18"/>
    </row>
    <row r="21" customFormat="false" ht="26.25" hidden="false" customHeight="true" outlineLevel="0" collapsed="false">
      <c r="A21" s="1" t="s">
        <v>210</v>
      </c>
      <c r="B21" s="1"/>
      <c r="C21" s="1"/>
      <c r="D21" s="1"/>
      <c r="E21" s="1"/>
      <c r="F21" s="1"/>
      <c r="G21" s="1"/>
      <c r="H21" s="1"/>
    </row>
    <row r="22" customFormat="false" ht="30" hidden="false" customHeight="false" outlineLevel="0" collapsed="false">
      <c r="A22" s="139" t="s">
        <v>1</v>
      </c>
      <c r="B22" s="139" t="s">
        <v>2</v>
      </c>
      <c r="C22" s="139" t="s">
        <v>3</v>
      </c>
      <c r="D22" s="139" t="s">
        <v>4</v>
      </c>
      <c r="E22" s="139" t="s">
        <v>5</v>
      </c>
      <c r="F22" s="139" t="s">
        <v>6</v>
      </c>
      <c r="G22" s="139" t="s">
        <v>7</v>
      </c>
      <c r="H22" s="139" t="s">
        <v>8</v>
      </c>
      <c r="J22" s="139" t="s">
        <v>9</v>
      </c>
      <c r="L22" s="130" t="s">
        <v>190</v>
      </c>
      <c r="M22" s="129" t="s">
        <v>191</v>
      </c>
      <c r="N22" s="129" t="s">
        <v>234</v>
      </c>
    </row>
    <row r="23" customFormat="false" ht="15" hidden="false" customHeight="false" outlineLevel="0" collapsed="false">
      <c r="A23" s="12" t="s">
        <v>10</v>
      </c>
      <c r="B23" s="2" t="s">
        <v>442</v>
      </c>
      <c r="C23" s="2"/>
      <c r="D23" s="2" t="s">
        <v>212</v>
      </c>
      <c r="E23" s="3"/>
      <c r="F23" s="2" t="n">
        <v>25</v>
      </c>
      <c r="G23" s="4"/>
      <c r="H23" s="5"/>
      <c r="J23" s="6" t="n">
        <f aca="false">G23*4.35</f>
        <v>0</v>
      </c>
      <c r="L23" s="133"/>
      <c r="M23" s="131" t="s">
        <v>443</v>
      </c>
      <c r="N23" s="131"/>
    </row>
    <row r="24" customFormat="false" ht="15" hidden="false" customHeight="false" outlineLevel="0" collapsed="false">
      <c r="A24" s="12" t="s">
        <v>14</v>
      </c>
      <c r="B24" s="70" t="s">
        <v>444</v>
      </c>
      <c r="C24" s="2"/>
      <c r="D24" s="2" t="s">
        <v>212</v>
      </c>
      <c r="E24" s="3"/>
      <c r="F24" s="2" t="n">
        <v>25</v>
      </c>
      <c r="G24" s="96"/>
      <c r="H24" s="5"/>
      <c r="J24" s="6" t="n">
        <f aca="false">G24</f>
        <v>0</v>
      </c>
      <c r="L24" s="133"/>
      <c r="M24" s="131" t="s">
        <v>443</v>
      </c>
      <c r="N24" s="131"/>
    </row>
    <row r="25" customFormat="false" ht="15" hidden="false" customHeight="false" outlineLevel="0" collapsed="false">
      <c r="A25" s="12" t="s">
        <v>18</v>
      </c>
      <c r="B25" s="2" t="s">
        <v>223</v>
      </c>
      <c r="C25" s="2"/>
      <c r="D25" s="2" t="s">
        <v>212</v>
      </c>
      <c r="E25" s="3"/>
      <c r="F25" s="2" t="n">
        <v>25</v>
      </c>
      <c r="G25" s="96"/>
      <c r="H25" s="5"/>
      <c r="J25" s="6" t="n">
        <f aca="false">G25</f>
        <v>0</v>
      </c>
      <c r="L25" s="133"/>
      <c r="M25" s="131" t="s">
        <v>445</v>
      </c>
      <c r="N25" s="131"/>
    </row>
    <row r="26" customFormat="false" ht="15" hidden="false" customHeight="false" outlineLevel="0" collapsed="false">
      <c r="A26" s="12" t="s">
        <v>21</v>
      </c>
      <c r="B26" s="70" t="s">
        <v>220</v>
      </c>
      <c r="C26" s="2"/>
      <c r="D26" s="2" t="s">
        <v>212</v>
      </c>
      <c r="E26" s="3"/>
      <c r="F26" s="2" t="n">
        <v>25</v>
      </c>
      <c r="G26" s="96"/>
      <c r="H26" s="5"/>
      <c r="J26" s="6" t="n">
        <f aca="false">G26</f>
        <v>0</v>
      </c>
      <c r="L26" s="133"/>
      <c r="M26" s="131" t="s">
        <v>445</v>
      </c>
      <c r="N26" s="131"/>
    </row>
    <row r="27" customFormat="false" ht="15" hidden="false" customHeight="false" outlineLevel="0" collapsed="false">
      <c r="A27" s="12" t="s">
        <v>25</v>
      </c>
      <c r="B27" s="2" t="s">
        <v>224</v>
      </c>
      <c r="C27" s="2"/>
      <c r="D27" s="2" t="s">
        <v>212</v>
      </c>
      <c r="E27" s="3"/>
      <c r="F27" s="2" t="n">
        <v>25</v>
      </c>
      <c r="G27" s="4"/>
      <c r="H27" s="5"/>
      <c r="J27" s="6" t="n">
        <f aca="false">G27*4.35</f>
        <v>0</v>
      </c>
      <c r="L27" s="133"/>
      <c r="M27" s="131" t="s">
        <v>445</v>
      </c>
      <c r="N27" s="131"/>
    </row>
    <row r="28" customFormat="false" ht="15" hidden="false" customHeight="false" outlineLevel="0" collapsed="false">
      <c r="A28" s="12" t="s">
        <v>30</v>
      </c>
      <c r="B28" s="70" t="s">
        <v>223</v>
      </c>
      <c r="C28" s="2"/>
      <c r="D28" s="2" t="s">
        <v>212</v>
      </c>
      <c r="E28" s="3"/>
      <c r="F28" s="2" t="n">
        <v>25</v>
      </c>
      <c r="G28" s="7"/>
      <c r="H28" s="42"/>
      <c r="J28" s="6" t="n">
        <f aca="false">G28*4.35</f>
        <v>0</v>
      </c>
      <c r="L28" s="133"/>
      <c r="M28" s="131" t="s">
        <v>446</v>
      </c>
      <c r="N28" s="131"/>
    </row>
    <row r="29" customFormat="false" ht="15" hidden="false" customHeight="false" outlineLevel="0" collapsed="false">
      <c r="A29" s="12" t="s">
        <v>34</v>
      </c>
      <c r="B29" s="70" t="s">
        <v>302</v>
      </c>
      <c r="C29" s="2"/>
      <c r="D29" s="2" t="s">
        <v>212</v>
      </c>
      <c r="E29" s="3"/>
      <c r="F29" s="2" t="n">
        <v>25</v>
      </c>
      <c r="G29" s="4"/>
      <c r="H29" s="5"/>
      <c r="J29" s="6" t="n">
        <f aca="false">G29*4.35</f>
        <v>0</v>
      </c>
      <c r="L29" s="133"/>
      <c r="M29" s="131" t="s">
        <v>447</v>
      </c>
      <c r="N29" s="140"/>
    </row>
    <row r="30" customFormat="false" ht="15" hidden="false" customHeight="false" outlineLevel="0" collapsed="false">
      <c r="A30" s="12" t="s">
        <v>39</v>
      </c>
      <c r="B30" s="70" t="s">
        <v>224</v>
      </c>
      <c r="C30" s="2"/>
      <c r="D30" s="2" t="s">
        <v>212</v>
      </c>
      <c r="E30" s="3"/>
      <c r="F30" s="2" t="n">
        <v>25</v>
      </c>
      <c r="G30" s="7"/>
      <c r="H30" s="42"/>
      <c r="J30" s="6" t="n">
        <f aca="false">G30*4.35</f>
        <v>0</v>
      </c>
      <c r="L30" s="133"/>
      <c r="M30" s="131" t="s">
        <v>447</v>
      </c>
      <c r="N30" s="140"/>
    </row>
    <row r="31" customFormat="false" ht="15" hidden="false" customHeight="false" outlineLevel="0" collapsed="false">
      <c r="A31" s="12" t="s">
        <v>43</v>
      </c>
      <c r="B31" s="70" t="s">
        <v>448</v>
      </c>
      <c r="C31" s="2"/>
      <c r="D31" s="2" t="s">
        <v>212</v>
      </c>
      <c r="E31" s="3"/>
      <c r="F31" s="2" t="n">
        <v>25</v>
      </c>
      <c r="G31" s="4"/>
      <c r="H31" s="5"/>
      <c r="J31" s="6" t="n">
        <f aca="false">G31*4.35</f>
        <v>0</v>
      </c>
      <c r="L31" s="133"/>
      <c r="M31" s="131" t="s">
        <v>449</v>
      </c>
      <c r="N31" s="140"/>
    </row>
    <row r="32" customFormat="false" ht="15" hidden="false" customHeight="false" outlineLevel="0" collapsed="false">
      <c r="A32" s="12" t="s">
        <v>45</v>
      </c>
      <c r="B32" s="70" t="s">
        <v>450</v>
      </c>
      <c r="C32" s="2"/>
      <c r="D32" s="2" t="s">
        <v>212</v>
      </c>
      <c r="E32" s="3"/>
      <c r="F32" s="2" t="n">
        <v>25</v>
      </c>
      <c r="G32" s="7"/>
      <c r="H32" s="42"/>
      <c r="J32" s="6" t="n">
        <f aca="false">G32*4.35</f>
        <v>0</v>
      </c>
      <c r="L32" s="133"/>
      <c r="M32" s="131" t="s">
        <v>451</v>
      </c>
      <c r="N32" s="140"/>
    </row>
    <row r="33" customFormat="false" ht="15" hidden="false" customHeight="false" outlineLevel="0" collapsed="false">
      <c r="A33" s="12" t="s">
        <v>48</v>
      </c>
      <c r="B33" s="70" t="s">
        <v>452</v>
      </c>
      <c r="C33" s="2"/>
      <c r="D33" s="2" t="s">
        <v>215</v>
      </c>
      <c r="E33" s="6"/>
      <c r="F33" s="2" t="n">
        <v>25</v>
      </c>
      <c r="G33" s="7"/>
      <c r="H33" s="42"/>
      <c r="J33" s="6" t="n">
        <f aca="false">G33*4.35</f>
        <v>0</v>
      </c>
      <c r="L33" s="133"/>
      <c r="M33" s="131" t="s">
        <v>453</v>
      </c>
      <c r="N33" s="140"/>
    </row>
    <row r="34" customFormat="false" ht="15" hidden="false" customHeight="false" outlineLevel="0" collapsed="false">
      <c r="A34" s="12" t="s">
        <v>51</v>
      </c>
      <c r="B34" s="2" t="s">
        <v>454</v>
      </c>
      <c r="C34" s="2"/>
      <c r="D34" s="2" t="s">
        <v>215</v>
      </c>
      <c r="E34" s="6"/>
      <c r="F34" s="2" t="n">
        <v>25</v>
      </c>
      <c r="G34" s="4"/>
      <c r="H34" s="5"/>
      <c r="J34" s="6" t="n">
        <f aca="false">G34*4.35</f>
        <v>0</v>
      </c>
      <c r="L34" s="133"/>
      <c r="M34" s="131" t="s">
        <v>453</v>
      </c>
      <c r="N34" s="131"/>
    </row>
    <row r="35" customFormat="false" ht="15" hidden="false" customHeight="false" outlineLevel="0" collapsed="false">
      <c r="A35" s="12" t="s">
        <v>55</v>
      </c>
      <c r="B35" s="2" t="s">
        <v>455</v>
      </c>
      <c r="C35" s="2"/>
      <c r="D35" s="2" t="s">
        <v>215</v>
      </c>
      <c r="E35" s="6"/>
      <c r="F35" s="2" t="n">
        <v>25</v>
      </c>
      <c r="G35" s="4"/>
      <c r="H35" s="5"/>
      <c r="J35" s="6" t="n">
        <f aca="false">G35*4.35</f>
        <v>0</v>
      </c>
      <c r="L35" s="133"/>
      <c r="M35" s="131" t="s">
        <v>453</v>
      </c>
      <c r="N35" s="131"/>
    </row>
    <row r="36" customFormat="false" ht="15" hidden="false" customHeight="false" outlineLevel="0" collapsed="false">
      <c r="A36" s="12" t="s">
        <v>57</v>
      </c>
      <c r="B36" s="2" t="s">
        <v>264</v>
      </c>
      <c r="C36" s="2"/>
      <c r="D36" s="2" t="s">
        <v>215</v>
      </c>
      <c r="E36" s="6"/>
      <c r="F36" s="2" t="n">
        <v>25</v>
      </c>
      <c r="G36" s="4"/>
      <c r="H36" s="5"/>
      <c r="J36" s="6" t="n">
        <f aca="false">G36*4.35</f>
        <v>0</v>
      </c>
      <c r="L36" s="133"/>
      <c r="M36" s="131" t="s">
        <v>456</v>
      </c>
      <c r="N36" s="131"/>
    </row>
    <row r="37" customFormat="false" ht="15" hidden="false" customHeight="false" outlineLevel="0" collapsed="false">
      <c r="A37" s="12" t="s">
        <v>59</v>
      </c>
      <c r="B37" s="2" t="s">
        <v>457</v>
      </c>
      <c r="C37" s="2"/>
      <c r="D37" s="2" t="s">
        <v>215</v>
      </c>
      <c r="E37" s="6"/>
      <c r="F37" s="2" t="n">
        <v>25</v>
      </c>
      <c r="G37" s="4"/>
      <c r="H37" s="5"/>
      <c r="J37" s="6" t="n">
        <f aca="false">G37*4.35</f>
        <v>0</v>
      </c>
      <c r="L37" s="133"/>
      <c r="M37" s="131" t="s">
        <v>458</v>
      </c>
      <c r="N37" s="131"/>
    </row>
    <row r="38" customFormat="false" ht="15" hidden="false" customHeight="false" outlineLevel="0" collapsed="false">
      <c r="A38" s="12" t="s">
        <v>61</v>
      </c>
      <c r="B38" s="2" t="s">
        <v>459</v>
      </c>
      <c r="C38" s="2"/>
      <c r="D38" s="2" t="s">
        <v>215</v>
      </c>
      <c r="E38" s="6"/>
      <c r="F38" s="2" t="n">
        <v>25</v>
      </c>
      <c r="G38" s="4"/>
      <c r="H38" s="5"/>
      <c r="J38" s="6" t="n">
        <f aca="false">G38*4.35</f>
        <v>0</v>
      </c>
      <c r="L38" s="133"/>
      <c r="M38" s="131" t="s">
        <v>460</v>
      </c>
      <c r="N38" s="131"/>
    </row>
    <row r="39" customFormat="false" ht="15" hidden="false" customHeight="false" outlineLevel="0" collapsed="false">
      <c r="J39" s="141" t="n">
        <f aca="false">SUM(J23:J34)</f>
        <v>0</v>
      </c>
    </row>
    <row r="43" customFormat="false" ht="15" hidden="false" customHeight="false" outlineLevel="0" collapsed="false">
      <c r="C43" s="40"/>
    </row>
  </sheetData>
  <mergeCells count="3">
    <mergeCell ref="A1:H1"/>
    <mergeCell ref="A2:H2"/>
    <mergeCell ref="A21:H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1" activeCellId="0" sqref="I1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24.72"/>
    <col collapsed="false" customWidth="true" hidden="false" outlineLevel="0" max="4" min="3" style="0" width="15.71"/>
    <col collapsed="false" customWidth="true" hidden="false" outlineLevel="0" max="5" min="5" style="0" width="9.85"/>
    <col collapsed="false" customWidth="true" hidden="false" outlineLevel="0" max="6" min="6" style="0" width="6.71"/>
    <col collapsed="false" customWidth="true" hidden="false" outlineLevel="0" max="7" min="7" style="0" width="10.71"/>
    <col collapsed="false" customWidth="true" hidden="false" outlineLevel="0" max="8" min="8" style="0" width="8.71"/>
    <col collapsed="false" customWidth="true" hidden="false" outlineLevel="0" max="9" min="9" style="0" width="20.28"/>
    <col collapsed="false" customWidth="true" hidden="false" outlineLevel="0" max="10" min="10" style="0" width="16.71"/>
    <col collapsed="false" customWidth="true" hidden="false" outlineLevel="0" max="12" min="12" style="0" width="11.71"/>
    <col collapsed="false" customWidth="true" hidden="false" outlineLevel="0" max="13" min="13" style="142" width="16.43"/>
    <col collapsed="false" customWidth="true" hidden="false" outlineLevel="0" max="14" min="14" style="0" width="45.85"/>
  </cols>
  <sheetData>
    <row r="1" customFormat="false" ht="40.5" hidden="false" customHeight="true" outlineLevel="0" collapsed="false">
      <c r="A1" s="1" t="s">
        <v>461</v>
      </c>
      <c r="B1" s="1"/>
      <c r="C1" s="1"/>
      <c r="D1" s="1"/>
      <c r="E1" s="1"/>
      <c r="F1" s="1"/>
      <c r="G1" s="1"/>
      <c r="H1" s="1"/>
    </row>
    <row r="2" customFormat="false" ht="22.5" hidden="false" customHeight="true" outlineLevel="0" collapsed="false">
      <c r="A2" s="1" t="s">
        <v>189</v>
      </c>
      <c r="B2" s="1"/>
      <c r="C2" s="1"/>
      <c r="D2" s="1"/>
      <c r="E2" s="1"/>
      <c r="F2" s="1"/>
      <c r="G2" s="1"/>
      <c r="H2" s="1"/>
    </row>
    <row r="3" customFormat="false" ht="30" hidden="false" customHeight="false" outlineLevel="0" collapsed="false">
      <c r="A3" s="129" t="s">
        <v>1</v>
      </c>
      <c r="B3" s="129" t="s">
        <v>2</v>
      </c>
      <c r="C3" s="129" t="s">
        <v>3</v>
      </c>
      <c r="D3" s="129" t="s">
        <v>4</v>
      </c>
      <c r="E3" s="129" t="s">
        <v>5</v>
      </c>
      <c r="F3" s="129" t="s">
        <v>6</v>
      </c>
      <c r="G3" s="129" t="s">
        <v>7</v>
      </c>
      <c r="H3" s="129" t="s">
        <v>8</v>
      </c>
      <c r="J3" s="129" t="s">
        <v>9</v>
      </c>
      <c r="L3" s="130" t="s">
        <v>190</v>
      </c>
      <c r="M3" s="129" t="s">
        <v>191</v>
      </c>
      <c r="N3" s="129" t="s">
        <v>234</v>
      </c>
    </row>
    <row r="4" customFormat="false" ht="24.75" hidden="false" customHeight="true" outlineLevel="0" collapsed="false">
      <c r="A4" s="2" t="n">
        <v>1</v>
      </c>
      <c r="B4" s="12" t="s">
        <v>116</v>
      </c>
      <c r="C4" s="12" t="s">
        <v>117</v>
      </c>
      <c r="D4" s="12" t="s">
        <v>137</v>
      </c>
      <c r="E4" s="17" t="n">
        <v>6</v>
      </c>
      <c r="F4" s="12" t="n">
        <v>3000</v>
      </c>
      <c r="G4" s="143" t="n">
        <f aca="false">F4*E4</f>
        <v>18000</v>
      </c>
      <c r="H4" s="14" t="n">
        <v>45933</v>
      </c>
      <c r="I4" s="37"/>
      <c r="J4" s="144" t="n">
        <f aca="false">G4</f>
        <v>18000</v>
      </c>
      <c r="L4" s="133"/>
      <c r="M4" s="132" t="s">
        <v>462</v>
      </c>
      <c r="N4" s="134"/>
    </row>
    <row r="5" customFormat="false" ht="24.75" hidden="false" customHeight="true" outlineLevel="0" collapsed="false">
      <c r="A5" s="12" t="n">
        <v>2</v>
      </c>
      <c r="B5" s="12" t="s">
        <v>174</v>
      </c>
      <c r="C5" s="12" t="s">
        <v>23</v>
      </c>
      <c r="D5" s="12" t="s">
        <v>95</v>
      </c>
      <c r="E5" s="53" t="n">
        <v>3.03</v>
      </c>
      <c r="F5" s="12" t="n">
        <v>3000</v>
      </c>
      <c r="G5" s="145" t="n">
        <f aca="false">F5*E5</f>
        <v>9090</v>
      </c>
      <c r="H5" s="14" t="n">
        <v>45942</v>
      </c>
      <c r="I5" s="88"/>
      <c r="J5" s="144" t="n">
        <f aca="false">G5*4.35</f>
        <v>39541.5</v>
      </c>
      <c r="L5" s="131"/>
      <c r="M5" s="132" t="s">
        <v>463</v>
      </c>
      <c r="N5" s="146"/>
    </row>
    <row r="6" customFormat="false" ht="30.75" hidden="false" customHeight="true" outlineLevel="0" collapsed="false">
      <c r="A6" s="2" t="n">
        <v>3</v>
      </c>
      <c r="B6" s="12" t="s">
        <v>35</v>
      </c>
      <c r="C6" s="12" t="s">
        <v>92</v>
      </c>
      <c r="D6" s="12" t="s">
        <v>37</v>
      </c>
      <c r="E6" s="17" t="n">
        <v>4.5</v>
      </c>
      <c r="F6" s="12" t="n">
        <v>2000</v>
      </c>
      <c r="G6" s="143" t="n">
        <f aca="false">F6*E6</f>
        <v>9000</v>
      </c>
      <c r="H6" s="14" t="n">
        <v>45942</v>
      </c>
      <c r="I6" s="37"/>
      <c r="J6" s="144" t="n">
        <f aca="false">G6</f>
        <v>9000</v>
      </c>
      <c r="L6" s="133"/>
      <c r="M6" s="147" t="n">
        <v>45940</v>
      </c>
      <c r="N6" s="134"/>
    </row>
    <row r="7" customFormat="false" ht="24.75" hidden="false" customHeight="true" outlineLevel="0" collapsed="false">
      <c r="A7" s="12" t="n">
        <v>4</v>
      </c>
      <c r="B7" s="12" t="s">
        <v>464</v>
      </c>
      <c r="C7" s="125" t="s">
        <v>465</v>
      </c>
      <c r="D7" s="12" t="s">
        <v>13</v>
      </c>
      <c r="E7" s="53" t="n">
        <v>1.92</v>
      </c>
      <c r="F7" s="12" t="n">
        <v>4725</v>
      </c>
      <c r="G7" s="145" t="n">
        <f aca="false">F7*E7</f>
        <v>9072</v>
      </c>
      <c r="H7" s="14" t="n">
        <v>45945</v>
      </c>
      <c r="I7" s="51"/>
      <c r="J7" s="144" t="n">
        <f aca="false">G7*4.35</f>
        <v>39463.2</v>
      </c>
      <c r="L7" s="135"/>
      <c r="M7" s="132" t="n">
        <v>25008625</v>
      </c>
      <c r="N7" s="134"/>
    </row>
    <row r="8" customFormat="false" ht="24.75" hidden="false" customHeight="true" outlineLevel="0" collapsed="false">
      <c r="A8" s="2" t="n">
        <v>5</v>
      </c>
      <c r="B8" s="12" t="s">
        <v>177</v>
      </c>
      <c r="C8" s="125" t="s">
        <v>466</v>
      </c>
      <c r="D8" s="12" t="s">
        <v>149</v>
      </c>
      <c r="E8" s="17" t="n">
        <v>10.9</v>
      </c>
      <c r="F8" s="12" t="n">
        <v>200</v>
      </c>
      <c r="G8" s="143" t="n">
        <f aca="false">F8*E8</f>
        <v>2180</v>
      </c>
      <c r="H8" s="14" t="n">
        <v>45947</v>
      </c>
      <c r="I8" s="51"/>
      <c r="J8" s="144" t="n">
        <f aca="false">G8</f>
        <v>2180</v>
      </c>
      <c r="L8" s="133"/>
      <c r="M8" s="136" t="s">
        <v>467</v>
      </c>
      <c r="N8" s="137"/>
    </row>
    <row r="9" customFormat="false" ht="24.75" hidden="false" customHeight="true" outlineLevel="0" collapsed="false">
      <c r="A9" s="12" t="n">
        <v>6</v>
      </c>
      <c r="B9" s="12" t="s">
        <v>468</v>
      </c>
      <c r="C9" s="125" t="s">
        <v>465</v>
      </c>
      <c r="D9" s="12" t="s">
        <v>469</v>
      </c>
      <c r="E9" s="17" t="n">
        <v>5.55</v>
      </c>
      <c r="F9" s="12" t="n">
        <v>500</v>
      </c>
      <c r="G9" s="143" t="n">
        <f aca="false">F9*E9</f>
        <v>2775</v>
      </c>
      <c r="H9" s="14" t="n">
        <v>45951</v>
      </c>
      <c r="J9" s="144" t="n">
        <f aca="false">G9</f>
        <v>2775</v>
      </c>
      <c r="L9" s="133"/>
      <c r="M9" s="136" t="n">
        <v>97326569</v>
      </c>
      <c r="N9" s="137"/>
    </row>
    <row r="10" customFormat="false" ht="24.75" hidden="false" customHeight="true" outlineLevel="0" collapsed="false">
      <c r="A10" s="2" t="n">
        <v>7</v>
      </c>
      <c r="B10" s="12" t="s">
        <v>104</v>
      </c>
      <c r="C10" s="12" t="s">
        <v>23</v>
      </c>
      <c r="D10" s="12" t="s">
        <v>24</v>
      </c>
      <c r="E10" s="53" t="n">
        <v>3.82</v>
      </c>
      <c r="F10" s="12" t="n">
        <v>9600</v>
      </c>
      <c r="G10" s="145" t="n">
        <f aca="false">F10*E10</f>
        <v>36672</v>
      </c>
      <c r="H10" s="14" t="n">
        <v>45958</v>
      </c>
      <c r="J10" s="144" t="n">
        <f aca="false">G10*4.35</f>
        <v>159523.2</v>
      </c>
      <c r="L10" s="133"/>
      <c r="M10" s="132" t="n">
        <v>91180623</v>
      </c>
      <c r="N10" s="134"/>
    </row>
    <row r="11" customFormat="false" ht="24.75" hidden="false" customHeight="true" outlineLevel="0" collapsed="false">
      <c r="A11" s="12" t="n">
        <v>8</v>
      </c>
      <c r="B11" s="12" t="s">
        <v>470</v>
      </c>
      <c r="C11" s="12" t="s">
        <v>168</v>
      </c>
      <c r="D11" s="12" t="s">
        <v>13</v>
      </c>
      <c r="E11" s="53" t="n">
        <v>1.9</v>
      </c>
      <c r="F11" s="12" t="n">
        <v>500</v>
      </c>
      <c r="G11" s="145" t="n">
        <f aca="false">F11*E11</f>
        <v>950</v>
      </c>
      <c r="H11" s="14" t="n">
        <v>45954</v>
      </c>
      <c r="J11" s="144" t="n">
        <f aca="false">G11*4.35</f>
        <v>4132.5</v>
      </c>
      <c r="L11" s="133"/>
      <c r="M11" s="132" t="n">
        <v>25008945</v>
      </c>
      <c r="N11" s="134"/>
    </row>
    <row r="12" customFormat="false" ht="24.75" hidden="false" customHeight="true" outlineLevel="0" collapsed="false">
      <c r="A12" s="2" t="n">
        <v>9</v>
      </c>
      <c r="B12" s="12" t="s">
        <v>100</v>
      </c>
      <c r="C12" s="12" t="s">
        <v>101</v>
      </c>
      <c r="D12" s="12" t="s">
        <v>28</v>
      </c>
      <c r="E12" s="17" t="n">
        <v>3.5</v>
      </c>
      <c r="F12" s="12" t="n">
        <v>2000</v>
      </c>
      <c r="G12" s="143" t="n">
        <f aca="false">F12*E12</f>
        <v>7000</v>
      </c>
      <c r="H12" s="14" t="n">
        <v>45954</v>
      </c>
      <c r="I12" s="51"/>
      <c r="J12" s="144" t="n">
        <f aca="false">G12</f>
        <v>7000</v>
      </c>
      <c r="L12" s="133"/>
      <c r="M12" s="132" t="s">
        <v>471</v>
      </c>
      <c r="N12" s="134"/>
    </row>
    <row r="13" customFormat="false" ht="24.75" hidden="false" customHeight="true" outlineLevel="0" collapsed="false">
      <c r="A13" s="12" t="n">
        <v>10</v>
      </c>
      <c r="B13" s="12" t="s">
        <v>356</v>
      </c>
      <c r="C13" s="12" t="s">
        <v>135</v>
      </c>
      <c r="D13" s="89" t="s">
        <v>149</v>
      </c>
      <c r="E13" s="17" t="n">
        <v>9.3</v>
      </c>
      <c r="F13" s="12" t="n">
        <v>1000</v>
      </c>
      <c r="G13" s="143" t="n">
        <f aca="false">F13*E13</f>
        <v>9300</v>
      </c>
      <c r="H13" s="14" t="n">
        <v>45959</v>
      </c>
      <c r="J13" s="144" t="n">
        <f aca="false">G13</f>
        <v>9300</v>
      </c>
      <c r="L13" s="133"/>
      <c r="M13" s="132" t="s">
        <v>472</v>
      </c>
      <c r="N13" s="134"/>
    </row>
    <row r="14" customFormat="false" ht="24.75" hidden="false" customHeight="true" outlineLevel="0" collapsed="false">
      <c r="A14" s="12" t="s">
        <v>51</v>
      </c>
      <c r="B14" s="12"/>
      <c r="C14" s="12"/>
      <c r="D14" s="12"/>
      <c r="E14" s="13"/>
      <c r="F14" s="12"/>
      <c r="G14" s="52"/>
      <c r="H14" s="14"/>
      <c r="I14" s="126"/>
      <c r="J14" s="144" t="n">
        <f aca="false">G14*4.35</f>
        <v>0</v>
      </c>
      <c r="L14" s="17"/>
      <c r="M14" s="138"/>
      <c r="N14" s="12"/>
    </row>
    <row r="15" customFormat="false" ht="24.75" hidden="false" customHeight="true" outlineLevel="0" collapsed="false">
      <c r="A15" s="2" t="s">
        <v>55</v>
      </c>
      <c r="B15" s="103"/>
      <c r="C15" s="2"/>
      <c r="D15" s="2"/>
      <c r="E15" s="3"/>
      <c r="F15" s="2"/>
      <c r="G15" s="4"/>
      <c r="H15" s="5"/>
      <c r="I15" s="19"/>
      <c r="J15" s="144" t="n">
        <f aca="false">G15</f>
        <v>0</v>
      </c>
      <c r="L15" s="17"/>
      <c r="M15" s="138"/>
      <c r="N15" s="12"/>
    </row>
    <row r="16" customFormat="false" ht="24.75" hidden="false" customHeight="true" outlineLevel="0" collapsed="false">
      <c r="A16" s="2" t="s">
        <v>57</v>
      </c>
      <c r="B16" s="12"/>
      <c r="C16" s="12"/>
      <c r="D16" s="12"/>
      <c r="E16" s="17"/>
      <c r="F16" s="12"/>
      <c r="G16" s="16"/>
      <c r="H16" s="14"/>
      <c r="I16" s="37"/>
      <c r="J16" s="144" t="n">
        <f aca="false">G16</f>
        <v>0</v>
      </c>
      <c r="L16" s="17"/>
      <c r="M16" s="138"/>
      <c r="N16" s="12"/>
    </row>
    <row r="17" customFormat="false" ht="24.75" hidden="false" customHeight="true" outlineLevel="0" collapsed="false">
      <c r="A17" s="12" t="s">
        <v>59</v>
      </c>
      <c r="B17" s="2"/>
      <c r="C17" s="2"/>
      <c r="D17" s="2"/>
      <c r="E17" s="3"/>
      <c r="F17" s="2"/>
      <c r="G17" s="4"/>
      <c r="H17" s="5"/>
      <c r="J17" s="144" t="n">
        <f aca="false">G17</f>
        <v>0</v>
      </c>
      <c r="L17" s="17"/>
      <c r="M17" s="138"/>
      <c r="N17" s="12"/>
    </row>
    <row r="18" customFormat="false" ht="15" hidden="false" customHeight="false" outlineLevel="0" collapsed="false">
      <c r="J18" s="25" t="n">
        <f aca="false">SUM(J4:J17)</f>
        <v>290915.4</v>
      </c>
    </row>
    <row r="19" customFormat="false" ht="15" hidden="false" customHeight="false" outlineLevel="0" collapsed="false">
      <c r="J19" s="18"/>
    </row>
    <row r="20" customFormat="false" ht="26.25" hidden="false" customHeight="true" outlineLevel="0" collapsed="false">
      <c r="A20" s="1" t="s">
        <v>210</v>
      </c>
      <c r="B20" s="1"/>
      <c r="C20" s="1"/>
      <c r="D20" s="1"/>
      <c r="E20" s="1"/>
      <c r="F20" s="1"/>
      <c r="G20" s="1"/>
      <c r="H20" s="1"/>
    </row>
    <row r="21" customFormat="false" ht="30" hidden="false" customHeight="false" outlineLevel="0" collapsed="false">
      <c r="A21" s="129" t="s">
        <v>1</v>
      </c>
      <c r="B21" s="129" t="s">
        <v>2</v>
      </c>
      <c r="C21" s="129" t="s">
        <v>3</v>
      </c>
      <c r="D21" s="129" t="s">
        <v>4</v>
      </c>
      <c r="E21" s="129" t="s">
        <v>5</v>
      </c>
      <c r="F21" s="129" t="s">
        <v>6</v>
      </c>
      <c r="G21" s="129" t="s">
        <v>7</v>
      </c>
      <c r="H21" s="129" t="s">
        <v>8</v>
      </c>
      <c r="J21" s="129" t="s">
        <v>9</v>
      </c>
      <c r="L21" s="130" t="s">
        <v>190</v>
      </c>
      <c r="M21" s="129" t="s">
        <v>191</v>
      </c>
      <c r="N21" s="129" t="s">
        <v>234</v>
      </c>
    </row>
    <row r="22" customFormat="false" ht="15" hidden="false" customHeight="false" outlineLevel="0" collapsed="false">
      <c r="A22" s="12" t="s">
        <v>10</v>
      </c>
      <c r="B22" s="2" t="s">
        <v>473</v>
      </c>
      <c r="C22" s="2" t="s">
        <v>23</v>
      </c>
      <c r="D22" s="2" t="s">
        <v>215</v>
      </c>
      <c r="E22" s="3"/>
      <c r="F22" s="2" t="n">
        <v>25</v>
      </c>
      <c r="G22" s="4"/>
      <c r="H22" s="5"/>
      <c r="J22" s="6" t="n">
        <f aca="false">G22*4.35</f>
        <v>0</v>
      </c>
      <c r="L22" s="133"/>
      <c r="M22" s="132" t="s">
        <v>474</v>
      </c>
      <c r="N22" s="131"/>
    </row>
    <row r="23" customFormat="false" ht="15" hidden="false" customHeight="false" outlineLevel="0" collapsed="false">
      <c r="A23" s="12" t="s">
        <v>14</v>
      </c>
      <c r="B23" s="70" t="s">
        <v>475</v>
      </c>
      <c r="C23" s="2" t="s">
        <v>23</v>
      </c>
      <c r="D23" s="2" t="s">
        <v>212</v>
      </c>
      <c r="E23" s="67"/>
      <c r="F23" s="2" t="n">
        <v>25</v>
      </c>
      <c r="G23" s="96"/>
      <c r="H23" s="5"/>
      <c r="J23" s="6" t="n">
        <f aca="false">G23</f>
        <v>0</v>
      </c>
      <c r="L23" s="133"/>
      <c r="M23" s="132" t="s">
        <v>476</v>
      </c>
      <c r="N23" s="131"/>
    </row>
    <row r="24" customFormat="false" ht="15" hidden="false" customHeight="false" outlineLevel="0" collapsed="false">
      <c r="A24" s="12" t="s">
        <v>18</v>
      </c>
      <c r="B24" s="70" t="s">
        <v>475</v>
      </c>
      <c r="C24" s="2" t="s">
        <v>23</v>
      </c>
      <c r="D24" s="2" t="s">
        <v>212</v>
      </c>
      <c r="E24" s="67"/>
      <c r="F24" s="2" t="n">
        <v>25</v>
      </c>
      <c r="G24" s="96"/>
      <c r="H24" s="5"/>
      <c r="J24" s="6" t="n">
        <f aca="false">G24</f>
        <v>0</v>
      </c>
      <c r="L24" s="133"/>
      <c r="M24" s="132" t="s">
        <v>477</v>
      </c>
      <c r="N24" s="131"/>
    </row>
    <row r="25" customFormat="false" ht="15" hidden="false" customHeight="false" outlineLevel="0" collapsed="false">
      <c r="A25" s="12" t="s">
        <v>21</v>
      </c>
      <c r="B25" s="70"/>
      <c r="C25" s="2"/>
      <c r="D25" s="2"/>
      <c r="E25" s="6"/>
      <c r="F25" s="2"/>
      <c r="G25" s="96"/>
      <c r="H25" s="5"/>
      <c r="J25" s="6" t="n">
        <f aca="false">G25</f>
        <v>0</v>
      </c>
      <c r="L25" s="17"/>
      <c r="M25" s="138"/>
      <c r="N25" s="121"/>
    </row>
    <row r="26" customFormat="false" ht="15" hidden="false" customHeight="false" outlineLevel="0" collapsed="false">
      <c r="A26" s="12" t="s">
        <v>25</v>
      </c>
      <c r="B26" s="2"/>
      <c r="C26" s="2"/>
      <c r="D26" s="2"/>
      <c r="E26" s="3"/>
      <c r="F26" s="2"/>
      <c r="G26" s="4"/>
      <c r="H26" s="5"/>
      <c r="J26" s="6" t="n">
        <f aca="false">G26*4.35</f>
        <v>0</v>
      </c>
      <c r="L26" s="17"/>
      <c r="M26" s="138"/>
      <c r="N26" s="121"/>
    </row>
    <row r="27" customFormat="false" ht="15" hidden="false" customHeight="false" outlineLevel="0" collapsed="false">
      <c r="A27" s="12" t="s">
        <v>30</v>
      </c>
      <c r="B27" s="70"/>
      <c r="C27" s="2"/>
      <c r="D27" s="2"/>
      <c r="E27" s="6"/>
      <c r="F27" s="2"/>
      <c r="G27" s="7"/>
      <c r="H27" s="42"/>
      <c r="J27" s="6" t="n">
        <f aca="false">G27*4.35</f>
        <v>0</v>
      </c>
      <c r="L27" s="17"/>
      <c r="M27" s="138"/>
      <c r="N27" s="121"/>
    </row>
    <row r="28" customFormat="false" ht="15" hidden="false" customHeight="false" outlineLevel="0" collapsed="false">
      <c r="A28" s="12" t="s">
        <v>34</v>
      </c>
      <c r="B28" s="70"/>
      <c r="C28" s="2"/>
      <c r="D28" s="2"/>
      <c r="E28" s="3"/>
      <c r="F28" s="2"/>
      <c r="G28" s="4"/>
      <c r="H28" s="5"/>
      <c r="J28" s="6" t="n">
        <f aca="false">G28*4.35</f>
        <v>0</v>
      </c>
      <c r="L28" s="17"/>
      <c r="M28" s="138"/>
      <c r="N28" s="128"/>
    </row>
    <row r="29" customFormat="false" ht="15" hidden="false" customHeight="false" outlineLevel="0" collapsed="false">
      <c r="A29" s="12" t="s">
        <v>39</v>
      </c>
      <c r="B29" s="70"/>
      <c r="C29" s="2"/>
      <c r="D29" s="2"/>
      <c r="E29" s="6"/>
      <c r="F29" s="2"/>
      <c r="G29" s="7"/>
      <c r="H29" s="42"/>
      <c r="J29" s="6" t="n">
        <f aca="false">G29*4.35</f>
        <v>0</v>
      </c>
      <c r="L29" s="17"/>
      <c r="M29" s="138"/>
      <c r="N29" s="128"/>
    </row>
    <row r="30" customFormat="false" ht="15" hidden="false" customHeight="false" outlineLevel="0" collapsed="false">
      <c r="A30" s="12" t="s">
        <v>43</v>
      </c>
      <c r="B30" s="70"/>
      <c r="C30" s="2"/>
      <c r="D30" s="2"/>
      <c r="E30" s="3"/>
      <c r="F30" s="2"/>
      <c r="G30" s="4"/>
      <c r="H30" s="5"/>
      <c r="J30" s="6" t="n">
        <f aca="false">G30*4.35</f>
        <v>0</v>
      </c>
      <c r="L30" s="17"/>
      <c r="M30" s="138"/>
      <c r="N30" s="128"/>
    </row>
    <row r="31" customFormat="false" ht="15" hidden="false" customHeight="false" outlineLevel="0" collapsed="false">
      <c r="A31" s="12" t="s">
        <v>45</v>
      </c>
      <c r="B31" s="70"/>
      <c r="C31" s="2"/>
      <c r="D31" s="2"/>
      <c r="E31" s="6"/>
      <c r="F31" s="2"/>
      <c r="G31" s="7"/>
      <c r="H31" s="42"/>
      <c r="J31" s="6" t="n">
        <f aca="false">G31*4.35</f>
        <v>0</v>
      </c>
      <c r="L31" s="17"/>
      <c r="M31" s="138"/>
      <c r="N31" s="128"/>
    </row>
    <row r="32" customFormat="false" ht="15" hidden="false" customHeight="false" outlineLevel="0" collapsed="false">
      <c r="A32" s="12" t="s">
        <v>48</v>
      </c>
      <c r="B32" s="70"/>
      <c r="C32" s="2"/>
      <c r="D32" s="2"/>
      <c r="E32" s="6"/>
      <c r="F32" s="2"/>
      <c r="G32" s="7"/>
      <c r="H32" s="42"/>
      <c r="J32" s="6"/>
      <c r="L32" s="17"/>
      <c r="M32" s="138"/>
      <c r="N32" s="128"/>
    </row>
    <row r="33" customFormat="false" ht="15" hidden="false" customHeight="false" outlineLevel="0" collapsed="false">
      <c r="A33" s="12" t="s">
        <v>51</v>
      </c>
      <c r="B33" s="2"/>
      <c r="C33" s="2"/>
      <c r="D33" s="2"/>
      <c r="E33" s="3"/>
      <c r="F33" s="2"/>
      <c r="G33" s="4"/>
      <c r="H33" s="5"/>
      <c r="J33" s="6" t="n">
        <f aca="false">G33*4.35</f>
        <v>0</v>
      </c>
      <c r="L33" s="17"/>
      <c r="M33" s="138"/>
      <c r="N33" s="121"/>
    </row>
    <row r="34" customFormat="false" ht="15" hidden="false" customHeight="false" outlineLevel="0" collapsed="false">
      <c r="J34" s="25" t="n">
        <f aca="false">SUM(J22:J33)</f>
        <v>0</v>
      </c>
    </row>
    <row r="38" customFormat="false" ht="15" hidden="false" customHeight="false" outlineLevel="0" collapsed="false">
      <c r="C38" s="40"/>
    </row>
  </sheetData>
  <mergeCells count="3">
    <mergeCell ref="A1:H1"/>
    <mergeCell ref="A2:H2"/>
    <mergeCell ref="A20:H2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6" activeCellId="0" sqref="B1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24.72"/>
    <col collapsed="false" customWidth="true" hidden="false" outlineLevel="0" max="4" min="3" style="0" width="15.71"/>
    <col collapsed="false" customWidth="true" hidden="false" outlineLevel="0" max="5" min="5" style="0" width="9.85"/>
    <col collapsed="false" customWidth="true" hidden="false" outlineLevel="0" max="6" min="6" style="0" width="6.71"/>
    <col collapsed="false" customWidth="true" hidden="false" outlineLevel="0" max="7" min="7" style="0" width="10.71"/>
    <col collapsed="false" customWidth="true" hidden="false" outlineLevel="0" max="8" min="8" style="0" width="8.71"/>
    <col collapsed="false" customWidth="true" hidden="false" outlineLevel="0" max="9" min="9" style="0" width="20.28"/>
    <col collapsed="false" customWidth="true" hidden="false" outlineLevel="0" max="10" min="10" style="0" width="16.71"/>
    <col collapsed="false" customWidth="true" hidden="false" outlineLevel="0" max="12" min="12" style="0" width="11.71"/>
    <col collapsed="false" customWidth="true" hidden="false" outlineLevel="0" max="13" min="13" style="0" width="16.43"/>
    <col collapsed="false" customWidth="true" hidden="false" outlineLevel="0" max="14" min="14" style="0" width="45.85"/>
  </cols>
  <sheetData>
    <row r="1" customFormat="false" ht="40.5" hidden="false" customHeight="true" outlineLevel="0" collapsed="false">
      <c r="A1" s="1" t="s">
        <v>478</v>
      </c>
      <c r="B1" s="1"/>
      <c r="C1" s="1"/>
      <c r="D1" s="1"/>
      <c r="E1" s="1"/>
      <c r="F1" s="1"/>
      <c r="G1" s="1"/>
      <c r="H1" s="1"/>
    </row>
    <row r="2" customFormat="false" ht="22.5" hidden="false" customHeight="true" outlineLevel="0" collapsed="false">
      <c r="A2" s="1" t="s">
        <v>189</v>
      </c>
      <c r="B2" s="1"/>
      <c r="C2" s="1"/>
      <c r="D2" s="1"/>
      <c r="E2" s="1"/>
      <c r="F2" s="1"/>
      <c r="G2" s="1"/>
      <c r="H2" s="1"/>
    </row>
    <row r="3" customFormat="false" ht="30" hidden="false" customHeight="false" outlineLevel="0" collapsed="false">
      <c r="A3" s="129" t="s">
        <v>1</v>
      </c>
      <c r="B3" s="129" t="s">
        <v>2</v>
      </c>
      <c r="C3" s="129" t="s">
        <v>3</v>
      </c>
      <c r="D3" s="129" t="s">
        <v>4</v>
      </c>
      <c r="E3" s="129" t="s">
        <v>5</v>
      </c>
      <c r="F3" s="129" t="s">
        <v>6</v>
      </c>
      <c r="G3" s="129" t="s">
        <v>7</v>
      </c>
      <c r="H3" s="129" t="s">
        <v>8</v>
      </c>
      <c r="J3" s="148" t="s">
        <v>9</v>
      </c>
      <c r="L3" s="130" t="s">
        <v>190</v>
      </c>
      <c r="M3" s="129" t="s">
        <v>191</v>
      </c>
      <c r="N3" s="129" t="s">
        <v>234</v>
      </c>
    </row>
    <row r="4" customFormat="false" ht="30" hidden="false" customHeight="true" outlineLevel="0" collapsed="false">
      <c r="A4" s="2" t="n">
        <v>1</v>
      </c>
      <c r="B4" s="12" t="s">
        <v>49</v>
      </c>
      <c r="C4" s="94" t="s">
        <v>327</v>
      </c>
      <c r="D4" s="12" t="s">
        <v>13</v>
      </c>
      <c r="E4" s="13" t="n">
        <v>1.95</v>
      </c>
      <c r="F4" s="12" t="n">
        <v>500</v>
      </c>
      <c r="G4" s="149" t="n">
        <f aca="false">F4*E4</f>
        <v>975</v>
      </c>
      <c r="H4" s="14" t="n">
        <v>45964</v>
      </c>
      <c r="I4" s="19"/>
      <c r="J4" s="144" t="n">
        <f aca="false">G4*4.35</f>
        <v>4241.25</v>
      </c>
      <c r="L4" s="131"/>
      <c r="M4" s="136" t="n">
        <v>25009259</v>
      </c>
      <c r="N4" s="131"/>
    </row>
    <row r="5" customFormat="false" ht="24.75" hidden="false" customHeight="true" outlineLevel="0" collapsed="false">
      <c r="A5" s="2" t="n">
        <v>2</v>
      </c>
      <c r="B5" s="12" t="s">
        <v>170</v>
      </c>
      <c r="C5" s="12" t="s">
        <v>65</v>
      </c>
      <c r="D5" s="12" t="s">
        <v>69</v>
      </c>
      <c r="E5" s="17" t="n">
        <v>5.8</v>
      </c>
      <c r="F5" s="12" t="n">
        <v>1375</v>
      </c>
      <c r="G5" s="150" t="n">
        <f aca="false">F5*E5</f>
        <v>7975</v>
      </c>
      <c r="H5" s="14" t="n">
        <v>45965</v>
      </c>
      <c r="I5" s="88"/>
      <c r="J5" s="144" t="n">
        <f aca="false">G5</f>
        <v>7975</v>
      </c>
      <c r="L5" s="133"/>
      <c r="M5" s="136" t="s">
        <v>479</v>
      </c>
      <c r="N5" s="134"/>
    </row>
    <row r="6" customFormat="false" ht="24.75" hidden="false" customHeight="true" outlineLevel="0" collapsed="false">
      <c r="A6" s="2" t="n">
        <v>3</v>
      </c>
      <c r="B6" s="2" t="s">
        <v>163</v>
      </c>
      <c r="C6" s="2" t="s">
        <v>65</v>
      </c>
      <c r="D6" s="2" t="s">
        <v>121</v>
      </c>
      <c r="E6" s="3" t="n">
        <v>2.75</v>
      </c>
      <c r="F6" s="2" t="n">
        <v>2000</v>
      </c>
      <c r="G6" s="149" t="n">
        <f aca="false">F6*E6</f>
        <v>5500</v>
      </c>
      <c r="H6" s="14" t="n">
        <v>45967</v>
      </c>
      <c r="I6" s="88"/>
      <c r="J6" s="144" t="n">
        <f aca="false">G6*4.35</f>
        <v>23925</v>
      </c>
      <c r="L6" s="131"/>
      <c r="M6" s="136" t="n">
        <v>1295349</v>
      </c>
      <c r="N6" s="131"/>
    </row>
    <row r="7" customFormat="false" ht="30.75" hidden="false" customHeight="true" outlineLevel="0" collapsed="false">
      <c r="A7" s="2" t="n">
        <v>4</v>
      </c>
      <c r="B7" s="12" t="s">
        <v>104</v>
      </c>
      <c r="C7" s="12" t="s">
        <v>23</v>
      </c>
      <c r="D7" s="12" t="s">
        <v>24</v>
      </c>
      <c r="E7" s="53" t="n">
        <v>3.68</v>
      </c>
      <c r="F7" s="12" t="n">
        <v>6180</v>
      </c>
      <c r="G7" s="149" t="n">
        <f aca="false">F7*E7</f>
        <v>22742.4</v>
      </c>
      <c r="H7" s="14" t="n">
        <v>45968</v>
      </c>
      <c r="J7" s="144" t="n">
        <f aca="false">G7*4.35</f>
        <v>98929.44</v>
      </c>
      <c r="L7" s="133"/>
      <c r="M7" s="136" t="n">
        <v>91182040</v>
      </c>
      <c r="N7" s="134"/>
    </row>
    <row r="8" customFormat="false" ht="24.75" hidden="false" customHeight="true" outlineLevel="0" collapsed="false">
      <c r="A8" s="2" t="n">
        <v>5</v>
      </c>
      <c r="B8" s="12" t="s">
        <v>464</v>
      </c>
      <c r="C8" s="125" t="s">
        <v>465</v>
      </c>
      <c r="D8" s="12" t="s">
        <v>13</v>
      </c>
      <c r="E8" s="53" t="n">
        <v>1.9</v>
      </c>
      <c r="F8" s="12" t="n">
        <v>3750</v>
      </c>
      <c r="G8" s="149" t="n">
        <f aca="false">F8*E8</f>
        <v>7125</v>
      </c>
      <c r="H8" s="14" t="n">
        <v>45968</v>
      </c>
      <c r="I8" s="51"/>
      <c r="J8" s="144" t="n">
        <f aca="false">G8*4.35</f>
        <v>30993.75</v>
      </c>
      <c r="L8" s="135"/>
      <c r="M8" s="136" t="n">
        <v>25009442</v>
      </c>
      <c r="N8" s="134"/>
    </row>
    <row r="9" customFormat="false" ht="24.75" hidden="false" customHeight="true" outlineLevel="0" collapsed="false">
      <c r="A9" s="2" t="n">
        <v>6</v>
      </c>
      <c r="B9" s="151" t="s">
        <v>107</v>
      </c>
      <c r="C9" s="55" t="s">
        <v>106</v>
      </c>
      <c r="D9" s="151" t="s">
        <v>20</v>
      </c>
      <c r="E9" s="122" t="n">
        <v>11.4</v>
      </c>
      <c r="F9" s="55" t="n">
        <v>200</v>
      </c>
      <c r="G9" s="152" t="n">
        <f aca="false">F9*E9</f>
        <v>2280</v>
      </c>
      <c r="H9" s="153" t="n">
        <v>45969</v>
      </c>
      <c r="I9" s="37"/>
      <c r="J9" s="144" t="n">
        <f aca="false">G9</f>
        <v>2280</v>
      </c>
      <c r="L9" s="133"/>
      <c r="M9" s="136" t="s">
        <v>480</v>
      </c>
      <c r="N9" s="137"/>
    </row>
    <row r="10" customFormat="false" ht="24.75" hidden="false" customHeight="true" outlineLevel="0" collapsed="false">
      <c r="A10" s="2" t="n">
        <v>7</v>
      </c>
      <c r="B10" s="151" t="s">
        <v>133</v>
      </c>
      <c r="C10" s="55" t="s">
        <v>106</v>
      </c>
      <c r="D10" s="151" t="s">
        <v>20</v>
      </c>
      <c r="E10" s="122" t="n">
        <v>13</v>
      </c>
      <c r="F10" s="55" t="n">
        <v>250</v>
      </c>
      <c r="G10" s="152" t="n">
        <f aca="false">F10*E10</f>
        <v>3250</v>
      </c>
      <c r="H10" s="153" t="n">
        <v>45969</v>
      </c>
      <c r="I10" s="51"/>
      <c r="J10" s="144" t="n">
        <f aca="false">G10</f>
        <v>3250</v>
      </c>
      <c r="L10" s="133"/>
      <c r="M10" s="136" t="s">
        <v>481</v>
      </c>
      <c r="N10" s="137"/>
    </row>
    <row r="11" customFormat="false" ht="24.75" hidden="false" customHeight="true" outlineLevel="0" collapsed="false">
      <c r="A11" s="2" t="n">
        <v>8</v>
      </c>
      <c r="B11" s="2" t="s">
        <v>84</v>
      </c>
      <c r="C11" s="2" t="s">
        <v>85</v>
      </c>
      <c r="D11" s="2" t="s">
        <v>86</v>
      </c>
      <c r="E11" s="6" t="n">
        <v>4.6</v>
      </c>
      <c r="F11" s="2" t="n">
        <v>1000</v>
      </c>
      <c r="G11" s="150" t="n">
        <f aca="false">F11*E11</f>
        <v>4600</v>
      </c>
      <c r="H11" s="5" t="n">
        <v>45969</v>
      </c>
      <c r="I11" s="19" t="s">
        <v>296</v>
      </c>
      <c r="J11" s="144" t="n">
        <f aca="false">G11</f>
        <v>4600</v>
      </c>
      <c r="L11" s="133"/>
      <c r="M11" s="136"/>
      <c r="N11" s="134" t="s">
        <v>482</v>
      </c>
    </row>
    <row r="12" customFormat="false" ht="24.75" hidden="false" customHeight="true" outlineLevel="0" collapsed="false">
      <c r="A12" s="2" t="n">
        <v>9</v>
      </c>
      <c r="B12" s="125" t="s">
        <v>483</v>
      </c>
      <c r="C12" s="12" t="s">
        <v>41</v>
      </c>
      <c r="D12" s="12" t="s">
        <v>13</v>
      </c>
      <c r="E12" s="13" t="n">
        <v>1.35</v>
      </c>
      <c r="F12" s="12" t="n">
        <v>1750</v>
      </c>
      <c r="G12" s="149" t="n">
        <f aca="false">F12*E12</f>
        <v>2362.5</v>
      </c>
      <c r="H12" s="14" t="n">
        <v>45975</v>
      </c>
      <c r="I12" s="19"/>
      <c r="J12" s="144" t="n">
        <f aca="false">G12*4.35</f>
        <v>10276.875</v>
      </c>
      <c r="L12" s="133"/>
      <c r="M12" s="136" t="n">
        <v>25009471</v>
      </c>
      <c r="N12" s="134"/>
    </row>
    <row r="13" customFormat="false" ht="24.75" hidden="false" customHeight="true" outlineLevel="0" collapsed="false">
      <c r="A13" s="2" t="n">
        <v>10</v>
      </c>
      <c r="B13" s="12" t="s">
        <v>40</v>
      </c>
      <c r="C13" s="12" t="s">
        <v>41</v>
      </c>
      <c r="D13" s="12" t="s">
        <v>69</v>
      </c>
      <c r="E13" s="17" t="n">
        <v>4.7</v>
      </c>
      <c r="F13" s="12" t="n">
        <v>1375</v>
      </c>
      <c r="G13" s="150" t="n">
        <f aca="false">F13*E13</f>
        <v>6462.5</v>
      </c>
      <c r="H13" s="14" t="n">
        <v>45975</v>
      </c>
      <c r="I13" s="51"/>
      <c r="J13" s="144" t="n">
        <f aca="false">G13</f>
        <v>6462.5</v>
      </c>
      <c r="L13" s="133"/>
      <c r="M13" s="136" t="s">
        <v>484</v>
      </c>
      <c r="N13" s="134"/>
    </row>
    <row r="14" customFormat="false" ht="24.75" hidden="false" customHeight="true" outlineLevel="0" collapsed="false">
      <c r="A14" s="2" t="n">
        <v>11</v>
      </c>
      <c r="B14" s="12" t="s">
        <v>356</v>
      </c>
      <c r="C14" s="12" t="s">
        <v>135</v>
      </c>
      <c r="D14" s="89" t="s">
        <v>149</v>
      </c>
      <c r="E14" s="17" t="n">
        <v>9.3</v>
      </c>
      <c r="F14" s="12" t="n">
        <v>500</v>
      </c>
      <c r="G14" s="150" t="n">
        <f aca="false">F14*E14</f>
        <v>4650</v>
      </c>
      <c r="H14" s="14" t="n">
        <v>45981</v>
      </c>
      <c r="J14" s="144" t="n">
        <f aca="false">G14</f>
        <v>4650</v>
      </c>
      <c r="L14" s="133"/>
      <c r="M14" s="136" t="s">
        <v>485</v>
      </c>
      <c r="N14" s="134"/>
    </row>
    <row r="15" customFormat="false" ht="30.75" hidden="false" customHeight="true" outlineLevel="0" collapsed="false">
      <c r="A15" s="2"/>
      <c r="B15" s="12" t="s">
        <v>348</v>
      </c>
      <c r="C15" s="12" t="s">
        <v>23</v>
      </c>
      <c r="D15" s="2" t="s">
        <v>69</v>
      </c>
      <c r="E15" s="6" t="n">
        <v>5.3</v>
      </c>
      <c r="F15" s="2" t="n">
        <v>500</v>
      </c>
      <c r="G15" s="150" t="n">
        <f aca="false">F15*E15</f>
        <v>2650</v>
      </c>
      <c r="H15" s="14" t="n">
        <v>45993</v>
      </c>
      <c r="J15" s="144" t="n">
        <v>2650</v>
      </c>
      <c r="L15" s="133"/>
      <c r="M15" s="136" t="s">
        <v>486</v>
      </c>
      <c r="N15" s="154" t="s">
        <v>487</v>
      </c>
    </row>
    <row r="16" customFormat="false" ht="24.75" hidden="false" customHeight="true" outlineLevel="0" collapsed="false">
      <c r="A16" s="2" t="n">
        <v>12</v>
      </c>
      <c r="B16" s="12" t="s">
        <v>177</v>
      </c>
      <c r="C16" s="89" t="s">
        <v>488</v>
      </c>
      <c r="D16" s="12" t="s">
        <v>149</v>
      </c>
      <c r="E16" s="17" t="n">
        <v>10.9</v>
      </c>
      <c r="F16" s="12" t="n">
        <v>750</v>
      </c>
      <c r="G16" s="150" t="n">
        <f aca="false">F16*E16</f>
        <v>8175</v>
      </c>
      <c r="H16" s="14" t="n">
        <v>45989</v>
      </c>
      <c r="I16" s="19"/>
      <c r="J16" s="144" t="n">
        <f aca="false">G16</f>
        <v>8175</v>
      </c>
      <c r="L16" s="133"/>
      <c r="M16" s="136" t="s">
        <v>489</v>
      </c>
      <c r="N16" s="134"/>
    </row>
    <row r="17" customFormat="false" ht="24.75" hidden="false" customHeight="true" outlineLevel="0" collapsed="false">
      <c r="A17" s="2" t="n">
        <v>13</v>
      </c>
      <c r="B17" s="12"/>
      <c r="C17" s="12"/>
      <c r="D17" s="12"/>
      <c r="E17" s="17"/>
      <c r="F17" s="12"/>
      <c r="G17" s="16"/>
      <c r="H17" s="14"/>
      <c r="I17" s="37"/>
      <c r="J17" s="144" t="n">
        <f aca="false">G17</f>
        <v>0</v>
      </c>
      <c r="L17" s="17"/>
      <c r="M17" s="121"/>
      <c r="N17" s="12"/>
    </row>
    <row r="18" customFormat="false" ht="24.75" hidden="false" customHeight="true" outlineLevel="0" collapsed="false">
      <c r="A18" s="2" t="n">
        <v>14</v>
      </c>
      <c r="B18" s="2"/>
      <c r="C18" s="2"/>
      <c r="D18" s="2"/>
      <c r="E18" s="3"/>
      <c r="F18" s="2"/>
      <c r="G18" s="4"/>
      <c r="H18" s="5"/>
      <c r="J18" s="144" t="n">
        <f aca="false">G18</f>
        <v>0</v>
      </c>
      <c r="L18" s="17"/>
      <c r="M18" s="121"/>
      <c r="N18" s="12"/>
    </row>
    <row r="19" customFormat="false" ht="24.75" hidden="false" customHeight="true" outlineLevel="0" collapsed="false">
      <c r="A19" s="2" t="n">
        <v>15</v>
      </c>
      <c r="B19" s="11"/>
      <c r="C19" s="2"/>
      <c r="D19" s="2"/>
      <c r="E19" s="6"/>
      <c r="F19" s="2"/>
      <c r="G19" s="7"/>
      <c r="H19" s="42"/>
      <c r="J19" s="155" t="n">
        <f aca="false">G19</f>
        <v>0</v>
      </c>
      <c r="L19" s="17"/>
      <c r="M19" s="121"/>
      <c r="N19" s="12"/>
    </row>
    <row r="20" customFormat="false" ht="25.5" hidden="false" customHeight="true" outlineLevel="0" collapsed="false">
      <c r="J20" s="156" t="n">
        <f aca="false">SUM(J4:J19)</f>
        <v>208408.815</v>
      </c>
    </row>
    <row r="21" customFormat="false" ht="15" hidden="false" customHeight="false" outlineLevel="0" collapsed="false">
      <c r="J21" s="18"/>
    </row>
    <row r="22" customFormat="false" ht="26.25" hidden="false" customHeight="true" outlineLevel="0" collapsed="false">
      <c r="A22" s="1" t="s">
        <v>210</v>
      </c>
      <c r="B22" s="1"/>
      <c r="C22" s="1"/>
      <c r="D22" s="1"/>
      <c r="E22" s="1"/>
      <c r="F22" s="1"/>
      <c r="G22" s="1"/>
      <c r="H22" s="1"/>
    </row>
    <row r="23" customFormat="false" ht="30" hidden="false" customHeight="false" outlineLevel="0" collapsed="false">
      <c r="A23" s="129" t="s">
        <v>1</v>
      </c>
      <c r="B23" s="129" t="s">
        <v>2</v>
      </c>
      <c r="C23" s="129" t="s">
        <v>3</v>
      </c>
      <c r="D23" s="129" t="s">
        <v>4</v>
      </c>
      <c r="E23" s="129" t="s">
        <v>5</v>
      </c>
      <c r="F23" s="129" t="s">
        <v>6</v>
      </c>
      <c r="G23" s="129" t="s">
        <v>7</v>
      </c>
      <c r="H23" s="129" t="s">
        <v>8</v>
      </c>
      <c r="J23" s="129" t="s">
        <v>9</v>
      </c>
      <c r="L23" s="130" t="s">
        <v>190</v>
      </c>
      <c r="M23" s="129" t="s">
        <v>191</v>
      </c>
      <c r="N23" s="129" t="s">
        <v>234</v>
      </c>
    </row>
    <row r="24" customFormat="false" ht="15" hidden="false" customHeight="false" outlineLevel="0" collapsed="false">
      <c r="A24" s="12" t="s">
        <v>10</v>
      </c>
      <c r="B24" s="2"/>
      <c r="C24" s="2"/>
      <c r="D24" s="2"/>
      <c r="E24" s="3"/>
      <c r="F24" s="2"/>
      <c r="G24" s="4"/>
      <c r="H24" s="5"/>
      <c r="J24" s="144" t="n">
        <f aca="false">G24*4.35</f>
        <v>0</v>
      </c>
      <c r="L24" s="17"/>
      <c r="M24" s="121"/>
      <c r="N24" s="121"/>
    </row>
    <row r="25" customFormat="false" ht="15" hidden="false" customHeight="false" outlineLevel="0" collapsed="false">
      <c r="A25" s="12" t="s">
        <v>14</v>
      </c>
      <c r="B25" s="70"/>
      <c r="C25" s="2"/>
      <c r="D25" s="2"/>
      <c r="E25" s="67"/>
      <c r="F25" s="2"/>
      <c r="G25" s="96"/>
      <c r="H25" s="5"/>
      <c r="J25" s="144" t="n">
        <f aca="false">G25</f>
        <v>0</v>
      </c>
      <c r="L25" s="17"/>
      <c r="M25" s="121"/>
      <c r="N25" s="121"/>
    </row>
    <row r="26" customFormat="false" ht="15" hidden="false" customHeight="false" outlineLevel="0" collapsed="false">
      <c r="A26" s="12" t="s">
        <v>18</v>
      </c>
      <c r="B26" s="2"/>
      <c r="C26" s="2"/>
      <c r="D26" s="2"/>
      <c r="E26" s="67"/>
      <c r="F26" s="2"/>
      <c r="G26" s="96"/>
      <c r="H26" s="5"/>
      <c r="J26" s="144" t="n">
        <f aca="false">G26</f>
        <v>0</v>
      </c>
      <c r="L26" s="17"/>
      <c r="M26" s="121"/>
      <c r="N26" s="121"/>
    </row>
    <row r="27" customFormat="false" ht="15" hidden="false" customHeight="false" outlineLevel="0" collapsed="false">
      <c r="A27" s="12" t="s">
        <v>21</v>
      </c>
      <c r="B27" s="70"/>
      <c r="C27" s="2"/>
      <c r="D27" s="2"/>
      <c r="E27" s="6"/>
      <c r="F27" s="2"/>
      <c r="G27" s="96"/>
      <c r="H27" s="5"/>
      <c r="J27" s="144" t="n">
        <f aca="false">G27</f>
        <v>0</v>
      </c>
      <c r="L27" s="17"/>
      <c r="M27" s="121"/>
      <c r="N27" s="121"/>
    </row>
    <row r="28" customFormat="false" ht="15" hidden="false" customHeight="false" outlineLevel="0" collapsed="false">
      <c r="A28" s="12" t="s">
        <v>25</v>
      </c>
      <c r="B28" s="2"/>
      <c r="C28" s="2"/>
      <c r="D28" s="2"/>
      <c r="E28" s="3"/>
      <c r="F28" s="2"/>
      <c r="G28" s="4"/>
      <c r="H28" s="5"/>
      <c r="J28" s="144" t="n">
        <f aca="false">G28*4.35</f>
        <v>0</v>
      </c>
      <c r="L28" s="17"/>
      <c r="M28" s="121"/>
      <c r="N28" s="121"/>
    </row>
    <row r="29" customFormat="false" ht="15" hidden="false" customHeight="false" outlineLevel="0" collapsed="false">
      <c r="A29" s="12" t="s">
        <v>30</v>
      </c>
      <c r="B29" s="70"/>
      <c r="C29" s="2"/>
      <c r="D29" s="2"/>
      <c r="E29" s="6"/>
      <c r="F29" s="2"/>
      <c r="G29" s="7"/>
      <c r="H29" s="42"/>
      <c r="J29" s="144" t="n">
        <f aca="false">G29*4.35</f>
        <v>0</v>
      </c>
      <c r="L29" s="17"/>
      <c r="M29" s="121"/>
      <c r="N29" s="121"/>
    </row>
    <row r="30" customFormat="false" ht="15" hidden="false" customHeight="false" outlineLevel="0" collapsed="false">
      <c r="A30" s="12" t="s">
        <v>34</v>
      </c>
      <c r="B30" s="70"/>
      <c r="C30" s="2"/>
      <c r="D30" s="2"/>
      <c r="E30" s="3"/>
      <c r="F30" s="2"/>
      <c r="G30" s="4"/>
      <c r="H30" s="5"/>
      <c r="J30" s="144" t="n">
        <f aca="false">G30*4.35</f>
        <v>0</v>
      </c>
      <c r="L30" s="17"/>
      <c r="M30" s="121"/>
      <c r="N30" s="128"/>
    </row>
    <row r="31" customFormat="false" ht="15" hidden="false" customHeight="false" outlineLevel="0" collapsed="false">
      <c r="A31" s="12" t="s">
        <v>39</v>
      </c>
      <c r="B31" s="70"/>
      <c r="C31" s="2"/>
      <c r="D31" s="2"/>
      <c r="E31" s="6"/>
      <c r="F31" s="2"/>
      <c r="G31" s="7"/>
      <c r="H31" s="42"/>
      <c r="J31" s="144" t="n">
        <f aca="false">G31*4.35</f>
        <v>0</v>
      </c>
      <c r="L31" s="17"/>
      <c r="M31" s="121"/>
      <c r="N31" s="128"/>
    </row>
    <row r="32" customFormat="false" ht="15" hidden="false" customHeight="false" outlineLevel="0" collapsed="false">
      <c r="A32" s="12" t="s">
        <v>43</v>
      </c>
      <c r="B32" s="70"/>
      <c r="C32" s="2"/>
      <c r="D32" s="2"/>
      <c r="E32" s="3"/>
      <c r="F32" s="2"/>
      <c r="G32" s="4"/>
      <c r="H32" s="5"/>
      <c r="J32" s="144" t="n">
        <f aca="false">G32*4.35</f>
        <v>0</v>
      </c>
      <c r="L32" s="17"/>
      <c r="M32" s="121"/>
      <c r="N32" s="128"/>
    </row>
    <row r="33" customFormat="false" ht="15" hidden="false" customHeight="false" outlineLevel="0" collapsed="false">
      <c r="A33" s="12" t="s">
        <v>45</v>
      </c>
      <c r="B33" s="70"/>
      <c r="C33" s="2"/>
      <c r="D33" s="2"/>
      <c r="E33" s="6"/>
      <c r="F33" s="2"/>
      <c r="G33" s="7"/>
      <c r="H33" s="42"/>
      <c r="J33" s="144" t="n">
        <f aca="false">G33*4.35</f>
        <v>0</v>
      </c>
      <c r="L33" s="17"/>
      <c r="M33" s="121"/>
      <c r="N33" s="128"/>
    </row>
    <row r="34" customFormat="false" ht="15" hidden="false" customHeight="false" outlineLevel="0" collapsed="false">
      <c r="A34" s="12" t="s">
        <v>48</v>
      </c>
      <c r="B34" s="70"/>
      <c r="C34" s="2"/>
      <c r="D34" s="2"/>
      <c r="E34" s="6"/>
      <c r="F34" s="2"/>
      <c r="G34" s="7"/>
      <c r="H34" s="42"/>
      <c r="J34" s="144" t="n">
        <f aca="false">G34*4.35</f>
        <v>0</v>
      </c>
      <c r="L34" s="17"/>
      <c r="M34" s="121"/>
      <c r="N34" s="128"/>
    </row>
    <row r="35" customFormat="false" ht="15.75" hidden="false" customHeight="false" outlineLevel="0" collapsed="false">
      <c r="A35" s="12" t="s">
        <v>51</v>
      </c>
      <c r="B35" s="2"/>
      <c r="C35" s="2"/>
      <c r="D35" s="2"/>
      <c r="E35" s="3"/>
      <c r="F35" s="2"/>
      <c r="G35" s="4"/>
      <c r="H35" s="5"/>
      <c r="J35" s="155" t="n">
        <f aca="false">G35*4.35</f>
        <v>0</v>
      </c>
      <c r="L35" s="17"/>
      <c r="M35" s="121"/>
      <c r="N35" s="121"/>
    </row>
    <row r="36" customFormat="false" ht="15.75" hidden="false" customHeight="false" outlineLevel="0" collapsed="false">
      <c r="J36" s="156" t="n">
        <f aca="false">SUM(J24:J35)</f>
        <v>0</v>
      </c>
    </row>
    <row r="40" customFormat="false" ht="15" hidden="false" customHeight="false" outlineLevel="0" collapsed="false">
      <c r="C40" s="40"/>
    </row>
  </sheetData>
  <mergeCells count="3">
    <mergeCell ref="A1:H1"/>
    <mergeCell ref="A2:H2"/>
    <mergeCell ref="A22:H2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P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24.72"/>
    <col collapsed="false" customWidth="true" hidden="false" outlineLevel="0" max="4" min="3" style="0" width="15.71"/>
    <col collapsed="false" customWidth="true" hidden="false" outlineLevel="0" max="5" min="5" style="0" width="9.85"/>
    <col collapsed="false" customWidth="true" hidden="false" outlineLevel="0" max="6" min="6" style="0" width="6.71"/>
    <col collapsed="false" customWidth="true" hidden="false" outlineLevel="0" max="7" min="7" style="0" width="12.71"/>
    <col collapsed="false" customWidth="true" hidden="false" outlineLevel="0" max="8" min="8" style="0" width="8.71"/>
    <col collapsed="false" customWidth="true" hidden="false" outlineLevel="0" max="9" min="9" style="0" width="20.28"/>
    <col collapsed="false" customWidth="true" hidden="false" outlineLevel="0" max="10" min="10" style="0" width="16.71"/>
    <col collapsed="false" customWidth="true" hidden="false" outlineLevel="0" max="12" min="12" style="0" width="11.71"/>
    <col collapsed="false" customWidth="true" hidden="false" outlineLevel="0" max="13" min="13" style="0" width="19.14"/>
    <col collapsed="false" customWidth="true" hidden="false" outlineLevel="0" max="14" min="14" style="0" width="45.85"/>
  </cols>
  <sheetData>
    <row r="1" customFormat="false" ht="40.5" hidden="false" customHeight="true" outlineLevel="0" collapsed="false">
      <c r="A1" s="1" t="s">
        <v>490</v>
      </c>
      <c r="B1" s="1"/>
      <c r="C1" s="1"/>
      <c r="D1" s="1"/>
      <c r="E1" s="1"/>
      <c r="F1" s="1"/>
      <c r="G1" s="1"/>
      <c r="H1" s="1"/>
    </row>
    <row r="2" customFormat="false" ht="22.5" hidden="false" customHeight="true" outlineLevel="0" collapsed="false">
      <c r="A2" s="1" t="s">
        <v>189</v>
      </c>
      <c r="B2" s="1"/>
      <c r="C2" s="1"/>
      <c r="D2" s="1"/>
      <c r="E2" s="1"/>
      <c r="F2" s="1"/>
      <c r="G2" s="1"/>
      <c r="H2" s="1"/>
    </row>
    <row r="3" customFormat="false" ht="30" hidden="false" customHeight="false" outlineLevel="0" collapsed="false">
      <c r="A3" s="139" t="s">
        <v>1</v>
      </c>
      <c r="B3" s="139" t="s">
        <v>2</v>
      </c>
      <c r="C3" s="139" t="s">
        <v>3</v>
      </c>
      <c r="D3" s="139" t="s">
        <v>4</v>
      </c>
      <c r="E3" s="139" t="s">
        <v>5</v>
      </c>
      <c r="F3" s="139" t="s">
        <v>6</v>
      </c>
      <c r="G3" s="129" t="s">
        <v>7</v>
      </c>
      <c r="H3" s="139" t="s">
        <v>8</v>
      </c>
      <c r="J3" s="148" t="s">
        <v>9</v>
      </c>
      <c r="L3" s="130" t="s">
        <v>190</v>
      </c>
      <c r="M3" s="129" t="s">
        <v>191</v>
      </c>
      <c r="N3" s="129" t="s">
        <v>234</v>
      </c>
    </row>
    <row r="4" customFormat="false" ht="30" hidden="false" customHeight="true" outlineLevel="0" collapsed="false">
      <c r="A4" s="12" t="n">
        <v>1</v>
      </c>
      <c r="B4" s="2" t="s">
        <v>163</v>
      </c>
      <c r="C4" s="2" t="s">
        <v>65</v>
      </c>
      <c r="D4" s="2" t="s">
        <v>121</v>
      </c>
      <c r="E4" s="3" t="n">
        <v>2.75</v>
      </c>
      <c r="F4" s="2" t="n">
        <v>1000</v>
      </c>
      <c r="G4" s="157" t="n">
        <f aca="false">F4*E4</f>
        <v>2750</v>
      </c>
      <c r="H4" s="14" t="n">
        <v>45992</v>
      </c>
      <c r="I4" s="88"/>
      <c r="J4" s="144" t="n">
        <f aca="false">G4*4.35</f>
        <v>11962.5</v>
      </c>
      <c r="K4" s="158"/>
      <c r="L4" s="131"/>
      <c r="M4" s="132" t="n">
        <v>1296334</v>
      </c>
      <c r="N4" s="131"/>
    </row>
    <row r="5" customFormat="false" ht="30" hidden="false" customHeight="true" outlineLevel="0" collapsed="false">
      <c r="A5" s="12" t="n">
        <v>2</v>
      </c>
      <c r="B5" s="12" t="s">
        <v>348</v>
      </c>
      <c r="C5" s="12" t="s">
        <v>23</v>
      </c>
      <c r="D5" s="2" t="s">
        <v>69</v>
      </c>
      <c r="E5" s="2" t="n">
        <v>5.5</v>
      </c>
      <c r="F5" s="2" t="n">
        <v>875</v>
      </c>
      <c r="G5" s="144" t="n">
        <f aca="false">F5*E5</f>
        <v>4812.5</v>
      </c>
      <c r="H5" s="14" t="n">
        <v>45993</v>
      </c>
      <c r="I5" s="88"/>
      <c r="J5" s="144" t="n">
        <v>4812.5</v>
      </c>
      <c r="L5" s="131"/>
      <c r="M5" s="132" t="s">
        <v>491</v>
      </c>
      <c r="N5" s="154" t="s">
        <v>487</v>
      </c>
    </row>
    <row r="6" customFormat="false" ht="30" hidden="false" customHeight="true" outlineLevel="0" collapsed="false">
      <c r="A6" s="2" t="n">
        <v>3</v>
      </c>
      <c r="B6" s="12" t="s">
        <v>174</v>
      </c>
      <c r="C6" s="12" t="s">
        <v>23</v>
      </c>
      <c r="D6" s="12" t="s">
        <v>95</v>
      </c>
      <c r="E6" s="12" t="n">
        <v>2.97</v>
      </c>
      <c r="F6" s="12" t="n">
        <v>2000</v>
      </c>
      <c r="G6" s="129" t="n">
        <f aca="false">F6*E6</f>
        <v>5940</v>
      </c>
      <c r="H6" s="14" t="n">
        <v>45999</v>
      </c>
      <c r="I6" s="88"/>
      <c r="J6" s="144" t="n">
        <f aca="false">G6 * 4.35</f>
        <v>25839</v>
      </c>
      <c r="L6" s="135"/>
      <c r="M6" s="159" t="s">
        <v>492</v>
      </c>
      <c r="N6" s="160"/>
    </row>
    <row r="7" customFormat="false" ht="33" hidden="false" customHeight="true" outlineLevel="0" collapsed="false">
      <c r="A7" s="2" t="n">
        <v>4</v>
      </c>
      <c r="B7" s="2" t="s">
        <v>163</v>
      </c>
      <c r="C7" s="2" t="s">
        <v>65</v>
      </c>
      <c r="D7" s="2" t="s">
        <v>121</v>
      </c>
      <c r="E7" s="3" t="n">
        <v>2.75</v>
      </c>
      <c r="F7" s="2" t="n">
        <v>1000</v>
      </c>
      <c r="G7" s="157" t="n">
        <f aca="false">F7*E7</f>
        <v>2750</v>
      </c>
      <c r="H7" s="14" t="n">
        <v>46000</v>
      </c>
      <c r="I7" s="88"/>
      <c r="J7" s="144" t="n">
        <f aca="false">G7 * 4.35</f>
        <v>11962.5</v>
      </c>
      <c r="L7" s="135"/>
      <c r="M7" s="159" t="n">
        <v>1296756</v>
      </c>
      <c r="N7" s="160"/>
    </row>
    <row r="8" customFormat="false" ht="34.5" hidden="false" customHeight="true" outlineLevel="0" collapsed="false">
      <c r="A8" s="12" t="n">
        <v>5</v>
      </c>
      <c r="B8" s="12" t="s">
        <v>49</v>
      </c>
      <c r="C8" s="12" t="s">
        <v>327</v>
      </c>
      <c r="D8" s="12" t="s">
        <v>13</v>
      </c>
      <c r="E8" s="13" t="n">
        <v>1.85</v>
      </c>
      <c r="F8" s="12" t="n">
        <v>1000</v>
      </c>
      <c r="G8" s="157" t="n">
        <f aca="false">F8*E8</f>
        <v>1850</v>
      </c>
      <c r="H8" s="14" t="n">
        <v>46001</v>
      </c>
      <c r="I8" s="19"/>
      <c r="J8" s="144" t="n">
        <f aca="false">G8*4.35</f>
        <v>8047.5</v>
      </c>
      <c r="L8" s="131"/>
      <c r="M8" s="132" t="n">
        <v>25010424</v>
      </c>
      <c r="N8" s="131"/>
    </row>
    <row r="9" customFormat="false" ht="30.75" hidden="false" customHeight="true" outlineLevel="0" collapsed="false">
      <c r="A9" s="2" t="n">
        <v>6</v>
      </c>
      <c r="B9" s="12" t="s">
        <v>100</v>
      </c>
      <c r="C9" s="12" t="s">
        <v>101</v>
      </c>
      <c r="D9" s="12" t="s">
        <v>28</v>
      </c>
      <c r="E9" s="17" t="n">
        <v>3.5</v>
      </c>
      <c r="F9" s="12" t="n">
        <v>2127</v>
      </c>
      <c r="G9" s="144" t="n">
        <f aca="false">F9*E9</f>
        <v>7444.5</v>
      </c>
      <c r="H9" s="14" t="n">
        <v>46003</v>
      </c>
      <c r="I9" s="51"/>
      <c r="J9" s="144" t="n">
        <f aca="false">G9</f>
        <v>7444.5</v>
      </c>
      <c r="L9" s="133"/>
      <c r="M9" s="161" t="s">
        <v>493</v>
      </c>
      <c r="N9" s="134"/>
    </row>
    <row r="10" customFormat="false" ht="33.75" hidden="false" customHeight="true" outlineLevel="0" collapsed="false">
      <c r="A10" s="2" t="n">
        <v>7</v>
      </c>
      <c r="B10" s="12" t="s">
        <v>249</v>
      </c>
      <c r="C10" s="12" t="s">
        <v>16</v>
      </c>
      <c r="D10" s="12" t="s">
        <v>103</v>
      </c>
      <c r="E10" s="13" t="n">
        <v>2.7</v>
      </c>
      <c r="F10" s="12" t="n">
        <v>500</v>
      </c>
      <c r="G10" s="157" t="n">
        <f aca="false">F10*E10</f>
        <v>1350</v>
      </c>
      <c r="H10" s="14" t="n">
        <v>46001</v>
      </c>
      <c r="I10" s="90"/>
      <c r="J10" s="144" t="n">
        <f aca="false">G10*4.35</f>
        <v>5872.5</v>
      </c>
      <c r="L10" s="135"/>
      <c r="M10" s="132"/>
      <c r="N10" s="134"/>
    </row>
    <row r="11" customFormat="false" ht="24.75" hidden="false" customHeight="true" outlineLevel="0" collapsed="false">
      <c r="A11" s="12" t="n">
        <v>8</v>
      </c>
      <c r="B11" s="151"/>
      <c r="C11" s="55"/>
      <c r="D11" s="151"/>
      <c r="E11" s="122"/>
      <c r="F11" s="55"/>
      <c r="G11" s="162"/>
      <c r="H11" s="153"/>
      <c r="I11" s="37"/>
      <c r="J11" s="144" t="n">
        <f aca="false">G11</f>
        <v>0</v>
      </c>
      <c r="L11" s="17"/>
      <c r="M11" s="163"/>
      <c r="N11" s="36"/>
    </row>
    <row r="12" customFormat="false" ht="24.75" hidden="false" customHeight="true" outlineLevel="0" collapsed="false">
      <c r="A12" s="2" t="n">
        <v>9</v>
      </c>
      <c r="B12" s="12"/>
      <c r="C12" s="125"/>
      <c r="D12" s="12"/>
      <c r="E12" s="53"/>
      <c r="F12" s="12"/>
      <c r="G12" s="145"/>
      <c r="H12" s="14"/>
      <c r="I12" s="51"/>
      <c r="J12" s="144" t="n">
        <f aca="false">G12*4.35</f>
        <v>0</v>
      </c>
      <c r="L12" s="17"/>
      <c r="M12" s="138"/>
      <c r="N12" s="12"/>
    </row>
    <row r="13" customFormat="false" ht="24.75" hidden="false" customHeight="true" outlineLevel="0" collapsed="false">
      <c r="A13" s="12" t="n">
        <v>10</v>
      </c>
      <c r="B13" s="12"/>
      <c r="C13" s="12"/>
      <c r="D13" s="12"/>
      <c r="E13" s="13"/>
      <c r="F13" s="12"/>
      <c r="G13" s="145"/>
      <c r="H13" s="14"/>
      <c r="I13" s="126"/>
      <c r="J13" s="144" t="n">
        <f aca="false">G13*4.35</f>
        <v>0</v>
      </c>
      <c r="L13" s="17"/>
      <c r="M13" s="138"/>
      <c r="N13" s="12"/>
    </row>
    <row r="14" customFormat="false" ht="24.75" hidden="false" customHeight="true" outlineLevel="0" collapsed="false">
      <c r="A14" s="2" t="n">
        <v>11</v>
      </c>
      <c r="B14" s="12"/>
      <c r="C14" s="89"/>
      <c r="D14" s="12"/>
      <c r="E14" s="17"/>
      <c r="F14" s="12"/>
      <c r="G14" s="143"/>
      <c r="H14" s="14"/>
      <c r="I14" s="19"/>
      <c r="J14" s="144" t="n">
        <f aca="false">G14</f>
        <v>0</v>
      </c>
      <c r="L14" s="17"/>
      <c r="M14" s="138"/>
      <c r="N14" s="12"/>
    </row>
    <row r="15" customFormat="false" ht="24.75" hidden="false" customHeight="true" outlineLevel="0" collapsed="false">
      <c r="A15" s="12" t="n">
        <v>12</v>
      </c>
      <c r="B15" s="12"/>
      <c r="C15" s="12"/>
      <c r="D15" s="12"/>
      <c r="E15" s="17"/>
      <c r="F15" s="12"/>
      <c r="G15" s="143"/>
      <c r="H15" s="14"/>
      <c r="I15" s="37"/>
      <c r="J15" s="144" t="n">
        <f aca="false">G15</f>
        <v>0</v>
      </c>
      <c r="L15" s="17"/>
      <c r="M15" s="138"/>
      <c r="N15" s="12"/>
    </row>
    <row r="16" customFormat="false" ht="24.75" hidden="false" customHeight="true" outlineLevel="0" collapsed="false">
      <c r="A16" s="2" t="n">
        <v>13</v>
      </c>
      <c r="B16" s="12"/>
      <c r="C16" s="12"/>
      <c r="D16" s="12"/>
      <c r="E16" s="17"/>
      <c r="F16" s="12"/>
      <c r="G16" s="143"/>
      <c r="H16" s="14"/>
      <c r="I16" s="37"/>
      <c r="J16" s="144"/>
      <c r="L16" s="17"/>
      <c r="M16" s="138"/>
      <c r="N16" s="12"/>
    </row>
    <row r="17" customFormat="false" ht="24.75" hidden="false" customHeight="true" outlineLevel="0" collapsed="false">
      <c r="A17" s="12" t="n">
        <v>14</v>
      </c>
      <c r="B17" s="2"/>
      <c r="C17" s="2"/>
      <c r="D17" s="2"/>
      <c r="E17" s="3"/>
      <c r="F17" s="2"/>
      <c r="G17" s="145"/>
      <c r="H17" s="5"/>
      <c r="J17" s="144" t="n">
        <f aca="false">G17</f>
        <v>0</v>
      </c>
      <c r="L17" s="17"/>
      <c r="M17" s="138"/>
      <c r="N17" s="12"/>
    </row>
    <row r="18" customFormat="false" ht="24.75" hidden="false" customHeight="true" outlineLevel="0" collapsed="false">
      <c r="A18" s="2" t="n">
        <v>15</v>
      </c>
      <c r="B18" s="11"/>
      <c r="C18" s="2"/>
      <c r="D18" s="2"/>
      <c r="E18" s="6"/>
      <c r="F18" s="2"/>
      <c r="G18" s="143"/>
      <c r="H18" s="42"/>
      <c r="J18" s="155" t="n">
        <f aca="false">G18</f>
        <v>0</v>
      </c>
      <c r="L18" s="17"/>
      <c r="M18" s="138"/>
      <c r="N18" s="12"/>
    </row>
    <row r="19" customFormat="false" ht="15.75" hidden="false" customHeight="false" outlineLevel="0" collapsed="false">
      <c r="J19" s="156" t="n">
        <f aca="false">SUM(J4:J18)</f>
        <v>75941</v>
      </c>
    </row>
    <row r="20" customFormat="false" ht="15" hidden="false" customHeight="false" outlineLevel="0" collapsed="false">
      <c r="J20" s="18"/>
    </row>
    <row r="21" customFormat="false" ht="26.25" hidden="false" customHeight="true" outlineLevel="0" collapsed="false">
      <c r="A21" s="1" t="s">
        <v>210</v>
      </c>
      <c r="B21" s="1"/>
      <c r="C21" s="1"/>
      <c r="D21" s="1"/>
      <c r="E21" s="1"/>
      <c r="F21" s="1"/>
      <c r="G21" s="1"/>
      <c r="H21" s="1"/>
    </row>
    <row r="22" customFormat="false" ht="30" hidden="false" customHeight="false" outlineLevel="0" collapsed="false">
      <c r="A22" s="139" t="s">
        <v>1</v>
      </c>
      <c r="B22" s="139" t="s">
        <v>2</v>
      </c>
      <c r="C22" s="139" t="s">
        <v>3</v>
      </c>
      <c r="D22" s="139" t="s">
        <v>4</v>
      </c>
      <c r="E22" s="139" t="s">
        <v>5</v>
      </c>
      <c r="F22" s="139" t="s">
        <v>6</v>
      </c>
      <c r="G22" s="139" t="s">
        <v>7</v>
      </c>
      <c r="H22" s="139" t="s">
        <v>8</v>
      </c>
      <c r="J22" s="139" t="s">
        <v>9</v>
      </c>
      <c r="P22" s="0" t="s">
        <v>494</v>
      </c>
    </row>
    <row r="23" customFormat="false" ht="24.75" hidden="false" customHeight="true" outlineLevel="0" collapsed="false">
      <c r="A23" s="89" t="s">
        <v>10</v>
      </c>
      <c r="B23" s="164" t="s">
        <v>495</v>
      </c>
      <c r="C23" s="39" t="s">
        <v>496</v>
      </c>
      <c r="D23" s="165" t="s">
        <v>299</v>
      </c>
      <c r="E23" s="166" t="n">
        <v>16</v>
      </c>
      <c r="F23" s="39" t="n">
        <v>50</v>
      </c>
      <c r="G23" s="167" t="n">
        <f aca="false">E23 * F23</f>
        <v>800</v>
      </c>
      <c r="H23" s="168" t="n">
        <v>45996</v>
      </c>
      <c r="J23" s="169" t="n">
        <v>800</v>
      </c>
      <c r="L23" s="133"/>
      <c r="M23" s="132" t="n">
        <v>90253047</v>
      </c>
      <c r="N23" s="146"/>
      <c r="P23" s="0" t="n">
        <v>800</v>
      </c>
    </row>
    <row r="24" customFormat="false" ht="15" hidden="false" customHeight="false" outlineLevel="0" collapsed="false">
      <c r="A24" s="89" t="s">
        <v>14</v>
      </c>
      <c r="B24" s="170" t="s">
        <v>497</v>
      </c>
      <c r="C24" s="39"/>
      <c r="D24" s="39" t="s">
        <v>498</v>
      </c>
      <c r="E24" s="171" t="n">
        <v>31.8</v>
      </c>
      <c r="F24" s="39" t="n">
        <v>25</v>
      </c>
      <c r="G24" s="172" t="n">
        <v>795</v>
      </c>
      <c r="H24" s="168" t="n">
        <v>45999</v>
      </c>
      <c r="J24" s="169" t="n">
        <f aca="false">G24</f>
        <v>795</v>
      </c>
      <c r="L24" s="135"/>
      <c r="M24" s="173" t="s">
        <v>499</v>
      </c>
      <c r="N24" s="173"/>
      <c r="P24" s="0" t="n">
        <v>810.9</v>
      </c>
    </row>
    <row r="25" customFormat="false" ht="15" hidden="false" customHeight="false" outlineLevel="0" collapsed="false">
      <c r="A25" s="89" t="s">
        <v>18</v>
      </c>
      <c r="B25" s="170" t="s">
        <v>500</v>
      </c>
      <c r="C25" s="39"/>
      <c r="D25" s="39" t="s">
        <v>498</v>
      </c>
      <c r="E25" s="171" t="n">
        <v>31.8</v>
      </c>
      <c r="F25" s="39" t="n">
        <v>25</v>
      </c>
      <c r="G25" s="172" t="n">
        <v>795</v>
      </c>
      <c r="H25" s="168" t="n">
        <v>45999</v>
      </c>
      <c r="J25" s="169" t="n">
        <f aca="false">G25</f>
        <v>795</v>
      </c>
      <c r="L25" s="135"/>
      <c r="M25" s="173" t="s">
        <v>499</v>
      </c>
      <c r="N25" s="173"/>
      <c r="P25" s="0" t="n">
        <v>810.9</v>
      </c>
    </row>
    <row r="26" customFormat="false" ht="15" hidden="false" customHeight="false" outlineLevel="0" collapsed="false">
      <c r="A26" s="89" t="s">
        <v>21</v>
      </c>
      <c r="B26" s="170" t="s">
        <v>501</v>
      </c>
      <c r="C26" s="39"/>
      <c r="D26" s="39" t="s">
        <v>498</v>
      </c>
      <c r="E26" s="174" t="n">
        <v>29.13</v>
      </c>
      <c r="F26" s="39" t="n">
        <v>25</v>
      </c>
      <c r="G26" s="172" t="n">
        <v>725.25</v>
      </c>
      <c r="H26" s="168" t="n">
        <v>45999</v>
      </c>
      <c r="J26" s="169" t="n">
        <f aca="false">G26</f>
        <v>725.25</v>
      </c>
      <c r="L26" s="135"/>
      <c r="M26" s="173" t="s">
        <v>499</v>
      </c>
      <c r="N26" s="173"/>
      <c r="P26" s="0" t="n">
        <v>742.82</v>
      </c>
    </row>
    <row r="27" customFormat="false" ht="15" hidden="false" customHeight="false" outlineLevel="0" collapsed="false">
      <c r="A27" s="89" t="s">
        <v>25</v>
      </c>
      <c r="B27" s="39"/>
      <c r="C27" s="39"/>
      <c r="D27" s="39"/>
      <c r="E27" s="175"/>
      <c r="F27" s="39"/>
      <c r="G27" s="176"/>
      <c r="H27" s="168"/>
      <c r="J27" s="169" t="n">
        <f aca="false">G27*4.35</f>
        <v>0</v>
      </c>
      <c r="L27" s="17"/>
      <c r="M27" s="121"/>
      <c r="N27" s="121"/>
    </row>
    <row r="28" customFormat="false" ht="15" hidden="false" customHeight="false" outlineLevel="0" collapsed="false">
      <c r="A28" s="89" t="s">
        <v>30</v>
      </c>
      <c r="B28" s="177" t="s">
        <v>502</v>
      </c>
      <c r="C28" s="39"/>
      <c r="D28" s="165" t="s">
        <v>299</v>
      </c>
      <c r="E28" s="174" t="n">
        <v>87.33</v>
      </c>
      <c r="F28" s="39" t="n">
        <v>25</v>
      </c>
      <c r="G28" s="167" t="n">
        <f aca="false">F28 *E28</f>
        <v>2183.25</v>
      </c>
      <c r="H28" s="178" t="n">
        <v>46013</v>
      </c>
      <c r="J28" s="169" t="n">
        <f aca="false">G28*4.35</f>
        <v>9497.1375</v>
      </c>
      <c r="L28" s="17"/>
      <c r="M28" s="121"/>
      <c r="N28" s="121"/>
    </row>
    <row r="29" customFormat="false" ht="15" hidden="false" customHeight="false" outlineLevel="0" collapsed="false">
      <c r="A29" s="89" t="s">
        <v>34</v>
      </c>
      <c r="B29" s="177" t="s">
        <v>503</v>
      </c>
      <c r="C29" s="39"/>
      <c r="D29" s="165" t="s">
        <v>299</v>
      </c>
      <c r="E29" s="174" t="n">
        <v>84.65</v>
      </c>
      <c r="F29" s="39" t="n">
        <v>25</v>
      </c>
      <c r="G29" s="167" t="n">
        <f aca="false">F29 *E29</f>
        <v>2116.25</v>
      </c>
      <c r="H29" s="168" t="n">
        <v>46013</v>
      </c>
      <c r="J29" s="169" t="n">
        <f aca="false">G29*4.35</f>
        <v>9205.6875</v>
      </c>
      <c r="L29" s="17"/>
      <c r="M29" s="121"/>
      <c r="N29" s="128"/>
    </row>
    <row r="30" customFormat="false" ht="15" hidden="false" customHeight="false" outlineLevel="0" collapsed="false">
      <c r="A30" s="89" t="s">
        <v>39</v>
      </c>
      <c r="B30" s="179"/>
      <c r="C30" s="39"/>
      <c r="D30" s="39"/>
      <c r="E30" s="174"/>
      <c r="F30" s="39"/>
      <c r="G30" s="167"/>
      <c r="H30" s="180"/>
      <c r="J30" s="169" t="n">
        <f aca="false">G30*4.35</f>
        <v>0</v>
      </c>
      <c r="L30" s="17"/>
      <c r="M30" s="121"/>
      <c r="N30" s="128"/>
    </row>
    <row r="31" customFormat="false" ht="15" hidden="false" customHeight="false" outlineLevel="0" collapsed="false">
      <c r="A31" s="89" t="s">
        <v>43</v>
      </c>
      <c r="B31" s="179"/>
      <c r="C31" s="39"/>
      <c r="D31" s="39"/>
      <c r="E31" s="175"/>
      <c r="F31" s="39"/>
      <c r="G31" s="176"/>
      <c r="H31" s="168"/>
      <c r="J31" s="169" t="n">
        <f aca="false">G31*4.35</f>
        <v>0</v>
      </c>
      <c r="L31" s="17"/>
      <c r="M31" s="121"/>
      <c r="N31" s="128"/>
    </row>
    <row r="32" customFormat="false" ht="15" hidden="false" customHeight="false" outlineLevel="0" collapsed="false">
      <c r="A32" s="89" t="s">
        <v>45</v>
      </c>
      <c r="B32" s="179"/>
      <c r="C32" s="39"/>
      <c r="D32" s="39"/>
      <c r="E32" s="174"/>
      <c r="F32" s="39"/>
      <c r="G32" s="167"/>
      <c r="H32" s="180"/>
      <c r="J32" s="169" t="n">
        <f aca="false">G32*4.35</f>
        <v>0</v>
      </c>
      <c r="L32" s="17"/>
      <c r="M32" s="121"/>
      <c r="N32" s="128"/>
    </row>
    <row r="33" customFormat="false" ht="15" hidden="false" customHeight="false" outlineLevel="0" collapsed="false">
      <c r="A33" s="89" t="s">
        <v>48</v>
      </c>
      <c r="B33" s="179"/>
      <c r="C33" s="39"/>
      <c r="D33" s="39"/>
      <c r="E33" s="174"/>
      <c r="F33" s="39"/>
      <c r="G33" s="167"/>
      <c r="H33" s="180"/>
      <c r="J33" s="169"/>
      <c r="L33" s="17"/>
      <c r="M33" s="121"/>
      <c r="N33" s="128"/>
    </row>
    <row r="34" customFormat="false" ht="15.75" hidden="false" customHeight="false" outlineLevel="0" collapsed="false">
      <c r="A34" s="12" t="s">
        <v>51</v>
      </c>
      <c r="B34" s="2"/>
      <c r="C34" s="2"/>
      <c r="D34" s="2"/>
      <c r="E34" s="3"/>
      <c r="F34" s="2"/>
      <c r="G34" s="181"/>
      <c r="H34" s="5"/>
      <c r="J34" s="182" t="n">
        <f aca="false">G34*4.35</f>
        <v>0</v>
      </c>
      <c r="L34" s="17"/>
      <c r="M34" s="121"/>
      <c r="N34" s="121"/>
    </row>
    <row r="35" customFormat="false" ht="15.75" hidden="false" customHeight="false" outlineLevel="0" collapsed="false">
      <c r="J35" s="156" t="n">
        <f aca="false">SUM(J23:J34)</f>
        <v>21818.075</v>
      </c>
      <c r="P35" s="183" t="n">
        <f aca="false">SUM(P23:P34)</f>
        <v>3164.62</v>
      </c>
    </row>
    <row r="39" customFormat="false" ht="15" hidden="false" customHeight="false" outlineLevel="0" collapsed="false">
      <c r="C39" s="40"/>
    </row>
  </sheetData>
  <autoFilter ref="A3:H3"/>
  <mergeCells count="3">
    <mergeCell ref="A1:H1"/>
    <mergeCell ref="A2:H2"/>
    <mergeCell ref="A21:H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56"/>
  <sheetViews>
    <sheetView showFormulas="false" showGridLines="true" showRowColHeaders="true" showZeros="true" rightToLeft="false" tabSelected="false" showOutlineSymbols="true" defaultGridColor="true" view="normal" topLeftCell="A2" colorId="64" zoomScale="100" zoomScaleNormal="100" zoomScalePageLayoutView="100" workbookViewId="0">
      <selection pane="topLeft" activeCell="K39" activeCellId="0" sqref="K39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30.57"/>
    <col collapsed="false" customWidth="true" hidden="false" outlineLevel="0" max="4" min="3" style="0" width="15.71"/>
    <col collapsed="false" customWidth="true" hidden="false" outlineLevel="0" max="6" min="5" style="0" width="9.85"/>
    <col collapsed="false" customWidth="true" hidden="false" outlineLevel="0" max="7" min="7" style="0" width="9.14"/>
    <col collapsed="false" customWidth="true" hidden="false" outlineLevel="0" max="8" min="8" style="0" width="12"/>
    <col collapsed="false" customWidth="true" hidden="false" outlineLevel="0" max="9" min="9" style="0" width="12.57"/>
    <col collapsed="false" customWidth="true" hidden="false" outlineLevel="0" max="10" min="10" style="0" width="12.28"/>
    <col collapsed="false" customWidth="true" hidden="false" outlineLevel="0" max="11" min="11" style="0" width="16.71"/>
    <col collapsed="false" customWidth="true" hidden="false" outlineLevel="0" max="13" min="13" style="0" width="11.71"/>
    <col collapsed="false" customWidth="true" hidden="false" outlineLevel="0" max="14" min="14" style="0" width="23.28"/>
    <col collapsed="false" customWidth="true" hidden="false" outlineLevel="0" max="15" min="15" style="0" width="20.14"/>
    <col collapsed="false" customWidth="true" hidden="false" outlineLevel="0" max="16" min="16" style="0" width="19.14"/>
    <col collapsed="false" customWidth="true" hidden="false" outlineLevel="0" max="17" min="17" style="0" width="35.43"/>
  </cols>
  <sheetData>
    <row r="1" customFormat="false" ht="40.5" hidden="false" customHeight="true" outlineLevel="0" collapsed="false">
      <c r="A1" s="1" t="s">
        <v>504</v>
      </c>
      <c r="B1" s="1"/>
      <c r="C1" s="1"/>
      <c r="D1" s="1"/>
      <c r="E1" s="1"/>
      <c r="F1" s="1"/>
      <c r="G1" s="1"/>
      <c r="H1" s="1"/>
      <c r="I1" s="1"/>
      <c r="K1" s="184" t="n">
        <v>4.35</v>
      </c>
    </row>
    <row r="2" customFormat="false" ht="22.5" hidden="false" customHeight="true" outlineLevel="0" collapsed="false">
      <c r="A2" s="1" t="s">
        <v>189</v>
      </c>
      <c r="B2" s="1"/>
      <c r="C2" s="1"/>
      <c r="D2" s="1"/>
      <c r="E2" s="1"/>
      <c r="F2" s="1"/>
      <c r="G2" s="1"/>
      <c r="H2" s="1"/>
      <c r="I2" s="1"/>
    </row>
    <row r="3" customFormat="false" ht="45" hidden="false" customHeight="false" outlineLevel="0" collapsed="false">
      <c r="A3" s="185" t="s">
        <v>1</v>
      </c>
      <c r="B3" s="185" t="s">
        <v>2</v>
      </c>
      <c r="C3" s="185" t="s">
        <v>3</v>
      </c>
      <c r="D3" s="185" t="s">
        <v>4</v>
      </c>
      <c r="E3" s="185" t="s">
        <v>5</v>
      </c>
      <c r="F3" s="185" t="s">
        <v>505</v>
      </c>
      <c r="G3" s="185" t="s">
        <v>6</v>
      </c>
      <c r="H3" s="185" t="s">
        <v>506</v>
      </c>
      <c r="I3" s="185" t="s">
        <v>8</v>
      </c>
      <c r="K3" s="186" t="s">
        <v>507</v>
      </c>
      <c r="M3" s="187" t="s">
        <v>190</v>
      </c>
      <c r="N3" s="139" t="s">
        <v>508</v>
      </c>
      <c r="O3" s="139" t="s">
        <v>191</v>
      </c>
      <c r="P3" s="139" t="s">
        <v>509</v>
      </c>
      <c r="Q3" s="139" t="s">
        <v>211</v>
      </c>
    </row>
    <row r="4" customFormat="false" ht="33.75" hidden="false" customHeight="true" outlineLevel="0" collapsed="false">
      <c r="A4" s="2" t="n">
        <v>1</v>
      </c>
      <c r="B4" s="188" t="s">
        <v>49</v>
      </c>
      <c r="C4" s="189" t="s">
        <v>510</v>
      </c>
      <c r="D4" s="190" t="s">
        <v>13</v>
      </c>
      <c r="E4" s="191" t="n">
        <v>1.85</v>
      </c>
      <c r="F4" s="192" t="s">
        <v>511</v>
      </c>
      <c r="G4" s="189" t="n">
        <v>950</v>
      </c>
      <c r="H4" s="193" t="n">
        <f aca="false">IF(E4="", "", G4 * E4)</f>
        <v>1757.5</v>
      </c>
      <c r="I4" s="194" t="n">
        <v>45664</v>
      </c>
      <c r="J4" s="195"/>
      <c r="K4" s="196" t="n">
        <f aca="false">IF(F4="EUR",H4*$K$1,H4)</f>
        <v>7645.125</v>
      </c>
      <c r="L4" s="197"/>
      <c r="M4" s="198" t="s">
        <v>512</v>
      </c>
      <c r="N4" s="199" t="s">
        <v>513</v>
      </c>
      <c r="O4" s="200" t="n">
        <v>26000127</v>
      </c>
      <c r="P4" s="199" t="s">
        <v>514</v>
      </c>
      <c r="Q4" s="201"/>
    </row>
    <row r="5" customFormat="false" ht="32.25" hidden="false" customHeight="true" outlineLevel="0" collapsed="false">
      <c r="A5" s="2" t="n">
        <v>2</v>
      </c>
      <c r="B5" s="202" t="s">
        <v>515</v>
      </c>
      <c r="C5" s="189" t="s">
        <v>41</v>
      </c>
      <c r="D5" s="190" t="s">
        <v>13</v>
      </c>
      <c r="E5" s="191" t="n">
        <v>1.35</v>
      </c>
      <c r="F5" s="192" t="s">
        <v>511</v>
      </c>
      <c r="G5" s="189" t="n">
        <v>1750</v>
      </c>
      <c r="H5" s="193" t="n">
        <f aca="false">IF(E5="", "", G5 * E5)</f>
        <v>2362.5</v>
      </c>
      <c r="I5" s="194" t="n">
        <v>45664</v>
      </c>
      <c r="J5" s="195"/>
      <c r="K5" s="196" t="n">
        <f aca="false">IF( F5="EUR", H5 * $K$1, H5)</f>
        <v>10276.875</v>
      </c>
      <c r="L5" s="197"/>
      <c r="M5" s="198" t="s">
        <v>512</v>
      </c>
      <c r="N5" s="199" t="s">
        <v>516</v>
      </c>
      <c r="O5" s="200" t="s">
        <v>517</v>
      </c>
      <c r="P5" s="199" t="s">
        <v>514</v>
      </c>
      <c r="Q5" s="201"/>
    </row>
    <row r="6" customFormat="false" ht="30.75" hidden="false" customHeight="true" outlineLevel="0" collapsed="false">
      <c r="A6" s="2" t="n">
        <v>3</v>
      </c>
      <c r="B6" s="202" t="s">
        <v>174</v>
      </c>
      <c r="C6" s="203" t="s">
        <v>23</v>
      </c>
      <c r="D6" s="190" t="s">
        <v>95</v>
      </c>
      <c r="E6" s="204" t="n">
        <v>2.97</v>
      </c>
      <c r="F6" s="205" t="s">
        <v>511</v>
      </c>
      <c r="G6" s="203" t="n">
        <v>2038</v>
      </c>
      <c r="H6" s="193" t="n">
        <f aca="false">IF(E6="", "", G6 * E6)</f>
        <v>6052.86</v>
      </c>
      <c r="I6" s="194" t="n">
        <v>45664</v>
      </c>
      <c r="J6" s="206"/>
      <c r="K6" s="196" t="n">
        <f aca="false">IF( F6="EUR", H6 * $K$1, H6)</f>
        <v>26329.941</v>
      </c>
      <c r="L6" s="197"/>
      <c r="M6" s="198" t="s">
        <v>512</v>
      </c>
      <c r="N6" s="199" t="s">
        <v>518</v>
      </c>
      <c r="O6" s="200" t="s">
        <v>519</v>
      </c>
      <c r="P6" s="199" t="s">
        <v>514</v>
      </c>
      <c r="Q6" s="201" t="s">
        <v>520</v>
      </c>
    </row>
    <row r="7" customFormat="false" ht="33.75" hidden="false" customHeight="true" outlineLevel="0" collapsed="false">
      <c r="A7" s="2" t="n">
        <v>4</v>
      </c>
      <c r="B7" s="202" t="s">
        <v>356</v>
      </c>
      <c r="C7" s="203" t="s">
        <v>16</v>
      </c>
      <c r="D7" s="190" t="s">
        <v>20</v>
      </c>
      <c r="E7" s="204" t="n">
        <v>9.3</v>
      </c>
      <c r="F7" s="205" t="s">
        <v>521</v>
      </c>
      <c r="G7" s="203" t="n">
        <v>500</v>
      </c>
      <c r="H7" s="193" t="n">
        <f aca="false">IF(E7="", "", G7 * E7)</f>
        <v>4650</v>
      </c>
      <c r="I7" s="194" t="n">
        <v>46030</v>
      </c>
      <c r="J7" s="207"/>
      <c r="K7" s="196" t="n">
        <f aca="false">IF( F7="EUR", H7 * $K$1, H7)</f>
        <v>4650</v>
      </c>
      <c r="L7" s="197"/>
      <c r="M7" s="198" t="s">
        <v>512</v>
      </c>
      <c r="N7" s="199" t="s">
        <v>522</v>
      </c>
      <c r="O7" s="200" t="s">
        <v>523</v>
      </c>
      <c r="P7" s="199" t="s">
        <v>514</v>
      </c>
      <c r="Q7" s="201"/>
    </row>
    <row r="8" customFormat="false" ht="30.75" hidden="false" customHeight="true" outlineLevel="0" collapsed="false">
      <c r="A8" s="2" t="n">
        <v>5</v>
      </c>
      <c r="B8" s="208" t="s">
        <v>524</v>
      </c>
      <c r="C8" s="189" t="s">
        <v>525</v>
      </c>
      <c r="D8" s="190" t="s">
        <v>20</v>
      </c>
      <c r="E8" s="191" t="n">
        <v>10.9</v>
      </c>
      <c r="F8" s="192" t="s">
        <v>521</v>
      </c>
      <c r="G8" s="189" t="n">
        <v>500</v>
      </c>
      <c r="H8" s="193" t="n">
        <f aca="false">IF(E8="", "", G8 * E8)</f>
        <v>5450</v>
      </c>
      <c r="I8" s="194" t="n">
        <v>46030</v>
      </c>
      <c r="J8" s="206"/>
      <c r="K8" s="196" t="n">
        <f aca="false">IF( F8="EUR", H8 * $K$1, H8)</f>
        <v>5450</v>
      </c>
      <c r="L8" s="197"/>
      <c r="M8" s="198" t="s">
        <v>512</v>
      </c>
      <c r="N8" s="199" t="s">
        <v>522</v>
      </c>
      <c r="O8" s="200" t="s">
        <v>523</v>
      </c>
      <c r="P8" s="199" t="s">
        <v>514</v>
      </c>
      <c r="Q8" s="201"/>
    </row>
    <row r="9" customFormat="false" ht="30.75" hidden="false" customHeight="true" outlineLevel="0" collapsed="false">
      <c r="A9" s="2" t="n">
        <v>6</v>
      </c>
      <c r="B9" s="202" t="s">
        <v>526</v>
      </c>
      <c r="C9" s="203" t="s">
        <v>85</v>
      </c>
      <c r="D9" s="190" t="s">
        <v>54</v>
      </c>
      <c r="E9" s="204" t="n">
        <v>6.5</v>
      </c>
      <c r="F9" s="205" t="s">
        <v>521</v>
      </c>
      <c r="G9" s="203" t="n">
        <v>1000</v>
      </c>
      <c r="H9" s="193" t="n">
        <f aca="false">IF(E9="", "", G9 * E9)</f>
        <v>6500</v>
      </c>
      <c r="I9" s="194" t="n">
        <v>46030</v>
      </c>
      <c r="J9" s="206"/>
      <c r="K9" s="196" t="n">
        <f aca="false">IF( F9="EUR", H9 * $K$1, H9)</f>
        <v>6500</v>
      </c>
      <c r="L9" s="197"/>
      <c r="M9" s="198" t="s">
        <v>512</v>
      </c>
      <c r="N9" s="199" t="s">
        <v>527</v>
      </c>
      <c r="O9" s="200" t="s">
        <v>528</v>
      </c>
      <c r="P9" s="199" t="s">
        <v>514</v>
      </c>
      <c r="Q9" s="199" t="s">
        <v>529</v>
      </c>
    </row>
    <row r="10" customFormat="false" ht="30.75" hidden="false" customHeight="true" outlineLevel="0" collapsed="false">
      <c r="A10" s="2" t="n">
        <v>7</v>
      </c>
      <c r="B10" s="202" t="s">
        <v>530</v>
      </c>
      <c r="C10" s="203" t="s">
        <v>531</v>
      </c>
      <c r="D10" s="190" t="s">
        <v>37</v>
      </c>
      <c r="E10" s="203" t="n">
        <v>4.2</v>
      </c>
      <c r="F10" s="203" t="s">
        <v>521</v>
      </c>
      <c r="G10" s="203" t="n">
        <v>3114</v>
      </c>
      <c r="H10" s="193" t="n">
        <f aca="false">IF(E10="", "", G10 * E10)</f>
        <v>13078.8</v>
      </c>
      <c r="I10" s="194" t="n">
        <v>46034</v>
      </c>
      <c r="J10" s="206"/>
      <c r="K10" s="196" t="n">
        <f aca="false">IF( F10="EUR", H10 * $K$1, H10)</f>
        <v>13078.8</v>
      </c>
      <c r="L10" s="197"/>
      <c r="M10" s="198" t="s">
        <v>512</v>
      </c>
      <c r="N10" s="199" t="s">
        <v>532</v>
      </c>
      <c r="O10" s="200" t="s">
        <v>533</v>
      </c>
      <c r="P10" s="199" t="s">
        <v>514</v>
      </c>
      <c r="Q10" s="201"/>
    </row>
    <row r="11" customFormat="false" ht="32.25" hidden="false" customHeight="true" outlineLevel="0" collapsed="false">
      <c r="A11" s="2" t="n">
        <v>8</v>
      </c>
      <c r="B11" s="202" t="s">
        <v>174</v>
      </c>
      <c r="C11" s="203" t="s">
        <v>23</v>
      </c>
      <c r="D11" s="190" t="s">
        <v>95</v>
      </c>
      <c r="E11" s="204" t="n">
        <v>2.97</v>
      </c>
      <c r="F11" s="205" t="s">
        <v>511</v>
      </c>
      <c r="G11" s="203" t="n">
        <v>998</v>
      </c>
      <c r="H11" s="193" t="n">
        <f aca="false">IF(E11="", "", G11 * E11)</f>
        <v>2964.06</v>
      </c>
      <c r="I11" s="194" t="n">
        <v>12</v>
      </c>
      <c r="J11" s="207"/>
      <c r="K11" s="196" t="n">
        <f aca="false">IF( F11="EUR", H11 * $K$1, H11)</f>
        <v>12893.661</v>
      </c>
      <c r="L11" s="197"/>
      <c r="M11" s="198" t="s">
        <v>512</v>
      </c>
      <c r="N11" s="199" t="s">
        <v>518</v>
      </c>
      <c r="O11" s="200" t="s">
        <v>534</v>
      </c>
      <c r="P11" s="199" t="s">
        <v>514</v>
      </c>
      <c r="Q11" s="201"/>
    </row>
    <row r="12" customFormat="false" ht="32.25" hidden="false" customHeight="true" outlineLevel="0" collapsed="false">
      <c r="A12" s="2" t="n">
        <v>9</v>
      </c>
      <c r="B12" s="202" t="s">
        <v>535</v>
      </c>
      <c r="C12" s="203" t="s">
        <v>536</v>
      </c>
      <c r="D12" s="190" t="s">
        <v>24</v>
      </c>
      <c r="E12" s="204" t="n">
        <v>7.95</v>
      </c>
      <c r="F12" s="205" t="s">
        <v>511</v>
      </c>
      <c r="G12" s="203" t="n">
        <v>260</v>
      </c>
      <c r="H12" s="193" t="n">
        <f aca="false">IF(E12="", "", G12 * E12)</f>
        <v>2067</v>
      </c>
      <c r="I12" s="194" t="n">
        <v>46038</v>
      </c>
      <c r="J12" s="207"/>
      <c r="K12" s="196" t="n">
        <f aca="false">IF( F12="EUR", H12 * $K$1, H12)</f>
        <v>8991.45</v>
      </c>
      <c r="L12" s="197"/>
      <c r="M12" s="198" t="s">
        <v>512</v>
      </c>
      <c r="N12" s="199" t="s">
        <v>537</v>
      </c>
      <c r="O12" s="200" t="s">
        <v>538</v>
      </c>
      <c r="P12" s="199" t="s">
        <v>514</v>
      </c>
      <c r="Q12" s="201" t="s">
        <v>539</v>
      </c>
    </row>
    <row r="13" customFormat="false" ht="34.5" hidden="false" customHeight="true" outlineLevel="0" collapsed="false">
      <c r="A13" s="2" t="n">
        <v>10</v>
      </c>
      <c r="B13" s="188" t="s">
        <v>540</v>
      </c>
      <c r="C13" s="189" t="s">
        <v>106</v>
      </c>
      <c r="D13" s="190" t="s">
        <v>20</v>
      </c>
      <c r="E13" s="191" t="n">
        <v>13</v>
      </c>
      <c r="F13" s="192" t="s">
        <v>521</v>
      </c>
      <c r="G13" s="189" t="n">
        <v>250</v>
      </c>
      <c r="H13" s="193" t="n">
        <f aca="false">IF(E13="", "", G13 * E13)</f>
        <v>3250</v>
      </c>
      <c r="I13" s="194" t="n">
        <v>46041</v>
      </c>
      <c r="J13" s="209"/>
      <c r="K13" s="196" t="n">
        <f aca="false">IF( F13="EUR", H13 * $K$1, H13)</f>
        <v>3250</v>
      </c>
      <c r="L13" s="197"/>
      <c r="M13" s="198" t="s">
        <v>512</v>
      </c>
      <c r="N13" s="210" t="s">
        <v>541</v>
      </c>
      <c r="O13" s="200" t="s">
        <v>542</v>
      </c>
      <c r="P13" s="199" t="s">
        <v>514</v>
      </c>
      <c r="Q13" s="201" t="s">
        <v>543</v>
      </c>
    </row>
    <row r="14" customFormat="false" ht="34.5" hidden="false" customHeight="true" outlineLevel="0" collapsed="false">
      <c r="A14" s="2" t="n">
        <v>11</v>
      </c>
      <c r="B14" s="211" t="s">
        <v>544</v>
      </c>
      <c r="C14" s="189" t="s">
        <v>106</v>
      </c>
      <c r="D14" s="190" t="s">
        <v>20</v>
      </c>
      <c r="E14" s="191" t="n">
        <v>13</v>
      </c>
      <c r="F14" s="192" t="s">
        <v>521</v>
      </c>
      <c r="G14" s="189" t="n">
        <v>150</v>
      </c>
      <c r="H14" s="193" t="n">
        <f aca="false">IF(E14="", "", G14 * E14)</f>
        <v>1950</v>
      </c>
      <c r="I14" s="194" t="n">
        <v>46041</v>
      </c>
      <c r="J14" s="209"/>
      <c r="K14" s="196" t="n">
        <f aca="false">IF( F14="EUR", H14 * $K$1, H14)</f>
        <v>1950</v>
      </c>
      <c r="L14" s="197"/>
      <c r="M14" s="198" t="s">
        <v>512</v>
      </c>
      <c r="N14" s="199" t="s">
        <v>545</v>
      </c>
      <c r="O14" s="200" t="s">
        <v>542</v>
      </c>
      <c r="P14" s="199" t="s">
        <v>514</v>
      </c>
      <c r="Q14" s="201"/>
    </row>
    <row r="15" customFormat="false" ht="24.75" hidden="false" customHeight="true" outlineLevel="0" collapsed="false">
      <c r="A15" s="2" t="n">
        <v>12</v>
      </c>
      <c r="B15" s="212" t="s">
        <v>116</v>
      </c>
      <c r="C15" s="203" t="s">
        <v>32</v>
      </c>
      <c r="D15" s="190" t="s">
        <v>137</v>
      </c>
      <c r="E15" s="204" t="n">
        <v>6</v>
      </c>
      <c r="F15" s="213" t="s">
        <v>521</v>
      </c>
      <c r="G15" s="203" t="n">
        <v>3000</v>
      </c>
      <c r="H15" s="193" t="n">
        <f aca="false">IF(E15="", "", G15 * E15)</f>
        <v>18000</v>
      </c>
      <c r="I15" s="194" t="n">
        <v>22</v>
      </c>
      <c r="J15" s="209"/>
      <c r="K15" s="196" t="n">
        <f aca="false">IF( F15="EUR", H15 * $K$1, H15)</f>
        <v>18000</v>
      </c>
      <c r="L15" s="197"/>
      <c r="M15" s="198" t="s">
        <v>512</v>
      </c>
      <c r="N15" s="199" t="s">
        <v>546</v>
      </c>
      <c r="O15" s="200" t="s">
        <v>547</v>
      </c>
      <c r="P15" s="199" t="s">
        <v>514</v>
      </c>
      <c r="Q15" s="201"/>
    </row>
    <row r="16" customFormat="false" ht="24.75" hidden="false" customHeight="true" outlineLevel="0" collapsed="false">
      <c r="A16" s="2" t="n">
        <v>13</v>
      </c>
      <c r="B16" s="212" t="s">
        <v>116</v>
      </c>
      <c r="C16" s="203" t="s">
        <v>32</v>
      </c>
      <c r="D16" s="190" t="s">
        <v>137</v>
      </c>
      <c r="E16" s="204" t="n">
        <v>6</v>
      </c>
      <c r="F16" s="213" t="s">
        <v>521</v>
      </c>
      <c r="G16" s="203" t="n">
        <v>1500</v>
      </c>
      <c r="H16" s="193" t="n">
        <f aca="false">IF(E16="", "", G16 * E16)</f>
        <v>9000</v>
      </c>
      <c r="I16" s="194" t="n">
        <v>46049</v>
      </c>
      <c r="J16" s="209"/>
      <c r="K16" s="196" t="n">
        <f aca="false">IF( F16="EUR", H16 * $K$1, H16)</f>
        <v>9000</v>
      </c>
      <c r="L16" s="197"/>
      <c r="M16" s="198" t="s">
        <v>512</v>
      </c>
      <c r="N16" s="199" t="s">
        <v>546</v>
      </c>
      <c r="O16" s="200" t="s">
        <v>548</v>
      </c>
      <c r="P16" s="199" t="s">
        <v>514</v>
      </c>
      <c r="Q16" s="201"/>
    </row>
    <row r="17" customFormat="false" ht="29.25" hidden="false" customHeight="true" outlineLevel="0" collapsed="false">
      <c r="A17" s="2" t="n">
        <v>14</v>
      </c>
      <c r="B17" s="212" t="s">
        <v>549</v>
      </c>
      <c r="C17" s="189" t="s">
        <v>23</v>
      </c>
      <c r="D17" s="190" t="s">
        <v>24</v>
      </c>
      <c r="E17" s="191" t="n">
        <v>3.76</v>
      </c>
      <c r="F17" s="214" t="s">
        <v>511</v>
      </c>
      <c r="G17" s="189" t="n">
        <v>3155</v>
      </c>
      <c r="H17" s="193" t="n">
        <f aca="false">IF(E17="", "", G17 * E17)</f>
        <v>11862.8</v>
      </c>
      <c r="I17" s="215" t="n">
        <v>46050</v>
      </c>
      <c r="J17" s="209"/>
      <c r="K17" s="196" t="n">
        <f aca="false">IF( F17="EUR", H17 * $K$1, H17)</f>
        <v>51603.18</v>
      </c>
      <c r="L17" s="197"/>
      <c r="M17" s="198" t="s">
        <v>512</v>
      </c>
      <c r="N17" s="199" t="s">
        <v>550</v>
      </c>
      <c r="O17" s="200" t="s">
        <v>551</v>
      </c>
      <c r="P17" s="199" t="s">
        <v>514</v>
      </c>
      <c r="Q17" s="201"/>
    </row>
    <row r="18" customFormat="false" ht="29.25" hidden="false" customHeight="true" outlineLevel="0" collapsed="false">
      <c r="A18" s="2" t="n">
        <v>15</v>
      </c>
      <c r="B18" s="212" t="s">
        <v>552</v>
      </c>
      <c r="C18" s="189" t="s">
        <v>23</v>
      </c>
      <c r="D18" s="190" t="s">
        <v>99</v>
      </c>
      <c r="E18" s="191" t="n">
        <v>6.02</v>
      </c>
      <c r="F18" s="214" t="s">
        <v>521</v>
      </c>
      <c r="G18" s="189" t="n">
        <v>1000</v>
      </c>
      <c r="H18" s="193" t="n">
        <f aca="false">IF(E18="", "", G18 * E18)</f>
        <v>6020</v>
      </c>
      <c r="I18" s="215" t="n">
        <v>46051</v>
      </c>
      <c r="J18" s="209"/>
      <c r="K18" s="196" t="n">
        <v>7346.48</v>
      </c>
      <c r="L18" s="197"/>
      <c r="M18" s="198" t="s">
        <v>512</v>
      </c>
      <c r="N18" s="199" t="s">
        <v>553</v>
      </c>
      <c r="O18" s="200" t="s">
        <v>554</v>
      </c>
      <c r="P18" s="199" t="s">
        <v>514</v>
      </c>
      <c r="Q18" s="201"/>
    </row>
    <row r="19" customFormat="false" ht="29.25" hidden="false" customHeight="true" outlineLevel="0" collapsed="false">
      <c r="A19" s="2" t="n">
        <v>16</v>
      </c>
      <c r="B19" s="212" t="s">
        <v>116</v>
      </c>
      <c r="C19" s="203" t="s">
        <v>32</v>
      </c>
      <c r="D19" s="190" t="s">
        <v>137</v>
      </c>
      <c r="E19" s="204" t="n">
        <v>6</v>
      </c>
      <c r="F19" s="213" t="s">
        <v>521</v>
      </c>
      <c r="G19" s="203" t="n">
        <v>1500</v>
      </c>
      <c r="H19" s="193" t="n">
        <f aca="false">IF(E19="", "", G19 * E19)</f>
        <v>9000</v>
      </c>
      <c r="I19" s="194" t="n">
        <v>46051</v>
      </c>
      <c r="J19" s="209"/>
      <c r="K19" s="196" t="n">
        <f aca="false">IF( F19="EUR", H19 * $K$1, H19)</f>
        <v>9000</v>
      </c>
      <c r="L19" s="197"/>
      <c r="M19" s="198" t="s">
        <v>512</v>
      </c>
      <c r="N19" s="199" t="s">
        <v>546</v>
      </c>
      <c r="O19" s="200" t="s">
        <v>548</v>
      </c>
      <c r="P19" s="199" t="s">
        <v>514</v>
      </c>
      <c r="Q19" s="12" t="s">
        <v>555</v>
      </c>
    </row>
    <row r="20" customFormat="false" ht="24.75" hidden="false" customHeight="true" outlineLevel="0" collapsed="false">
      <c r="A20" s="2" t="n">
        <v>17</v>
      </c>
      <c r="B20" s="212" t="s">
        <v>116</v>
      </c>
      <c r="C20" s="203" t="s">
        <v>32</v>
      </c>
      <c r="D20" s="190" t="s">
        <v>54</v>
      </c>
      <c r="E20" s="204" t="n">
        <v>6</v>
      </c>
      <c r="F20" s="216" t="s">
        <v>521</v>
      </c>
      <c r="G20" s="203" t="n">
        <v>2000</v>
      </c>
      <c r="H20" s="193" t="n">
        <f aca="false">IF(E20="", "", G20 * E20)</f>
        <v>12000</v>
      </c>
      <c r="I20" s="194" t="n">
        <v>46052</v>
      </c>
      <c r="J20" s="217"/>
      <c r="K20" s="196" t="n">
        <f aca="false">IF( F20="EUR", H20 * $K$1, H20)</f>
        <v>12000</v>
      </c>
      <c r="L20" s="197"/>
      <c r="M20" s="198" t="s">
        <v>512</v>
      </c>
      <c r="N20" s="199" t="s">
        <v>556</v>
      </c>
      <c r="O20" s="200" t="s">
        <v>557</v>
      </c>
      <c r="P20" s="199" t="s">
        <v>514</v>
      </c>
      <c r="Q20" s="12" t="s">
        <v>555</v>
      </c>
    </row>
    <row r="21" customFormat="false" ht="27" hidden="false" customHeight="true" outlineLevel="0" collapsed="false">
      <c r="B21" s="209"/>
      <c r="C21" s="209"/>
      <c r="D21" s="209"/>
      <c r="E21" s="209"/>
      <c r="F21" s="209"/>
      <c r="G21" s="209"/>
      <c r="H21" s="209"/>
      <c r="I21" s="209"/>
      <c r="J21" s="197"/>
      <c r="K21" s="218" t="n">
        <f aca="false">SUM(K4:K20)</f>
        <v>207965.512</v>
      </c>
      <c r="L21" s="197"/>
      <c r="M21" s="197"/>
      <c r="N21" s="197"/>
      <c r="O21" s="197"/>
      <c r="P21" s="197"/>
      <c r="Q21" s="197"/>
    </row>
    <row r="22" customFormat="false" ht="15" hidden="false" customHeight="false" outlineLevel="0" collapsed="false">
      <c r="K22" s="18"/>
    </row>
    <row r="23" customFormat="false" ht="26.25" hidden="false" customHeight="true" outlineLevel="0" collapsed="false">
      <c r="A23" s="1" t="s">
        <v>210</v>
      </c>
      <c r="B23" s="1"/>
      <c r="C23" s="1"/>
      <c r="D23" s="1"/>
      <c r="E23" s="1"/>
      <c r="F23" s="1"/>
      <c r="G23" s="1"/>
      <c r="H23" s="1"/>
      <c r="I23" s="1"/>
    </row>
    <row r="24" customFormat="false" ht="45" hidden="false" customHeight="false" outlineLevel="0" collapsed="false">
      <c r="A24" s="185" t="s">
        <v>1</v>
      </c>
      <c r="B24" s="185" t="s">
        <v>2</v>
      </c>
      <c r="C24" s="185" t="s">
        <v>3</v>
      </c>
      <c r="D24" s="185" t="s">
        <v>4</v>
      </c>
      <c r="E24" s="185" t="s">
        <v>5</v>
      </c>
      <c r="F24" s="185" t="s">
        <v>505</v>
      </c>
      <c r="G24" s="185" t="s">
        <v>6</v>
      </c>
      <c r="H24" s="185" t="s">
        <v>506</v>
      </c>
      <c r="I24" s="185" t="s">
        <v>8</v>
      </c>
      <c r="K24" s="186" t="s">
        <v>507</v>
      </c>
      <c r="M24" s="187" t="s">
        <v>190</v>
      </c>
      <c r="N24" s="139" t="s">
        <v>558</v>
      </c>
      <c r="O24" s="139" t="s">
        <v>191</v>
      </c>
      <c r="P24" s="139" t="s">
        <v>509</v>
      </c>
      <c r="Q24" s="139" t="s">
        <v>211</v>
      </c>
    </row>
    <row r="25" customFormat="false" ht="18.75" hidden="false" customHeight="true" outlineLevel="0" collapsed="false">
      <c r="A25" s="12" t="s">
        <v>34</v>
      </c>
      <c r="B25" s="219" t="s">
        <v>559</v>
      </c>
      <c r="C25" s="2" t="s">
        <v>16</v>
      </c>
      <c r="D25" s="220" t="s">
        <v>560</v>
      </c>
      <c r="E25" s="67" t="n">
        <v>84.65</v>
      </c>
      <c r="F25" s="221" t="s">
        <v>521</v>
      </c>
      <c r="G25" s="2" t="n">
        <v>25</v>
      </c>
      <c r="H25" s="222" t="n">
        <f aca="false">IF(E25="", "", G25 * E25)</f>
        <v>2116.25</v>
      </c>
      <c r="I25" s="5" t="n">
        <v>46029</v>
      </c>
      <c r="K25" s="223" t="n">
        <f aca="false">IF( F25="EUR", H25 * $K$1, H25)</f>
        <v>2116.25</v>
      </c>
      <c r="M25" s="224" t="s">
        <v>512</v>
      </c>
      <c r="N25" s="121" t="s">
        <v>561</v>
      </c>
      <c r="O25" s="225" t="n">
        <v>90253185</v>
      </c>
      <c r="P25" s="119" t="s">
        <v>514</v>
      </c>
      <c r="Q25" s="119"/>
    </row>
    <row r="26" customFormat="false" ht="36.75" hidden="false" customHeight="true" outlineLevel="0" collapsed="false">
      <c r="A26" s="12" t="s">
        <v>14</v>
      </c>
      <c r="B26" s="226" t="s">
        <v>562</v>
      </c>
      <c r="C26" s="2" t="s">
        <v>32</v>
      </c>
      <c r="D26" s="220" t="s">
        <v>157</v>
      </c>
      <c r="E26" s="67" t="n">
        <v>15.32</v>
      </c>
      <c r="F26" s="221" t="s">
        <v>511</v>
      </c>
      <c r="G26" s="2" t="n">
        <v>126</v>
      </c>
      <c r="H26" s="222" t="n">
        <f aca="false">IF(E26="", "", G26 * E26)</f>
        <v>1930.32</v>
      </c>
      <c r="I26" s="5" t="n">
        <v>9</v>
      </c>
      <c r="K26" s="223" t="n">
        <f aca="false">IF( F26="EUR", H26 * $K$1, H26)</f>
        <v>8396.892</v>
      </c>
      <c r="M26" s="224" t="s">
        <v>512</v>
      </c>
      <c r="N26" s="227" t="s">
        <v>563</v>
      </c>
      <c r="O26" s="228" t="s">
        <v>564</v>
      </c>
      <c r="P26" s="229" t="s">
        <v>514</v>
      </c>
      <c r="Q26" s="119"/>
    </row>
    <row r="27" customFormat="false" ht="18.75" hidden="false" customHeight="true" outlineLevel="0" collapsed="false">
      <c r="A27" s="12" t="s">
        <v>30</v>
      </c>
      <c r="B27" s="230" t="s">
        <v>565</v>
      </c>
      <c r="C27" s="231" t="s">
        <v>566</v>
      </c>
      <c r="D27" s="220" t="s">
        <v>560</v>
      </c>
      <c r="E27" s="67" t="n">
        <v>55</v>
      </c>
      <c r="F27" s="221" t="s">
        <v>521</v>
      </c>
      <c r="G27" s="2" t="n">
        <v>30</v>
      </c>
      <c r="H27" s="222" t="n">
        <f aca="false">IF(E27="", "", G27 * E27)</f>
        <v>1650</v>
      </c>
      <c r="I27" s="5" t="n">
        <v>46037</v>
      </c>
      <c r="K27" s="223" t="n">
        <f aca="false">IF( F27="EUR", H27 * $K$1, H27)</f>
        <v>1650</v>
      </c>
      <c r="M27" s="224" t="s">
        <v>512</v>
      </c>
      <c r="N27" s="121" t="s">
        <v>567</v>
      </c>
      <c r="O27" s="225" t="n">
        <v>90260079</v>
      </c>
      <c r="P27" s="119" t="s">
        <v>514</v>
      </c>
      <c r="Q27" s="119"/>
    </row>
    <row r="28" customFormat="false" ht="18.75" hidden="false" customHeight="true" outlineLevel="0" collapsed="false">
      <c r="A28" s="12" t="s">
        <v>18</v>
      </c>
      <c r="B28" s="232" t="s">
        <v>568</v>
      </c>
      <c r="C28" s="2" t="s">
        <v>23</v>
      </c>
      <c r="D28" s="233" t="s">
        <v>306</v>
      </c>
      <c r="E28" s="67" t="n">
        <v>37.6</v>
      </c>
      <c r="F28" s="221" t="s">
        <v>521</v>
      </c>
      <c r="G28" s="2" t="n">
        <v>50</v>
      </c>
      <c r="H28" s="222" t="n">
        <f aca="false">IF(E28="", "", G28 * E28)</f>
        <v>1880</v>
      </c>
      <c r="I28" s="5" t="n">
        <v>46037</v>
      </c>
      <c r="K28" s="223" t="n">
        <f aca="false">IF( F28="EUR", H28 * $K$1, H28)</f>
        <v>1880</v>
      </c>
      <c r="M28" s="224" t="s">
        <v>512</v>
      </c>
      <c r="N28" s="121" t="s">
        <v>569</v>
      </c>
      <c r="O28" s="225" t="s">
        <v>570</v>
      </c>
      <c r="P28" s="119" t="s">
        <v>514</v>
      </c>
      <c r="Q28" s="119"/>
    </row>
    <row r="29" customFormat="false" ht="18.75" hidden="false" customHeight="true" outlineLevel="0" collapsed="false">
      <c r="A29" s="12" t="s">
        <v>21</v>
      </c>
      <c r="B29" s="232" t="s">
        <v>571</v>
      </c>
      <c r="C29" s="2" t="s">
        <v>23</v>
      </c>
      <c r="D29" s="233" t="s">
        <v>306</v>
      </c>
      <c r="E29" s="67" t="n">
        <v>30</v>
      </c>
      <c r="F29" s="221" t="s">
        <v>521</v>
      </c>
      <c r="G29" s="12" t="n">
        <v>50</v>
      </c>
      <c r="H29" s="222" t="n">
        <f aca="false">IF(E29="", "", G29 * E29)</f>
        <v>1500</v>
      </c>
      <c r="I29" s="14" t="n">
        <v>46037</v>
      </c>
      <c r="K29" s="223" t="n">
        <f aca="false">IF( F29="EUR", H29 * $K$1, H29)</f>
        <v>1500</v>
      </c>
      <c r="M29" s="224" t="s">
        <v>512</v>
      </c>
      <c r="N29" s="121" t="s">
        <v>569</v>
      </c>
      <c r="O29" s="225" t="s">
        <v>570</v>
      </c>
      <c r="P29" s="119" t="s">
        <v>514</v>
      </c>
      <c r="Q29" s="119"/>
    </row>
    <row r="30" customFormat="false" ht="18.75" hidden="false" customHeight="true" outlineLevel="0" collapsed="false">
      <c r="A30" s="12" t="s">
        <v>25</v>
      </c>
      <c r="B30" s="232" t="s">
        <v>572</v>
      </c>
      <c r="C30" s="2" t="s">
        <v>23</v>
      </c>
      <c r="D30" s="233" t="s">
        <v>306</v>
      </c>
      <c r="E30" s="67" t="n">
        <v>16.5</v>
      </c>
      <c r="F30" s="221" t="s">
        <v>521</v>
      </c>
      <c r="G30" s="2" t="n">
        <v>50</v>
      </c>
      <c r="H30" s="222" t="n">
        <f aca="false">IF(E30="", "", G30 * E30)</f>
        <v>825</v>
      </c>
      <c r="I30" s="5" t="n">
        <v>46037</v>
      </c>
      <c r="K30" s="223" t="n">
        <f aca="false">IF( F30="EUR", H30 * $K$1, H30)</f>
        <v>825</v>
      </c>
      <c r="M30" s="224" t="s">
        <v>512</v>
      </c>
      <c r="N30" s="121" t="s">
        <v>569</v>
      </c>
      <c r="O30" s="225" t="s">
        <v>573</v>
      </c>
      <c r="P30" s="119" t="s">
        <v>514</v>
      </c>
      <c r="Q30" s="119"/>
    </row>
    <row r="31" customFormat="false" ht="18.75" hidden="false" customHeight="true" outlineLevel="0" collapsed="false">
      <c r="A31" s="12" t="n">
        <v>6</v>
      </c>
      <c r="B31" s="230" t="s">
        <v>574</v>
      </c>
      <c r="C31" s="231" t="s">
        <v>16</v>
      </c>
      <c r="D31" s="220" t="s">
        <v>560</v>
      </c>
      <c r="E31" s="67" t="n">
        <v>87.38</v>
      </c>
      <c r="F31" s="221" t="s">
        <v>521</v>
      </c>
      <c r="G31" s="2" t="n">
        <v>25</v>
      </c>
      <c r="H31" s="222" t="n">
        <f aca="false">IF(E31="", "", G31 * E31)</f>
        <v>2184.5</v>
      </c>
      <c r="I31" s="5" t="n">
        <v>46037</v>
      </c>
      <c r="K31" s="223" t="n">
        <f aca="false">IF( F31="EUR", H31 * $K$1, H31)</f>
        <v>2184.5</v>
      </c>
      <c r="M31" s="224" t="s">
        <v>512</v>
      </c>
      <c r="N31" s="121" t="s">
        <v>561</v>
      </c>
      <c r="O31" s="142" t="n">
        <v>90260030</v>
      </c>
      <c r="P31" s="119" t="s">
        <v>514</v>
      </c>
      <c r="Q31" s="119"/>
    </row>
    <row r="32" customFormat="false" ht="18.75" hidden="false" customHeight="true" outlineLevel="0" collapsed="false">
      <c r="A32" s="12"/>
      <c r="B32" s="219"/>
      <c r="C32" s="2"/>
      <c r="D32" s="2"/>
      <c r="E32" s="67"/>
      <c r="F32" s="221"/>
      <c r="G32" s="2"/>
      <c r="H32" s="222"/>
      <c r="I32" s="5"/>
      <c r="K32" s="223"/>
      <c r="M32" s="224"/>
      <c r="N32" s="121"/>
      <c r="O32" s="225"/>
      <c r="P32" s="119"/>
      <c r="Q32" s="119"/>
    </row>
    <row r="33" customFormat="false" ht="18.75" hidden="false" customHeight="true" outlineLevel="0" collapsed="false">
      <c r="A33" s="12" t="s">
        <v>39</v>
      </c>
      <c r="B33" s="70"/>
      <c r="C33" s="2"/>
      <c r="D33" s="2"/>
      <c r="E33" s="67"/>
      <c r="F33" s="221"/>
      <c r="G33" s="2"/>
      <c r="H33" s="222" t="str">
        <f aca="false">IF(E33="", "", G33 * E33)</f>
        <v/>
      </c>
      <c r="I33" s="234"/>
      <c r="K33" s="223" t="str">
        <f aca="false">IF( F33="EUR", H33 * $K$1, H33)</f>
        <v/>
      </c>
      <c r="M33" s="17"/>
      <c r="N33" s="121"/>
      <c r="O33" s="225"/>
      <c r="P33" s="119"/>
      <c r="Q33" s="119"/>
    </row>
    <row r="34" customFormat="false" ht="18.75" hidden="false" customHeight="true" outlineLevel="0" collapsed="false">
      <c r="A34" s="12" t="s">
        <v>43</v>
      </c>
      <c r="B34" s="70"/>
      <c r="C34" s="2"/>
      <c r="D34" s="2"/>
      <c r="E34" s="67"/>
      <c r="F34" s="221"/>
      <c r="G34" s="2"/>
      <c r="H34" s="222" t="str">
        <f aca="false">IF(E34="", "", G34 * E34)</f>
        <v/>
      </c>
      <c r="I34" s="234"/>
      <c r="K34" s="223" t="str">
        <f aca="false">IF( F34="EUR", H34 * $K$1, H34)</f>
        <v/>
      </c>
      <c r="M34" s="17"/>
      <c r="N34" s="121"/>
      <c r="O34" s="225"/>
      <c r="P34" s="119"/>
      <c r="Q34" s="119"/>
    </row>
    <row r="35" customFormat="false" ht="18.75" hidden="false" customHeight="true" outlineLevel="0" collapsed="false">
      <c r="A35" s="12" t="s">
        <v>45</v>
      </c>
      <c r="B35" s="70"/>
      <c r="C35" s="2"/>
      <c r="D35" s="2"/>
      <c r="E35" s="67"/>
      <c r="F35" s="221"/>
      <c r="G35" s="2"/>
      <c r="H35" s="222" t="str">
        <f aca="false">IF(E35="", "", G35 * E35)</f>
        <v/>
      </c>
      <c r="I35" s="234"/>
      <c r="K35" s="223" t="str">
        <f aca="false">IF( F35="EUR", H35 * $K$1, H35)</f>
        <v/>
      </c>
      <c r="M35" s="17"/>
      <c r="N35" s="121"/>
      <c r="O35" s="225"/>
      <c r="P35" s="119"/>
      <c r="Q35" s="119"/>
    </row>
    <row r="36" customFormat="false" ht="18.75" hidden="false" customHeight="true" outlineLevel="0" collapsed="false">
      <c r="A36" s="12" t="s">
        <v>48</v>
      </c>
      <c r="B36" s="70"/>
      <c r="C36" s="2"/>
      <c r="D36" s="2"/>
      <c r="E36" s="67"/>
      <c r="F36" s="221"/>
      <c r="G36" s="2"/>
      <c r="H36" s="222" t="str">
        <f aca="false">IF(E36="", "", G36 * E36)</f>
        <v/>
      </c>
      <c r="I36" s="234"/>
      <c r="K36" s="223" t="str">
        <f aca="false">IF( F36="EUR", H36 * $K$1, H36)</f>
        <v/>
      </c>
      <c r="M36" s="17"/>
      <c r="N36" s="121"/>
      <c r="O36" s="225"/>
      <c r="P36" s="119"/>
      <c r="Q36" s="119"/>
    </row>
    <row r="37" customFormat="false" ht="18.75" hidden="false" customHeight="true" outlineLevel="0" collapsed="false">
      <c r="A37" s="12" t="s">
        <v>51</v>
      </c>
      <c r="B37" s="2"/>
      <c r="C37" s="2"/>
      <c r="D37" s="2"/>
      <c r="E37" s="67"/>
      <c r="F37" s="221"/>
      <c r="G37" s="2"/>
      <c r="H37" s="222" t="str">
        <f aca="false">IF(E37="", "", G37 * E37)</f>
        <v/>
      </c>
      <c r="I37" s="234"/>
      <c r="K37" s="235" t="str">
        <f aca="false">IF( F37="EUR", H37 * $K$1, H37)</f>
        <v/>
      </c>
      <c r="M37" s="17"/>
      <c r="N37" s="121"/>
      <c r="O37" s="121"/>
      <c r="P37" s="119"/>
      <c r="Q37" s="119"/>
    </row>
    <row r="38" customFormat="false" ht="22.5" hidden="false" customHeight="true" outlineLevel="0" collapsed="false">
      <c r="K38" s="236" t="n">
        <f aca="false">SUM(K25:K37)</f>
        <v>18552.642</v>
      </c>
    </row>
    <row r="40" customFormat="false" ht="28.5" hidden="false" customHeight="false" outlineLevel="0" collapsed="false">
      <c r="A40" s="237" t="s">
        <v>575</v>
      </c>
      <c r="B40" s="237"/>
      <c r="C40" s="237"/>
      <c r="D40" s="237"/>
      <c r="E40" s="237"/>
      <c r="F40" s="237"/>
      <c r="G40" s="237"/>
      <c r="H40" s="237"/>
      <c r="I40" s="237"/>
    </row>
    <row r="41" customFormat="false" ht="30" hidden="false" customHeight="false" outlineLevel="0" collapsed="false">
      <c r="A41" s="238" t="s">
        <v>1</v>
      </c>
      <c r="B41" s="238" t="s">
        <v>2</v>
      </c>
      <c r="C41" s="238" t="s">
        <v>3</v>
      </c>
      <c r="D41" s="238" t="s">
        <v>4</v>
      </c>
      <c r="E41" s="238" t="s">
        <v>5</v>
      </c>
      <c r="F41" s="238" t="s">
        <v>505</v>
      </c>
      <c r="G41" s="238" t="s">
        <v>6</v>
      </c>
      <c r="H41" s="238" t="s">
        <v>506</v>
      </c>
      <c r="I41" s="238" t="s">
        <v>8</v>
      </c>
      <c r="K41" s="186" t="s">
        <v>507</v>
      </c>
      <c r="M41" s="187" t="s">
        <v>190</v>
      </c>
      <c r="N41" s="139" t="s">
        <v>576</v>
      </c>
      <c r="O41" s="139" t="s">
        <v>191</v>
      </c>
      <c r="P41" s="139" t="s">
        <v>509</v>
      </c>
      <c r="Q41" s="139" t="s">
        <v>211</v>
      </c>
    </row>
    <row r="42" customFormat="false" ht="15.75" hidden="false" customHeight="false" outlineLevel="0" collapsed="false">
      <c r="A42" s="119" t="s">
        <v>10</v>
      </c>
      <c r="B42" s="119" t="s">
        <v>577</v>
      </c>
      <c r="C42" s="239" t="s">
        <v>578</v>
      </c>
      <c r="D42" s="240" t="s">
        <v>579</v>
      </c>
      <c r="E42" s="241"/>
      <c r="F42" s="242" t="s">
        <v>511</v>
      </c>
      <c r="G42" s="119"/>
      <c r="H42" s="243"/>
      <c r="I42" s="244" t="n">
        <v>46372</v>
      </c>
      <c r="K42" s="223"/>
      <c r="M42" s="224" t="s">
        <v>512</v>
      </c>
      <c r="N42" s="227" t="s">
        <v>580</v>
      </c>
      <c r="O42" s="227"/>
      <c r="P42" s="119" t="s">
        <v>514</v>
      </c>
      <c r="Q42" s="119"/>
    </row>
    <row r="43" customFormat="false" ht="15.75" hidden="false" customHeight="false" outlineLevel="0" collapsed="false">
      <c r="A43" s="119"/>
      <c r="B43" s="119" t="s">
        <v>581</v>
      </c>
      <c r="C43" s="239" t="s">
        <v>578</v>
      </c>
      <c r="D43" s="240" t="s">
        <v>579</v>
      </c>
      <c r="E43" s="241"/>
      <c r="F43" s="242"/>
      <c r="G43" s="119"/>
      <c r="H43" s="243"/>
      <c r="I43" s="244" t="n">
        <v>46372</v>
      </c>
      <c r="K43" s="223"/>
      <c r="M43" s="224" t="s">
        <v>512</v>
      </c>
      <c r="N43" s="227" t="s">
        <v>580</v>
      </c>
      <c r="O43" s="227"/>
      <c r="P43" s="119" t="s">
        <v>514</v>
      </c>
      <c r="Q43" s="119"/>
    </row>
    <row r="44" customFormat="false" ht="15.75" hidden="false" customHeight="false" outlineLevel="0" collapsed="false">
      <c r="A44" s="119"/>
      <c r="B44" s="119" t="s">
        <v>582</v>
      </c>
      <c r="C44" s="239" t="s">
        <v>578</v>
      </c>
      <c r="D44" s="240" t="s">
        <v>579</v>
      </c>
      <c r="E44" s="241"/>
      <c r="F44" s="242"/>
      <c r="G44" s="119"/>
      <c r="H44" s="243"/>
      <c r="I44" s="244" t="n">
        <v>46372</v>
      </c>
      <c r="K44" s="223"/>
      <c r="M44" s="224" t="s">
        <v>512</v>
      </c>
      <c r="N44" s="227" t="s">
        <v>580</v>
      </c>
      <c r="O44" s="227"/>
      <c r="P44" s="119" t="s">
        <v>514</v>
      </c>
      <c r="Q44" s="119"/>
    </row>
    <row r="45" customFormat="false" ht="15.75" hidden="false" customHeight="false" outlineLevel="0" collapsed="false">
      <c r="A45" s="119" t="s">
        <v>14</v>
      </c>
      <c r="B45" s="119" t="s">
        <v>583</v>
      </c>
      <c r="C45" s="119"/>
      <c r="D45" s="240" t="s">
        <v>584</v>
      </c>
      <c r="E45" s="119" t="n">
        <v>40</v>
      </c>
      <c r="F45" s="119" t="s">
        <v>521</v>
      </c>
      <c r="G45" s="119" t="n">
        <v>5</v>
      </c>
      <c r="H45" s="119" t="n">
        <f aca="false">E45*G45</f>
        <v>200</v>
      </c>
      <c r="I45" s="244" t="n">
        <v>46036</v>
      </c>
      <c r="K45" s="223" t="n">
        <f aca="false">IF( F45="EUR", H45 * $K$1, H45)</f>
        <v>200</v>
      </c>
      <c r="M45" s="224" t="s">
        <v>512</v>
      </c>
      <c r="N45" s="121" t="s">
        <v>585</v>
      </c>
      <c r="O45" s="121"/>
      <c r="P45" s="119" t="s">
        <v>514</v>
      </c>
      <c r="Q45" s="119"/>
    </row>
    <row r="46" customFormat="false" ht="15.75" hidden="false" customHeight="false" outlineLevel="0" collapsed="false">
      <c r="A46" s="119" t="s">
        <v>18</v>
      </c>
      <c r="B46" s="119" t="s">
        <v>586</v>
      </c>
      <c r="C46" s="119"/>
      <c r="D46" s="240" t="s">
        <v>584</v>
      </c>
      <c r="E46" s="119" t="n">
        <v>40</v>
      </c>
      <c r="F46" s="242" t="s">
        <v>521</v>
      </c>
      <c r="G46" s="119" t="n">
        <v>5</v>
      </c>
      <c r="H46" s="119" t="n">
        <f aca="false">E46*G46</f>
        <v>200</v>
      </c>
      <c r="I46" s="244" t="n">
        <v>46036</v>
      </c>
      <c r="K46" s="223" t="n">
        <f aca="false">IF( F46="EUR", H46 * $K$1, H46)</f>
        <v>200</v>
      </c>
      <c r="M46" s="224" t="s">
        <v>512</v>
      </c>
      <c r="N46" s="121" t="s">
        <v>585</v>
      </c>
      <c r="O46" s="121"/>
      <c r="P46" s="119" t="s">
        <v>514</v>
      </c>
      <c r="Q46" s="119"/>
    </row>
    <row r="47" customFormat="false" ht="15.75" hidden="false" customHeight="false" outlineLevel="0" collapsed="false">
      <c r="A47" s="119" t="s">
        <v>21</v>
      </c>
      <c r="B47" s="119"/>
      <c r="C47" s="119"/>
      <c r="D47" s="119"/>
      <c r="E47" s="119"/>
      <c r="F47" s="242"/>
      <c r="G47" s="119"/>
      <c r="H47" s="243"/>
      <c r="I47" s="244"/>
      <c r="K47" s="223"/>
      <c r="M47" s="224"/>
      <c r="N47" s="121"/>
      <c r="O47" s="121"/>
      <c r="P47" s="119"/>
      <c r="Q47" s="119"/>
    </row>
    <row r="48" customFormat="false" ht="15.75" hidden="false" customHeight="false" outlineLevel="0" collapsed="false">
      <c r="A48" s="119" t="s">
        <v>25</v>
      </c>
      <c r="B48" s="119"/>
      <c r="C48" s="119"/>
      <c r="D48" s="119"/>
      <c r="E48" s="242"/>
      <c r="F48" s="242"/>
      <c r="G48" s="119"/>
      <c r="H48" s="243"/>
      <c r="I48" s="244"/>
      <c r="K48" s="223" t="n">
        <f aca="false">IF( F48="EUR", H48 * $K$1, H48)</f>
        <v>0</v>
      </c>
      <c r="M48" s="224"/>
      <c r="N48" s="121"/>
      <c r="O48" s="121"/>
      <c r="P48" s="119"/>
      <c r="Q48" s="119"/>
    </row>
    <row r="49" customFormat="false" ht="15" hidden="false" customHeight="false" outlineLevel="0" collapsed="false">
      <c r="A49" s="119" t="s">
        <v>30</v>
      </c>
      <c r="B49" s="119"/>
      <c r="C49" s="119"/>
      <c r="D49" s="119"/>
      <c r="E49" s="245"/>
      <c r="F49" s="242"/>
      <c r="G49" s="119"/>
      <c r="H49" s="243"/>
      <c r="I49" s="244"/>
      <c r="K49" s="223" t="n">
        <f aca="false">IF( F49="EUR", H49 * $K$1, H49)</f>
        <v>0</v>
      </c>
      <c r="M49" s="17"/>
      <c r="N49" s="121"/>
      <c r="O49" s="121"/>
      <c r="P49" s="119"/>
      <c r="Q49" s="119"/>
    </row>
    <row r="50" customFormat="false" ht="15" hidden="false" customHeight="false" outlineLevel="0" collapsed="false">
      <c r="A50" s="119" t="s">
        <v>34</v>
      </c>
      <c r="B50" s="119"/>
      <c r="C50" s="119"/>
      <c r="D50" s="119"/>
      <c r="E50" s="242"/>
      <c r="F50" s="242"/>
      <c r="G50" s="119"/>
      <c r="H50" s="243"/>
      <c r="I50" s="244"/>
      <c r="K50" s="223" t="n">
        <f aca="false">IF( F50="EUR", H50 * $K$1, H50)</f>
        <v>0</v>
      </c>
      <c r="M50" s="17"/>
      <c r="N50" s="121"/>
      <c r="O50" s="121"/>
      <c r="P50" s="119"/>
      <c r="Q50" s="119"/>
    </row>
    <row r="51" customFormat="false" ht="15" hidden="false" customHeight="false" outlineLevel="0" collapsed="false">
      <c r="A51" s="119" t="s">
        <v>39</v>
      </c>
      <c r="B51" s="119"/>
      <c r="C51" s="119"/>
      <c r="D51" s="119"/>
      <c r="E51" s="245"/>
      <c r="F51" s="242"/>
      <c r="G51" s="119"/>
      <c r="H51" s="243"/>
      <c r="I51" s="244"/>
      <c r="K51" s="223" t="n">
        <f aca="false">IF( F51="EUR", H51 * $K$1, H51)</f>
        <v>0</v>
      </c>
      <c r="M51" s="17"/>
      <c r="N51" s="121"/>
      <c r="O51" s="121"/>
      <c r="P51" s="119"/>
      <c r="Q51" s="119"/>
    </row>
    <row r="52" customFormat="false" ht="15" hidden="false" customHeight="false" outlineLevel="0" collapsed="false">
      <c r="A52" s="119" t="s">
        <v>43</v>
      </c>
      <c r="B52" s="119"/>
      <c r="C52" s="119"/>
      <c r="D52" s="119"/>
      <c r="E52" s="242"/>
      <c r="F52" s="242"/>
      <c r="G52" s="119"/>
      <c r="H52" s="243"/>
      <c r="I52" s="244"/>
      <c r="K52" s="223" t="n">
        <f aca="false">IF( F52="EUR", H52 * $K$1, H52)</f>
        <v>0</v>
      </c>
      <c r="M52" s="17"/>
      <c r="N52" s="121"/>
      <c r="O52" s="121"/>
      <c r="P52" s="119"/>
      <c r="Q52" s="119"/>
    </row>
    <row r="53" customFormat="false" ht="15" hidden="false" customHeight="false" outlineLevel="0" collapsed="false">
      <c r="A53" s="119" t="s">
        <v>45</v>
      </c>
      <c r="B53" s="119"/>
      <c r="C53" s="119"/>
      <c r="D53" s="119"/>
      <c r="E53" s="245"/>
      <c r="F53" s="242"/>
      <c r="G53" s="119"/>
      <c r="H53" s="243"/>
      <c r="I53" s="244"/>
      <c r="K53" s="223" t="n">
        <f aca="false">IF( F53="EUR", H53 * $K$1, H53)</f>
        <v>0</v>
      </c>
      <c r="M53" s="17"/>
      <c r="N53" s="121"/>
      <c r="O53" s="121"/>
      <c r="P53" s="119"/>
      <c r="Q53" s="119"/>
    </row>
    <row r="54" customFormat="false" ht="15" hidden="false" customHeight="false" outlineLevel="0" collapsed="false">
      <c r="A54" s="119" t="s">
        <v>48</v>
      </c>
      <c r="B54" s="119"/>
      <c r="C54" s="119"/>
      <c r="D54" s="119"/>
      <c r="E54" s="245"/>
      <c r="F54" s="242"/>
      <c r="G54" s="119"/>
      <c r="H54" s="243"/>
      <c r="I54" s="244"/>
      <c r="K54" s="223" t="n">
        <f aca="false">IF( F54="EUR", H54 * $K$1, H54)</f>
        <v>0</v>
      </c>
      <c r="M54" s="17"/>
      <c r="N54" s="121"/>
      <c r="O54" s="121"/>
      <c r="P54" s="119"/>
      <c r="Q54" s="119"/>
    </row>
    <row r="55" customFormat="false" ht="15.75" hidden="false" customHeight="false" outlineLevel="0" collapsed="false">
      <c r="A55" s="119" t="s">
        <v>51</v>
      </c>
      <c r="B55" s="119"/>
      <c r="C55" s="119"/>
      <c r="D55" s="119"/>
      <c r="E55" s="242"/>
      <c r="F55" s="242"/>
      <c r="G55" s="119"/>
      <c r="H55" s="243"/>
      <c r="I55" s="244"/>
      <c r="K55" s="235" t="n">
        <f aca="false">IF( F55="EUR", H55 * $K$1, H55)</f>
        <v>0</v>
      </c>
    </row>
    <row r="56" customFormat="false" ht="15.75" hidden="false" customHeight="false" outlineLevel="0" collapsed="false">
      <c r="K56" s="236" t="n">
        <f aca="false">SUM(K42:K55)</f>
        <v>400</v>
      </c>
    </row>
  </sheetData>
  <autoFilter ref="A3:Q20"/>
  <mergeCells count="4">
    <mergeCell ref="A1:I1"/>
    <mergeCell ref="A2:I2"/>
    <mergeCell ref="A23:I23"/>
    <mergeCell ref="A40:I40"/>
  </mergeCells>
  <conditionalFormatting sqref="M4:M20 M25:M32">
    <cfRule type="expression" priority="2" aboveAverage="0" equalAverage="0" bottom="0" percent="0" rank="0" text="" dxfId="9">
      <formula>$M4="TAK"</formula>
    </cfRule>
    <cfRule type="expression" priority="3" aboveAverage="0" equalAverage="0" bottom="0" percent="0" rank="0" text="" dxfId="10">
      <formula>$M4="NIE"</formula>
    </cfRule>
  </conditionalFormatting>
  <conditionalFormatting sqref="M42:M48">
    <cfRule type="expression" priority="4" aboveAverage="0" equalAverage="0" bottom="0" percent="0" rank="0" text="" dxfId="11">
      <formula>$M42="TAK"</formula>
    </cfRule>
    <cfRule type="expression" priority="5" aboveAverage="0" equalAverage="0" bottom="0" percent="0" rank="0" text="" dxfId="12">
      <formula>$M42="NIE"</formula>
    </cfRule>
  </conditionalFormatting>
  <dataValidations count="3">
    <dataValidation allowBlank="true" errorStyle="stop" operator="between" showDropDown="false" showErrorMessage="true" showInputMessage="true" sqref="M4:M20 M25:M32 M42:M48" type="list">
      <formula1>"TAK,NIE"</formula1>
      <formula2>0</formula2>
    </dataValidation>
    <dataValidation allowBlank="true" errorStyle="stop" operator="between" prompt="&#10;Określić na dany miesiąc&#10;" promptTitle="KURS EURO" showDropDown="false" showErrorMessage="true" showInputMessage="true" sqref="K1" type="none">
      <formula1>0</formula1>
      <formula2>0</formula2>
    </dataValidation>
    <dataValidation allowBlank="true" errorStyle="stop" operator="between" showDropDown="false" showErrorMessage="true" showInputMessage="true" sqref="F4:F20 F25:F37" type="list">
      <formula1>"PLN,EUR"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42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B29" activeCellId="0" sqref="B29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30"/>
    <col collapsed="false" customWidth="true" hidden="false" outlineLevel="0" max="4" min="3" style="0" width="15.71"/>
    <col collapsed="false" customWidth="true" hidden="false" outlineLevel="0" max="6" min="5" style="0" width="9.85"/>
    <col collapsed="false" customWidth="true" hidden="false" outlineLevel="0" max="8" min="8" style="0" width="12"/>
    <col collapsed="false" customWidth="true" hidden="false" outlineLevel="0" max="9" min="9" style="0" width="9.43"/>
    <col collapsed="false" customWidth="true" hidden="false" outlineLevel="0" max="10" min="10" style="0" width="6.14"/>
    <col collapsed="false" customWidth="true" hidden="false" outlineLevel="0" max="11" min="11" style="0" width="16.71"/>
    <col collapsed="false" customWidth="true" hidden="false" outlineLevel="0" max="12" min="12" style="0" width="5.28"/>
    <col collapsed="false" customWidth="true" hidden="false" outlineLevel="0" max="13" min="13" style="0" width="11.71"/>
    <col collapsed="false" customWidth="true" hidden="false" outlineLevel="0" max="15" min="14" style="0" width="20.14"/>
    <col collapsed="false" customWidth="true" hidden="false" outlineLevel="0" max="16" min="16" style="0" width="19.14"/>
    <col collapsed="false" customWidth="true" hidden="false" outlineLevel="0" max="17" min="17" style="0" width="46"/>
  </cols>
  <sheetData>
    <row r="1" customFormat="false" ht="39" hidden="false" customHeight="true" outlineLevel="0" collapsed="false">
      <c r="A1" s="1" t="s">
        <v>587</v>
      </c>
      <c r="B1" s="1"/>
      <c r="C1" s="1"/>
      <c r="D1" s="1"/>
      <c r="E1" s="1"/>
      <c r="F1" s="1"/>
      <c r="G1" s="1"/>
      <c r="H1" s="1"/>
      <c r="I1" s="1"/>
      <c r="K1" s="184" t="n">
        <v>4.35</v>
      </c>
    </row>
    <row r="2" customFormat="false" ht="26.25" hidden="false" customHeight="true" outlineLevel="0" collapsed="false">
      <c r="A2" s="1" t="s">
        <v>189</v>
      </c>
      <c r="B2" s="1"/>
      <c r="C2" s="1"/>
      <c r="D2" s="1"/>
      <c r="E2" s="1"/>
      <c r="F2" s="1"/>
      <c r="G2" s="1"/>
      <c r="H2" s="1"/>
      <c r="I2" s="1"/>
    </row>
    <row r="3" customFormat="false" ht="45" hidden="false" customHeight="false" outlineLevel="0" collapsed="false">
      <c r="A3" s="185" t="s">
        <v>1</v>
      </c>
      <c r="B3" s="185" t="s">
        <v>2</v>
      </c>
      <c r="C3" s="185" t="s">
        <v>3</v>
      </c>
      <c r="D3" s="185" t="s">
        <v>4</v>
      </c>
      <c r="E3" s="185" t="s">
        <v>5</v>
      </c>
      <c r="F3" s="185" t="s">
        <v>505</v>
      </c>
      <c r="G3" s="185" t="s">
        <v>6</v>
      </c>
      <c r="H3" s="185" t="s">
        <v>506</v>
      </c>
      <c r="I3" s="185" t="s">
        <v>8</v>
      </c>
      <c r="K3" s="186" t="s">
        <v>507</v>
      </c>
      <c r="M3" s="187" t="s">
        <v>190</v>
      </c>
      <c r="N3" s="139" t="s">
        <v>508</v>
      </c>
      <c r="O3" s="139" t="s">
        <v>191</v>
      </c>
      <c r="P3" s="139" t="s">
        <v>509</v>
      </c>
      <c r="Q3" s="139" t="s">
        <v>211</v>
      </c>
    </row>
    <row r="4" customFormat="false" ht="30" hidden="false" customHeight="false" outlineLevel="0" collapsed="false">
      <c r="A4" s="246" t="n">
        <v>1</v>
      </c>
      <c r="B4" s="247" t="s">
        <v>588</v>
      </c>
      <c r="C4" s="189" t="s">
        <v>106</v>
      </c>
      <c r="D4" s="190" t="s">
        <v>20</v>
      </c>
      <c r="E4" s="191" t="n">
        <v>11.5</v>
      </c>
      <c r="F4" s="192" t="s">
        <v>521</v>
      </c>
      <c r="G4" s="248" t="n">
        <v>250</v>
      </c>
      <c r="H4" s="193" t="n">
        <f aca="false">IF(E4="", "", G4 * E4)</f>
        <v>2875</v>
      </c>
      <c r="I4" s="194" t="n">
        <v>46055</v>
      </c>
      <c r="J4" s="90"/>
      <c r="K4" s="223" t="n">
        <f aca="false">IF( F4="EUR", H4 * $K$1, H4)</f>
        <v>2875</v>
      </c>
      <c r="M4" s="224" t="s">
        <v>512</v>
      </c>
      <c r="N4" s="199" t="s">
        <v>589</v>
      </c>
      <c r="O4" s="249" t="s">
        <v>590</v>
      </c>
      <c r="P4" s="199" t="s">
        <v>514</v>
      </c>
      <c r="Q4" s="119" t="s">
        <v>591</v>
      </c>
    </row>
    <row r="5" customFormat="false" ht="15.75" hidden="false" customHeight="false" outlineLevel="0" collapsed="false">
      <c r="A5" s="246" t="n">
        <v>2</v>
      </c>
      <c r="B5" s="250" t="s">
        <v>592</v>
      </c>
      <c r="C5" s="203" t="s">
        <v>23</v>
      </c>
      <c r="D5" s="190" t="s">
        <v>24</v>
      </c>
      <c r="E5" s="204" t="n">
        <v>3.68</v>
      </c>
      <c r="F5" s="192" t="s">
        <v>511</v>
      </c>
      <c r="G5" s="248" t="n">
        <v>1420</v>
      </c>
      <c r="H5" s="193" t="n">
        <f aca="false">IF(E5="", "", G5 * E5)</f>
        <v>5225.6</v>
      </c>
      <c r="I5" s="194" t="n">
        <v>46055</v>
      </c>
      <c r="J5" s="90"/>
      <c r="K5" s="223" t="n">
        <f aca="false">IF( F5="EUR", H5 * $K$1, H5)</f>
        <v>22731.36</v>
      </c>
      <c r="M5" s="224" t="s">
        <v>512</v>
      </c>
      <c r="N5" s="199" t="s">
        <v>593</v>
      </c>
      <c r="O5" s="249" t="n">
        <v>91185203</v>
      </c>
      <c r="P5" s="199" t="s">
        <v>514</v>
      </c>
      <c r="Q5" s="119" t="s">
        <v>555</v>
      </c>
    </row>
    <row r="6" customFormat="false" ht="15.75" hidden="false" customHeight="false" outlineLevel="0" collapsed="false">
      <c r="A6" s="246" t="n">
        <v>3</v>
      </c>
      <c r="B6" s="250" t="s">
        <v>592</v>
      </c>
      <c r="C6" s="203" t="s">
        <v>23</v>
      </c>
      <c r="D6" s="190" t="s">
        <v>24</v>
      </c>
      <c r="E6" s="204" t="n">
        <v>3.68</v>
      </c>
      <c r="F6" s="192" t="s">
        <v>511</v>
      </c>
      <c r="G6" s="248" t="n">
        <v>15840</v>
      </c>
      <c r="H6" s="193" t="n">
        <f aca="false">IF(E6="", "", G6 * E6)</f>
        <v>58291.2</v>
      </c>
      <c r="I6" s="194" t="n">
        <v>46056</v>
      </c>
      <c r="J6" s="88"/>
      <c r="K6" s="223" t="n">
        <f aca="false">IF( F6="EUR", H6 * $K$1, H6)</f>
        <v>253566.72</v>
      </c>
      <c r="M6" s="224" t="s">
        <v>512</v>
      </c>
      <c r="N6" s="199" t="s">
        <v>593</v>
      </c>
      <c r="O6" s="249" t="n">
        <v>91185309</v>
      </c>
      <c r="P6" s="199" t="s">
        <v>514</v>
      </c>
      <c r="Q6" s="119" t="s">
        <v>555</v>
      </c>
    </row>
    <row r="7" customFormat="false" ht="15.75" hidden="false" customHeight="false" outlineLevel="0" collapsed="false">
      <c r="A7" s="246" t="n">
        <v>4</v>
      </c>
      <c r="B7" s="250" t="s">
        <v>594</v>
      </c>
      <c r="C7" s="203" t="s">
        <v>32</v>
      </c>
      <c r="D7" s="190" t="s">
        <v>54</v>
      </c>
      <c r="E7" s="204" t="n">
        <v>6</v>
      </c>
      <c r="F7" s="205" t="s">
        <v>521</v>
      </c>
      <c r="G7" s="251" t="n">
        <v>6935</v>
      </c>
      <c r="H7" s="193" t="n">
        <f aca="false">IF(E7="", "", G7 * E7)</f>
        <v>41610</v>
      </c>
      <c r="I7" s="194" t="n">
        <v>46057</v>
      </c>
      <c r="J7" s="15"/>
      <c r="K7" s="223" t="n">
        <f aca="false">IF( F7="EUR", H7 * $K$1, H7)</f>
        <v>41610</v>
      </c>
      <c r="L7" s="15"/>
      <c r="M7" s="224" t="s">
        <v>512</v>
      </c>
      <c r="N7" s="199" t="s">
        <v>595</v>
      </c>
      <c r="O7" s="200" t="s">
        <v>557</v>
      </c>
      <c r="P7" s="199" t="s">
        <v>514</v>
      </c>
      <c r="Q7" s="12"/>
    </row>
    <row r="8" customFormat="false" ht="15.75" hidden="false" customHeight="false" outlineLevel="0" collapsed="false">
      <c r="A8" s="246" t="n">
        <v>5</v>
      </c>
      <c r="B8" s="250" t="s">
        <v>594</v>
      </c>
      <c r="C8" s="203" t="s">
        <v>32</v>
      </c>
      <c r="D8" s="190" t="s">
        <v>137</v>
      </c>
      <c r="E8" s="204" t="n">
        <v>6</v>
      </c>
      <c r="F8" s="213" t="s">
        <v>521</v>
      </c>
      <c r="G8" s="251" t="n">
        <v>1200</v>
      </c>
      <c r="H8" s="193" t="n">
        <f aca="false">IF(E8="", "", G8 * E8)</f>
        <v>7200</v>
      </c>
      <c r="I8" s="194" t="n">
        <v>46058</v>
      </c>
      <c r="J8" s="15"/>
      <c r="K8" s="223" t="n">
        <f aca="false">IF( F8="EUR", H8 * $K$1, H8)</f>
        <v>7200</v>
      </c>
      <c r="L8" s="15"/>
      <c r="M8" s="224" t="s">
        <v>512</v>
      </c>
      <c r="N8" s="199" t="s">
        <v>596</v>
      </c>
      <c r="O8" s="200" t="s">
        <v>548</v>
      </c>
      <c r="P8" s="199" t="s">
        <v>514</v>
      </c>
      <c r="Q8" s="252" t="s">
        <v>555</v>
      </c>
    </row>
    <row r="9" customFormat="false" ht="15.75" hidden="false" customHeight="false" outlineLevel="0" collapsed="false">
      <c r="A9" s="246" t="n">
        <v>6</v>
      </c>
      <c r="B9" s="250" t="s">
        <v>49</v>
      </c>
      <c r="C9" s="253" t="s">
        <v>50</v>
      </c>
      <c r="D9" s="190" t="s">
        <v>13</v>
      </c>
      <c r="E9" s="204" t="n">
        <v>1.85</v>
      </c>
      <c r="F9" s="205" t="s">
        <v>511</v>
      </c>
      <c r="G9" s="251" t="n">
        <v>1000</v>
      </c>
      <c r="H9" s="193" t="n">
        <f aca="false">IF(E9="", "", G9 * E9)</f>
        <v>1850</v>
      </c>
      <c r="I9" s="194" t="n">
        <v>46059</v>
      </c>
      <c r="J9" s="90"/>
      <c r="K9" s="223" t="n">
        <f aca="false">IF( F9="EUR", H9 * $K$1, H9)</f>
        <v>8047.5</v>
      </c>
      <c r="M9" s="224" t="s">
        <v>512</v>
      </c>
      <c r="N9" s="199" t="s">
        <v>597</v>
      </c>
      <c r="O9" s="249" t="n">
        <v>26001115</v>
      </c>
      <c r="P9" s="199" t="s">
        <v>514</v>
      </c>
      <c r="Q9" s="119"/>
    </row>
    <row r="10" customFormat="false" ht="15.75" hidden="false" customHeight="false" outlineLevel="0" collapsed="false">
      <c r="A10" s="246" t="n">
        <v>7</v>
      </c>
      <c r="B10" s="254" t="s">
        <v>598</v>
      </c>
      <c r="C10" s="189" t="s">
        <v>32</v>
      </c>
      <c r="D10" s="190" t="s">
        <v>599</v>
      </c>
      <c r="E10" s="191" t="n">
        <v>6.3</v>
      </c>
      <c r="F10" s="192" t="s">
        <v>521</v>
      </c>
      <c r="G10" s="248" t="n">
        <v>4000</v>
      </c>
      <c r="H10" s="193" t="n">
        <f aca="false">IF(E10="", "", G10 * E10)</f>
        <v>25200</v>
      </c>
      <c r="I10" s="194" t="n">
        <v>46062</v>
      </c>
      <c r="J10" s="90"/>
      <c r="K10" s="223" t="n">
        <f aca="false">IF( F10="EUR", H10 * $K$1, H10)</f>
        <v>25200</v>
      </c>
      <c r="M10" s="224" t="s">
        <v>512</v>
      </c>
      <c r="N10" s="199" t="s">
        <v>600</v>
      </c>
      <c r="O10" s="249" t="s">
        <v>601</v>
      </c>
      <c r="P10" s="199" t="s">
        <v>514</v>
      </c>
      <c r="Q10" s="119"/>
    </row>
    <row r="11" customFormat="false" ht="15.75" hidden="false" customHeight="false" outlineLevel="0" collapsed="false">
      <c r="A11" s="246" t="n">
        <v>8</v>
      </c>
      <c r="B11" s="255" t="s">
        <v>602</v>
      </c>
      <c r="C11" s="189" t="s">
        <v>23</v>
      </c>
      <c r="D11" s="190" t="s">
        <v>13</v>
      </c>
      <c r="E11" s="191" t="n">
        <v>3.9</v>
      </c>
      <c r="F11" s="192" t="s">
        <v>511</v>
      </c>
      <c r="G11" s="248" t="n">
        <v>250</v>
      </c>
      <c r="H11" s="193" t="n">
        <f aca="false">IF(E11="", "", G11 * E11)</f>
        <v>975</v>
      </c>
      <c r="I11" s="194" t="n">
        <v>46062</v>
      </c>
      <c r="J11" s="90"/>
      <c r="K11" s="223" t="n">
        <f aca="false">IF( F11="EUR", H11 * $K$1, H11)</f>
        <v>4241.25</v>
      </c>
      <c r="M11" s="224" t="s">
        <v>512</v>
      </c>
      <c r="N11" s="199" t="s">
        <v>603</v>
      </c>
      <c r="O11" s="249" t="n">
        <v>26001121</v>
      </c>
      <c r="P11" s="199" t="s">
        <v>514</v>
      </c>
      <c r="Q11" s="229"/>
    </row>
    <row r="12" customFormat="false" ht="15.75" hidden="false" customHeight="false" outlineLevel="0" collapsed="false">
      <c r="A12" s="246" t="n">
        <v>9</v>
      </c>
      <c r="B12" s="250" t="s">
        <v>594</v>
      </c>
      <c r="C12" s="203" t="s">
        <v>32</v>
      </c>
      <c r="D12" s="190" t="s">
        <v>137</v>
      </c>
      <c r="E12" s="204" t="n">
        <v>6</v>
      </c>
      <c r="F12" s="205" t="s">
        <v>521</v>
      </c>
      <c r="G12" s="251" t="n">
        <v>1500</v>
      </c>
      <c r="H12" s="193" t="n">
        <f aca="false">IF(E12="", "", G12 * E12)</f>
        <v>9000</v>
      </c>
      <c r="I12" s="194" t="n">
        <v>46066</v>
      </c>
      <c r="J12" s="90"/>
      <c r="K12" s="223" t="n">
        <f aca="false">IF( F12="EUR", H12 * $K$1, H12)</f>
        <v>9000</v>
      </c>
      <c r="M12" s="224" t="s">
        <v>512</v>
      </c>
      <c r="N12" s="199" t="s">
        <v>604</v>
      </c>
      <c r="O12" s="127" t="s">
        <v>605</v>
      </c>
      <c r="P12" s="229" t="s">
        <v>514</v>
      </c>
      <c r="Q12" s="119"/>
    </row>
    <row r="13" customFormat="false" ht="15.75" hidden="false" customHeight="false" outlineLevel="0" collapsed="false">
      <c r="A13" s="246" t="n">
        <v>10</v>
      </c>
      <c r="B13" s="250" t="s">
        <v>606</v>
      </c>
      <c r="C13" s="203"/>
      <c r="D13" s="190" t="s">
        <v>607</v>
      </c>
      <c r="E13" s="204" t="n">
        <v>2.75</v>
      </c>
      <c r="F13" s="205" t="s">
        <v>511</v>
      </c>
      <c r="G13" s="251" t="n">
        <v>1000</v>
      </c>
      <c r="H13" s="193" t="n">
        <f aca="false">IF(E13="", "", G13 * E13)</f>
        <v>2750</v>
      </c>
      <c r="I13" s="194" t="n">
        <v>46069</v>
      </c>
      <c r="J13" s="37"/>
      <c r="K13" s="223" t="n">
        <f aca="false">IF( F13="EUR", H13 * $K$1, H13)</f>
        <v>11962.5</v>
      </c>
      <c r="M13" s="224" t="s">
        <v>512</v>
      </c>
      <c r="N13" s="199" t="s">
        <v>608</v>
      </c>
      <c r="O13" s="142" t="n">
        <v>1299360</v>
      </c>
      <c r="P13" s="229" t="s">
        <v>514</v>
      </c>
      <c r="Q13" s="119"/>
    </row>
    <row r="14" customFormat="false" ht="15.75" hidden="false" customHeight="false" outlineLevel="0" collapsed="false">
      <c r="A14" s="246" t="n">
        <v>11</v>
      </c>
      <c r="B14" s="250" t="s">
        <v>594</v>
      </c>
      <c r="C14" s="203" t="s">
        <v>32</v>
      </c>
      <c r="D14" s="190" t="s">
        <v>137</v>
      </c>
      <c r="E14" s="204" t="n">
        <v>6</v>
      </c>
      <c r="F14" s="205" t="s">
        <v>521</v>
      </c>
      <c r="G14" s="251" t="n">
        <v>1500</v>
      </c>
      <c r="H14" s="193" t="n">
        <f aca="false">IF(E14="", "", G14 * E14)</f>
        <v>9000</v>
      </c>
      <c r="I14" s="194" t="n">
        <v>46071</v>
      </c>
      <c r="J14" s="37"/>
      <c r="K14" s="223" t="n">
        <f aca="false">IF( F14="EUR", H14 * $K$1, H14)</f>
        <v>9000</v>
      </c>
      <c r="M14" s="224" t="s">
        <v>512</v>
      </c>
      <c r="N14" s="199" t="s">
        <v>609</v>
      </c>
      <c r="O14" s="127" t="s">
        <v>605</v>
      </c>
      <c r="P14" s="229" t="s">
        <v>514</v>
      </c>
      <c r="Q14" s="119"/>
    </row>
    <row r="15" customFormat="false" ht="15.75" hidden="false" customHeight="false" outlineLevel="0" collapsed="false">
      <c r="A15" s="246" t="n">
        <v>12</v>
      </c>
      <c r="B15" s="255" t="s">
        <v>610</v>
      </c>
      <c r="C15" s="189"/>
      <c r="D15" s="190" t="s">
        <v>611</v>
      </c>
      <c r="E15" s="191" t="n">
        <v>2</v>
      </c>
      <c r="F15" s="192" t="s">
        <v>511</v>
      </c>
      <c r="G15" s="248" t="n">
        <v>1000</v>
      </c>
      <c r="H15" s="193" t="n">
        <f aca="false">IF(E15="", "", G15 * E15)</f>
        <v>2000</v>
      </c>
      <c r="I15" s="194" t="n">
        <v>46078</v>
      </c>
      <c r="J15" s="90"/>
      <c r="K15" s="223" t="n">
        <f aca="false">IF( F15="EUR", H15 * $K$1, H15)</f>
        <v>8700</v>
      </c>
      <c r="M15" s="224" t="s">
        <v>512</v>
      </c>
      <c r="N15" s="199" t="s">
        <v>612</v>
      </c>
      <c r="O15" s="127" t="s">
        <v>613</v>
      </c>
      <c r="P15" s="229" t="s">
        <v>514</v>
      </c>
      <c r="Q15" s="119"/>
    </row>
    <row r="16" customFormat="false" ht="16.5" hidden="false" customHeight="false" outlineLevel="0" collapsed="false">
      <c r="A16" s="246" t="n">
        <v>13</v>
      </c>
      <c r="B16" s="255" t="s">
        <v>614</v>
      </c>
      <c r="C16" s="189"/>
      <c r="D16" s="190" t="s">
        <v>611</v>
      </c>
      <c r="E16" s="191" t="n">
        <v>2</v>
      </c>
      <c r="F16" s="192" t="s">
        <v>511</v>
      </c>
      <c r="G16" s="248" t="n">
        <v>1000</v>
      </c>
      <c r="H16" s="193" t="n">
        <f aca="false">IF(E16="", "", G16 * E16)</f>
        <v>2000</v>
      </c>
      <c r="I16" s="194" t="n">
        <v>46078</v>
      </c>
      <c r="J16" s="90"/>
      <c r="K16" s="223" t="n">
        <f aca="false">IF( F16="EUR", H16 * $K$1, H16)</f>
        <v>8700</v>
      </c>
      <c r="M16" s="224" t="s">
        <v>512</v>
      </c>
      <c r="N16" s="199" t="s">
        <v>612</v>
      </c>
      <c r="O16" s="127" t="s">
        <v>613</v>
      </c>
      <c r="P16" s="229" t="s">
        <v>514</v>
      </c>
      <c r="Q16" s="229"/>
    </row>
    <row r="17" customFormat="false" ht="19.5" hidden="false" customHeight="false" outlineLevel="0" collapsed="false">
      <c r="B17" s="19"/>
      <c r="C17" s="19"/>
      <c r="D17" s="19"/>
      <c r="E17" s="19"/>
      <c r="F17" s="19"/>
      <c r="G17" s="19"/>
      <c r="H17" s="19"/>
      <c r="I17" s="19"/>
      <c r="K17" s="256" t="n">
        <f aca="false">SUM(K4:K16)</f>
        <v>412834.33</v>
      </c>
    </row>
    <row r="18" customFormat="false" ht="15" hidden="false" customHeight="false" outlineLevel="0" collapsed="false">
      <c r="K18" s="18"/>
    </row>
    <row r="19" customFormat="false" ht="26.25" hidden="false" customHeight="true" outlineLevel="0" collapsed="false">
      <c r="A19" s="1" t="s">
        <v>210</v>
      </c>
      <c r="B19" s="1"/>
      <c r="C19" s="1"/>
      <c r="D19" s="1"/>
      <c r="E19" s="1"/>
      <c r="F19" s="1"/>
      <c r="G19" s="1"/>
      <c r="H19" s="1"/>
      <c r="I19" s="1"/>
    </row>
    <row r="20" customFormat="false" ht="45" hidden="false" customHeight="false" outlineLevel="0" collapsed="false">
      <c r="A20" s="185" t="s">
        <v>1</v>
      </c>
      <c r="B20" s="185" t="s">
        <v>2</v>
      </c>
      <c r="C20" s="185" t="s">
        <v>3</v>
      </c>
      <c r="D20" s="185" t="s">
        <v>4</v>
      </c>
      <c r="E20" s="185" t="s">
        <v>5</v>
      </c>
      <c r="F20" s="185" t="s">
        <v>505</v>
      </c>
      <c r="G20" s="185" t="s">
        <v>6</v>
      </c>
      <c r="H20" s="185" t="s">
        <v>506</v>
      </c>
      <c r="I20" s="185" t="s">
        <v>8</v>
      </c>
      <c r="K20" s="186" t="s">
        <v>507</v>
      </c>
      <c r="M20" s="187" t="s">
        <v>190</v>
      </c>
      <c r="N20" s="139" t="s">
        <v>558</v>
      </c>
      <c r="O20" s="139" t="s">
        <v>191</v>
      </c>
      <c r="P20" s="139" t="s">
        <v>509</v>
      </c>
      <c r="Q20" s="139" t="s">
        <v>211</v>
      </c>
    </row>
    <row r="21" customFormat="false" ht="15.75" hidden="false" customHeight="false" outlineLevel="0" collapsed="false">
      <c r="A21" s="12" t="n">
        <v>1</v>
      </c>
      <c r="B21" s="257" t="s">
        <v>615</v>
      </c>
      <c r="C21" s="2" t="s">
        <v>23</v>
      </c>
      <c r="D21" s="233" t="s">
        <v>306</v>
      </c>
      <c r="E21" s="67" t="n">
        <v>49.9</v>
      </c>
      <c r="F21" s="221" t="s">
        <v>521</v>
      </c>
      <c r="G21" s="2" t="n">
        <v>80</v>
      </c>
      <c r="H21" s="222" t="n">
        <f aca="false">IF(E21="", "", G21 * E21)</f>
        <v>3992</v>
      </c>
      <c r="I21" s="74" t="n">
        <v>46058</v>
      </c>
      <c r="K21" s="223" t="n">
        <f aca="false">IF( F21="EUR", H21 * $K$1, H21)</f>
        <v>3992</v>
      </c>
      <c r="M21" s="224" t="s">
        <v>512</v>
      </c>
      <c r="N21" s="121" t="s">
        <v>616</v>
      </c>
      <c r="O21" s="225" t="s">
        <v>617</v>
      </c>
      <c r="P21" s="119" t="s">
        <v>618</v>
      </c>
      <c r="Q21" s="119" t="s">
        <v>619</v>
      </c>
    </row>
    <row r="22" customFormat="false" ht="15.75" hidden="false" customHeight="false" outlineLevel="0" collapsed="false">
      <c r="A22" s="12" t="n">
        <v>2</v>
      </c>
      <c r="B22" s="258" t="s">
        <v>620</v>
      </c>
      <c r="C22" s="2" t="s">
        <v>23</v>
      </c>
      <c r="D22" s="220" t="s">
        <v>212</v>
      </c>
      <c r="E22" s="67" t="n">
        <v>49.29</v>
      </c>
      <c r="F22" s="221" t="s">
        <v>521</v>
      </c>
      <c r="G22" s="2" t="n">
        <v>72</v>
      </c>
      <c r="H22" s="222" t="n">
        <f aca="false">IF(E22="", "", G22 * E22)</f>
        <v>3548.88</v>
      </c>
      <c r="I22" s="74" t="n">
        <v>46064</v>
      </c>
      <c r="K22" s="223" t="n">
        <f aca="false">IF( F22="EUR", H22 * $K$1, H22)</f>
        <v>3548.88</v>
      </c>
      <c r="M22" s="224" t="s">
        <v>512</v>
      </c>
      <c r="N22" s="121" t="s">
        <v>621</v>
      </c>
      <c r="O22" s="225" t="s">
        <v>622</v>
      </c>
      <c r="P22" s="119" t="s">
        <v>618</v>
      </c>
      <c r="Q22" s="119" t="s">
        <v>623</v>
      </c>
    </row>
    <row r="23" customFormat="false" ht="15.75" hidden="false" customHeight="false" outlineLevel="0" collapsed="false">
      <c r="A23" s="12" t="n">
        <v>3</v>
      </c>
      <c r="B23" s="257" t="s">
        <v>615</v>
      </c>
      <c r="C23" s="2" t="s">
        <v>23</v>
      </c>
      <c r="D23" s="233" t="s">
        <v>306</v>
      </c>
      <c r="E23" s="67" t="n">
        <v>49.9</v>
      </c>
      <c r="F23" s="221" t="s">
        <v>521</v>
      </c>
      <c r="G23" s="2" t="n">
        <v>20</v>
      </c>
      <c r="H23" s="222" t="n">
        <f aca="false">IF(E23="", "", G23 * E23)</f>
        <v>998</v>
      </c>
      <c r="I23" s="74" t="n">
        <v>46065</v>
      </c>
      <c r="K23" s="223" t="n">
        <f aca="false">IF( F23="EUR", H23 * $K$1, H23)</f>
        <v>998</v>
      </c>
      <c r="M23" s="224" t="s">
        <v>512</v>
      </c>
      <c r="N23" s="138" t="s">
        <v>624</v>
      </c>
      <c r="O23" s="225" t="s">
        <v>625</v>
      </c>
      <c r="P23" s="119" t="s">
        <v>618</v>
      </c>
      <c r="Q23" s="119" t="s">
        <v>626</v>
      </c>
    </row>
    <row r="24" customFormat="false" ht="15.75" hidden="false" customHeight="false" outlineLevel="0" collapsed="false">
      <c r="A24" s="12" t="n">
        <v>4</v>
      </c>
      <c r="B24" s="259" t="s">
        <v>627</v>
      </c>
      <c r="C24" s="2" t="s">
        <v>23</v>
      </c>
      <c r="D24" s="233" t="s">
        <v>306</v>
      </c>
      <c r="E24" s="67" t="n">
        <v>30</v>
      </c>
      <c r="F24" s="221" t="s">
        <v>521</v>
      </c>
      <c r="G24" s="2" t="n">
        <v>25</v>
      </c>
      <c r="H24" s="222" t="n">
        <f aca="false">IF(E24="", "", G24 * E24)</f>
        <v>750</v>
      </c>
      <c r="I24" s="74" t="n">
        <v>46069</v>
      </c>
      <c r="K24" s="223" t="n">
        <f aca="false">IF( F24="EUR", H24 * $K$1, H24)</f>
        <v>750</v>
      </c>
      <c r="M24" s="224" t="s">
        <v>512</v>
      </c>
      <c r="N24" s="227" t="s">
        <v>628</v>
      </c>
      <c r="O24" s="225" t="s">
        <v>629</v>
      </c>
      <c r="P24" s="229" t="s">
        <v>618</v>
      </c>
      <c r="Q24" s="119"/>
    </row>
    <row r="25" customFormat="false" ht="15.75" hidden="false" customHeight="false" outlineLevel="0" collapsed="false">
      <c r="A25" s="12" t="n">
        <v>5</v>
      </c>
      <c r="B25" s="240" t="s">
        <v>630</v>
      </c>
      <c r="C25" s="2" t="s">
        <v>23</v>
      </c>
      <c r="D25" s="233" t="s">
        <v>306</v>
      </c>
      <c r="E25" s="67" t="n">
        <v>21.55</v>
      </c>
      <c r="F25" s="221" t="s">
        <v>521</v>
      </c>
      <c r="G25" s="2" t="n">
        <v>25</v>
      </c>
      <c r="H25" s="222" t="n">
        <f aca="false">IF(E25="", "", G25 * E25)</f>
        <v>538.75</v>
      </c>
      <c r="I25" s="74" t="n">
        <v>46069</v>
      </c>
      <c r="K25" s="223" t="n">
        <f aca="false">IF( F25="EUR", H25 * $K$1, H25)</f>
        <v>538.75</v>
      </c>
      <c r="M25" s="224" t="s">
        <v>512</v>
      </c>
      <c r="N25" s="227" t="s">
        <v>628</v>
      </c>
      <c r="O25" s="225" t="s">
        <v>629</v>
      </c>
      <c r="P25" s="229" t="s">
        <v>618</v>
      </c>
      <c r="Q25" s="119"/>
    </row>
    <row r="26" customFormat="false" ht="15.75" hidden="false" customHeight="false" outlineLevel="0" collapsed="false">
      <c r="A26" s="12" t="n">
        <v>6</v>
      </c>
      <c r="B26" s="240" t="s">
        <v>631</v>
      </c>
      <c r="C26" s="2" t="s">
        <v>23</v>
      </c>
      <c r="D26" s="233" t="s">
        <v>306</v>
      </c>
      <c r="E26" s="67" t="n">
        <v>29.9</v>
      </c>
      <c r="F26" s="221" t="s">
        <v>521</v>
      </c>
      <c r="G26" s="2" t="n">
        <v>25</v>
      </c>
      <c r="H26" s="222" t="n">
        <f aca="false">IF(E26="", "", G26 * E26)</f>
        <v>747.5</v>
      </c>
      <c r="I26" s="74" t="n">
        <v>46069</v>
      </c>
      <c r="K26" s="223" t="n">
        <f aca="false">IF( F26="EUR", H26 * $K$1, H26)</f>
        <v>747.5</v>
      </c>
      <c r="M26" s="224" t="s">
        <v>512</v>
      </c>
      <c r="N26" s="227" t="s">
        <v>632</v>
      </c>
      <c r="O26" s="225" t="s">
        <v>629</v>
      </c>
      <c r="P26" s="229" t="s">
        <v>618</v>
      </c>
      <c r="Q26" s="119"/>
    </row>
    <row r="27" customFormat="false" ht="15" hidden="false" customHeight="true" outlineLevel="0" collapsed="false">
      <c r="A27" s="12" t="n">
        <v>7</v>
      </c>
      <c r="B27" s="260" t="s">
        <v>562</v>
      </c>
      <c r="C27" s="2" t="s">
        <v>32</v>
      </c>
      <c r="D27" s="220" t="s">
        <v>157</v>
      </c>
      <c r="E27" s="67" t="n">
        <v>14.64</v>
      </c>
      <c r="F27" s="221" t="s">
        <v>511</v>
      </c>
      <c r="G27" s="2" t="n">
        <v>250</v>
      </c>
      <c r="H27" s="222" t="n">
        <f aca="false">IF(E27="", "", G27 * E27)</f>
        <v>3660</v>
      </c>
      <c r="I27" s="74" t="n">
        <v>46073</v>
      </c>
      <c r="K27" s="223" t="n">
        <f aca="false">IF( F27="EUR", H27 * $K$1, H27)</f>
        <v>15921</v>
      </c>
      <c r="M27" s="224" t="s">
        <v>512</v>
      </c>
      <c r="N27" s="121" t="s">
        <v>633</v>
      </c>
      <c r="O27" s="225" t="s">
        <v>634</v>
      </c>
      <c r="P27" s="119" t="s">
        <v>618</v>
      </c>
      <c r="Q27" s="119"/>
    </row>
    <row r="28" customFormat="false" ht="15.75" hidden="false" customHeight="false" outlineLevel="0" collapsed="false">
      <c r="A28" s="12" t="n">
        <v>8</v>
      </c>
      <c r="B28" s="240" t="s">
        <v>635</v>
      </c>
      <c r="C28" s="2" t="s">
        <v>23</v>
      </c>
      <c r="D28" s="220" t="s">
        <v>212</v>
      </c>
      <c r="E28" s="67" t="n">
        <v>34.86</v>
      </c>
      <c r="F28" s="221" t="s">
        <v>521</v>
      </c>
      <c r="G28" s="2" t="n">
        <v>100</v>
      </c>
      <c r="H28" s="222" t="n">
        <f aca="false">IF(E28="", "", G28 * E28)</f>
        <v>3486</v>
      </c>
      <c r="I28" s="74" t="n">
        <v>46073</v>
      </c>
      <c r="K28" s="223" t="n">
        <f aca="false">IF( F28="EUR", H28 * $K$1, H28)</f>
        <v>3486</v>
      </c>
      <c r="M28" s="224" t="s">
        <v>512</v>
      </c>
      <c r="N28" s="121" t="s">
        <v>621</v>
      </c>
      <c r="O28" s="225" t="s">
        <v>636</v>
      </c>
      <c r="P28" s="119" t="s">
        <v>618</v>
      </c>
      <c r="Q28" s="119" t="s">
        <v>623</v>
      </c>
    </row>
    <row r="29" customFormat="false" ht="16.5" hidden="false" customHeight="false" outlineLevel="0" collapsed="false">
      <c r="A29" s="12" t="n">
        <v>9</v>
      </c>
      <c r="B29" s="257" t="s">
        <v>615</v>
      </c>
      <c r="C29" s="2" t="s">
        <v>23</v>
      </c>
      <c r="D29" s="233" t="s">
        <v>306</v>
      </c>
      <c r="E29" s="67" t="n">
        <v>49.9</v>
      </c>
      <c r="F29" s="221" t="s">
        <v>521</v>
      </c>
      <c r="G29" s="2" t="n">
        <v>100</v>
      </c>
      <c r="H29" s="222" t="n">
        <f aca="false">IF(E29="", "", G29 * E29)</f>
        <v>4990</v>
      </c>
      <c r="I29" s="74" t="n">
        <v>46073</v>
      </c>
      <c r="K29" s="223" t="n">
        <f aca="false">IF( F29="EUR", H29 * $K$1, H29)</f>
        <v>4990</v>
      </c>
      <c r="M29" s="224" t="s">
        <v>512</v>
      </c>
      <c r="N29" s="138" t="s">
        <v>624</v>
      </c>
      <c r="O29" s="225" t="s">
        <v>637</v>
      </c>
      <c r="P29" s="119" t="s">
        <v>618</v>
      </c>
      <c r="Q29" s="119"/>
    </row>
    <row r="30" customFormat="false" ht="15.75" hidden="false" customHeight="false" outlineLevel="0" collapsed="false">
      <c r="K30" s="261" t="n">
        <f aca="false">SUM(K21:K29)</f>
        <v>34972.13</v>
      </c>
    </row>
    <row r="32" customFormat="false" ht="28.5" hidden="false" customHeight="false" outlineLevel="0" collapsed="false">
      <c r="A32" s="237" t="s">
        <v>575</v>
      </c>
      <c r="B32" s="237"/>
      <c r="C32" s="237"/>
      <c r="D32" s="237"/>
      <c r="E32" s="237"/>
      <c r="F32" s="237"/>
      <c r="G32" s="237"/>
      <c r="H32" s="237"/>
      <c r="I32" s="237"/>
    </row>
    <row r="33" customFormat="false" ht="45" hidden="false" customHeight="false" outlineLevel="0" collapsed="false">
      <c r="A33" s="238" t="s">
        <v>1</v>
      </c>
      <c r="B33" s="238" t="s">
        <v>2</v>
      </c>
      <c r="C33" s="238" t="s">
        <v>3</v>
      </c>
      <c r="D33" s="238" t="s">
        <v>4</v>
      </c>
      <c r="E33" s="238" t="s">
        <v>5</v>
      </c>
      <c r="F33" s="238" t="s">
        <v>505</v>
      </c>
      <c r="G33" s="238" t="s">
        <v>6</v>
      </c>
      <c r="H33" s="238" t="s">
        <v>506</v>
      </c>
      <c r="I33" s="238" t="s">
        <v>8</v>
      </c>
      <c r="K33" s="186" t="s">
        <v>507</v>
      </c>
      <c r="M33" s="187" t="s">
        <v>190</v>
      </c>
      <c r="N33" s="139" t="s">
        <v>576</v>
      </c>
      <c r="O33" s="139" t="s">
        <v>191</v>
      </c>
      <c r="P33" s="139" t="s">
        <v>509</v>
      </c>
      <c r="Q33" s="139" t="s">
        <v>211</v>
      </c>
    </row>
    <row r="34" customFormat="false" ht="15.75" hidden="false" customHeight="false" outlineLevel="0" collapsed="false">
      <c r="A34" s="119" t="s">
        <v>10</v>
      </c>
      <c r="B34" s="119"/>
      <c r="C34" s="239"/>
      <c r="E34" s="241"/>
      <c r="F34" s="242"/>
      <c r="G34" s="119"/>
      <c r="H34" s="243"/>
      <c r="I34" s="244"/>
      <c r="K34" s="223"/>
      <c r="M34" s="224"/>
      <c r="N34" s="227"/>
      <c r="O34" s="227"/>
      <c r="P34" s="229"/>
      <c r="Q34" s="119"/>
    </row>
    <row r="35" customFormat="false" ht="15" hidden="false" customHeight="false" outlineLevel="0" collapsed="false">
      <c r="A35" s="119" t="s">
        <v>14</v>
      </c>
      <c r="B35" s="119"/>
      <c r="C35" s="119"/>
      <c r="D35" s="119"/>
      <c r="E35" s="119"/>
      <c r="F35" s="119"/>
      <c r="G35" s="119"/>
      <c r="H35" s="119"/>
      <c r="I35" s="244"/>
      <c r="K35" s="223"/>
      <c r="M35" s="17"/>
      <c r="N35" s="121"/>
      <c r="O35" s="121"/>
      <c r="P35" s="119"/>
      <c r="Q35" s="119"/>
    </row>
    <row r="36" customFormat="false" ht="15" hidden="false" customHeight="false" outlineLevel="0" collapsed="false">
      <c r="A36" s="119" t="s">
        <v>18</v>
      </c>
      <c r="B36" s="119"/>
      <c r="C36" s="119"/>
      <c r="D36" s="119"/>
      <c r="E36" s="119"/>
      <c r="F36" s="242"/>
      <c r="G36" s="119"/>
      <c r="H36" s="119"/>
      <c r="I36" s="244"/>
      <c r="K36" s="223"/>
      <c r="M36" s="17"/>
      <c r="N36" s="121"/>
      <c r="O36" s="121"/>
      <c r="P36" s="119"/>
      <c r="Q36" s="119"/>
    </row>
    <row r="37" customFormat="false" ht="15" hidden="false" customHeight="false" outlineLevel="0" collapsed="false">
      <c r="A37" s="119" t="s">
        <v>21</v>
      </c>
      <c r="B37" s="119"/>
      <c r="C37" s="119"/>
      <c r="D37" s="119"/>
      <c r="E37" s="119"/>
      <c r="F37" s="242"/>
      <c r="G37" s="119"/>
      <c r="H37" s="243"/>
      <c r="I37" s="244"/>
      <c r="K37" s="223"/>
      <c r="M37" s="17"/>
      <c r="N37" s="121"/>
      <c r="O37" s="121"/>
      <c r="P37" s="119"/>
      <c r="Q37" s="119"/>
    </row>
    <row r="38" customFormat="false" ht="15" hidden="false" customHeight="false" outlineLevel="0" collapsed="false">
      <c r="A38" s="119" t="s">
        <v>25</v>
      </c>
      <c r="B38" s="119"/>
      <c r="C38" s="119"/>
      <c r="D38" s="119"/>
      <c r="E38" s="242"/>
      <c r="F38" s="242"/>
      <c r="G38" s="119"/>
      <c r="H38" s="243"/>
      <c r="I38" s="244"/>
      <c r="K38" s="223"/>
      <c r="M38" s="17"/>
      <c r="N38" s="121"/>
      <c r="O38" s="121"/>
      <c r="P38" s="119"/>
      <c r="Q38" s="119"/>
    </row>
    <row r="39" customFormat="false" ht="15" hidden="false" customHeight="false" outlineLevel="0" collapsed="false">
      <c r="A39" s="119" t="s">
        <v>30</v>
      </c>
      <c r="B39" s="119"/>
      <c r="C39" s="119"/>
      <c r="D39" s="119"/>
      <c r="E39" s="245"/>
      <c r="F39" s="242"/>
      <c r="G39" s="119"/>
      <c r="H39" s="243"/>
      <c r="I39" s="244"/>
      <c r="K39" s="223"/>
      <c r="M39" s="17"/>
      <c r="N39" s="121"/>
      <c r="O39" s="121"/>
      <c r="P39" s="119"/>
      <c r="Q39" s="119"/>
    </row>
    <row r="40" customFormat="false" ht="15" hidden="false" customHeight="false" outlineLevel="0" collapsed="false">
      <c r="A40" s="119" t="s">
        <v>34</v>
      </c>
      <c r="B40" s="119"/>
      <c r="C40" s="119"/>
      <c r="D40" s="119"/>
      <c r="E40" s="242"/>
      <c r="F40" s="242"/>
      <c r="G40" s="119"/>
      <c r="H40" s="243"/>
      <c r="I40" s="244"/>
      <c r="K40" s="223"/>
      <c r="M40" s="17"/>
      <c r="N40" s="121"/>
      <c r="O40" s="121"/>
      <c r="P40" s="119"/>
      <c r="Q40" s="119"/>
    </row>
    <row r="41" customFormat="false" ht="15.75" hidden="false" customHeight="false" outlineLevel="0" collapsed="false">
      <c r="A41" s="119" t="s">
        <v>39</v>
      </c>
      <c r="B41" s="119"/>
      <c r="C41" s="119"/>
      <c r="D41" s="119"/>
      <c r="E41" s="245"/>
      <c r="F41" s="242"/>
      <c r="G41" s="119"/>
      <c r="H41" s="243"/>
      <c r="I41" s="244"/>
      <c r="K41" s="223"/>
      <c r="M41" s="17"/>
      <c r="N41" s="121"/>
      <c r="O41" s="121"/>
      <c r="P41" s="119"/>
      <c r="Q41" s="119"/>
    </row>
    <row r="42" customFormat="false" ht="15.75" hidden="false" customHeight="false" outlineLevel="0" collapsed="false">
      <c r="K42" s="236" t="n">
        <f aca="false">SUM(K34:K41)</f>
        <v>0</v>
      </c>
    </row>
  </sheetData>
  <autoFilter ref="A3:Q16"/>
  <mergeCells count="4">
    <mergeCell ref="A1:I1"/>
    <mergeCell ref="A2:I2"/>
    <mergeCell ref="A19:I19"/>
    <mergeCell ref="A32:I32"/>
  </mergeCells>
  <conditionalFormatting sqref="M4:M16 M21:M29">
    <cfRule type="expression" priority="2" aboveAverage="0" equalAverage="0" bottom="0" percent="0" rank="0" text="" dxfId="13">
      <formula>$M4="TAK"</formula>
    </cfRule>
    <cfRule type="expression" priority="3" aboveAverage="0" equalAverage="0" bottom="0" percent="0" rank="0" text="" dxfId="14">
      <formula>$M4="NIE"</formula>
    </cfRule>
  </conditionalFormatting>
  <conditionalFormatting sqref="M34">
    <cfRule type="expression" priority="4" aboveAverage="0" equalAverage="0" bottom="0" percent="0" rank="0" text="" dxfId="15">
      <formula>$M34="TAK"</formula>
    </cfRule>
    <cfRule type="expression" priority="5" aboveAverage="0" equalAverage="0" bottom="0" percent="0" rank="0" text="" dxfId="16">
      <formula>$M34="NIE"</formula>
    </cfRule>
  </conditionalFormatting>
  <dataValidations count="3">
    <dataValidation allowBlank="true" errorStyle="stop" operator="between" prompt="&#10;Określić na dany miesiąc&#10;" promptTitle="KURS EURO" showDropDown="false" showErrorMessage="true" showInputMessage="true" sqref="K1" type="none">
      <formula1>0</formula1>
      <formula2>0</formula2>
    </dataValidation>
    <dataValidation allowBlank="true" errorStyle="stop" operator="between" showDropDown="false" showErrorMessage="true" showInputMessage="true" sqref="F4:F16 F21:F29" type="list">
      <formula1>"PLN,EUR"</formula1>
      <formula2>0</formula2>
    </dataValidation>
    <dataValidation allowBlank="true" errorStyle="stop" operator="between" showDropDown="false" showErrorMessage="true" showInputMessage="true" sqref="M4:M16 M21:M29 M34" type="list">
      <formula1>"TAK,NIE"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6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5" activeCellId="0" sqref="E25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41.85"/>
    <col collapsed="false" customWidth="true" hidden="false" outlineLevel="0" max="3" min="3" style="0" width="20.57"/>
    <col collapsed="false" customWidth="true" hidden="false" outlineLevel="0" max="4" min="4" style="0" width="16.57"/>
    <col collapsed="false" customWidth="true" hidden="false" outlineLevel="0" max="6" min="5" style="0" width="9.85"/>
    <col collapsed="false" customWidth="true" hidden="false" outlineLevel="0" max="8" min="8" style="0" width="12"/>
    <col collapsed="false" customWidth="true" hidden="false" outlineLevel="0" max="9" min="9" style="0" width="9.43"/>
    <col collapsed="false" customWidth="true" hidden="false" outlineLevel="0" max="10" min="10" style="0" width="6.57"/>
    <col collapsed="false" customWidth="true" hidden="false" outlineLevel="0" max="11" min="11" style="0" width="16.71"/>
    <col collapsed="false" customWidth="true" hidden="false" outlineLevel="0" max="12" min="12" style="0" width="6.14"/>
    <col collapsed="false" customWidth="true" hidden="false" outlineLevel="0" max="13" min="13" style="0" width="11.71"/>
    <col collapsed="false" customWidth="true" hidden="false" outlineLevel="0" max="15" min="14" style="0" width="20.14"/>
    <col collapsed="false" customWidth="true" hidden="false" outlineLevel="0" max="16" min="16" style="0" width="19.14"/>
    <col collapsed="false" customWidth="true" hidden="false" outlineLevel="0" max="17" min="17" style="0" width="35.43"/>
  </cols>
  <sheetData>
    <row r="1" customFormat="false" ht="40.5" hidden="false" customHeight="true" outlineLevel="0" collapsed="false">
      <c r="A1" s="262" t="s">
        <v>638</v>
      </c>
      <c r="B1" s="262"/>
      <c r="C1" s="262"/>
      <c r="D1" s="262"/>
      <c r="E1" s="262"/>
      <c r="F1" s="262"/>
      <c r="G1" s="262"/>
      <c r="H1" s="262"/>
      <c r="I1" s="262"/>
      <c r="K1" s="184" t="n">
        <v>4.35</v>
      </c>
    </row>
    <row r="2" customFormat="false" ht="26.25" hidden="false" customHeight="true" outlineLevel="0" collapsed="false">
      <c r="A2" s="262" t="s">
        <v>189</v>
      </c>
      <c r="B2" s="262"/>
      <c r="C2" s="262"/>
      <c r="D2" s="262"/>
      <c r="E2" s="262"/>
      <c r="F2" s="262"/>
      <c r="G2" s="262"/>
      <c r="H2" s="262"/>
      <c r="I2" s="262"/>
    </row>
    <row r="3" customFormat="false" ht="45" hidden="false" customHeight="false" outlineLevel="0" collapsed="false">
      <c r="A3" s="185" t="s">
        <v>1</v>
      </c>
      <c r="B3" s="185" t="s">
        <v>2</v>
      </c>
      <c r="C3" s="185" t="s">
        <v>3</v>
      </c>
      <c r="D3" s="185" t="s">
        <v>4</v>
      </c>
      <c r="E3" s="185" t="s">
        <v>5</v>
      </c>
      <c r="F3" s="185" t="s">
        <v>505</v>
      </c>
      <c r="G3" s="185" t="s">
        <v>6</v>
      </c>
      <c r="H3" s="185" t="s">
        <v>506</v>
      </c>
      <c r="I3" s="185" t="s">
        <v>8</v>
      </c>
      <c r="K3" s="186" t="s">
        <v>507</v>
      </c>
      <c r="M3" s="187" t="s">
        <v>190</v>
      </c>
      <c r="N3" s="139" t="s">
        <v>508</v>
      </c>
      <c r="O3" s="139" t="s">
        <v>191</v>
      </c>
      <c r="P3" s="139" t="s">
        <v>509</v>
      </c>
      <c r="Q3" s="139" t="s">
        <v>211</v>
      </c>
    </row>
    <row r="4" s="20" customFormat="true" ht="13.5" hidden="false" customHeight="false" outlineLevel="0" collapsed="false">
      <c r="A4" s="39" t="n">
        <v>1</v>
      </c>
      <c r="B4" s="263" t="s">
        <v>639</v>
      </c>
      <c r="C4" s="89" t="s">
        <v>531</v>
      </c>
      <c r="D4" s="264" t="s">
        <v>37</v>
      </c>
      <c r="E4" s="265" t="n">
        <v>4.2</v>
      </c>
      <c r="F4" s="175" t="s">
        <v>521</v>
      </c>
      <c r="G4" s="266" t="n">
        <v>1000</v>
      </c>
      <c r="H4" s="222" t="n">
        <f aca="false">IF(E4="","",G4*E4)</f>
        <v>4200</v>
      </c>
      <c r="I4" s="267" t="n">
        <v>46083</v>
      </c>
      <c r="J4" s="268"/>
      <c r="K4" s="269" t="n">
        <f aca="false">IF( F4="EUR", H4 * $K$1, H4)</f>
        <v>4200</v>
      </c>
      <c r="M4" s="270" t="s">
        <v>512</v>
      </c>
      <c r="N4" s="271" t="s">
        <v>640</v>
      </c>
      <c r="O4" s="272" t="s">
        <v>641</v>
      </c>
      <c r="P4" s="273" t="s">
        <v>514</v>
      </c>
      <c r="Q4" s="170" t="s">
        <v>642</v>
      </c>
    </row>
    <row r="5" s="20" customFormat="true" ht="13.5" hidden="false" customHeight="false" outlineLevel="0" collapsed="false">
      <c r="A5" s="39" t="n">
        <v>2</v>
      </c>
      <c r="B5" s="263" t="s">
        <v>639</v>
      </c>
      <c r="C5" s="89" t="s">
        <v>531</v>
      </c>
      <c r="D5" s="264" t="s">
        <v>37</v>
      </c>
      <c r="E5" s="265" t="n">
        <v>4.2</v>
      </c>
      <c r="F5" s="175" t="s">
        <v>521</v>
      </c>
      <c r="G5" s="266" t="n">
        <v>2000</v>
      </c>
      <c r="H5" s="222" t="n">
        <f aca="false">IF(E5="","",G5*E5)</f>
        <v>8400</v>
      </c>
      <c r="I5" s="267" t="n">
        <v>46084</v>
      </c>
      <c r="J5" s="268"/>
      <c r="K5" s="269" t="n">
        <f aca="false">IF( F5="EUR", H5 * $K$1, H5)</f>
        <v>8400</v>
      </c>
      <c r="M5" s="270" t="s">
        <v>512</v>
      </c>
      <c r="N5" s="271" t="s">
        <v>640</v>
      </c>
      <c r="O5" s="272" t="s">
        <v>641</v>
      </c>
      <c r="P5" s="273" t="s">
        <v>514</v>
      </c>
      <c r="Q5" s="170" t="s">
        <v>643</v>
      </c>
    </row>
    <row r="6" s="20" customFormat="true" ht="18.75" hidden="false" customHeight="true" outlineLevel="0" collapsed="false">
      <c r="A6" s="39" t="n">
        <v>3</v>
      </c>
      <c r="B6" s="274" t="s">
        <v>644</v>
      </c>
      <c r="C6" s="151" t="s">
        <v>50</v>
      </c>
      <c r="D6" s="264" t="s">
        <v>13</v>
      </c>
      <c r="E6" s="265" t="n">
        <v>1.85</v>
      </c>
      <c r="F6" s="275" t="s">
        <v>511</v>
      </c>
      <c r="G6" s="266" t="n">
        <v>1250</v>
      </c>
      <c r="H6" s="222" t="n">
        <f aca="false">IF(E6="","",G6*E6)</f>
        <v>2312.5</v>
      </c>
      <c r="I6" s="267" t="n">
        <v>46085</v>
      </c>
      <c r="J6" s="268"/>
      <c r="K6" s="269" t="n">
        <f aca="false">IF( F6="EUR", H6 * $K$1, H6)</f>
        <v>10059.375</v>
      </c>
      <c r="M6" s="270" t="s">
        <v>512</v>
      </c>
      <c r="N6" s="271" t="s">
        <v>645</v>
      </c>
      <c r="O6" s="60" t="n">
        <v>26002149</v>
      </c>
      <c r="P6" s="273" t="s">
        <v>514</v>
      </c>
      <c r="Q6" s="170"/>
    </row>
    <row r="7" s="20" customFormat="true" ht="13.5" hidden="false" customHeight="false" outlineLevel="0" collapsed="false">
      <c r="A7" s="39" t="n">
        <v>4</v>
      </c>
      <c r="B7" s="276" t="s">
        <v>646</v>
      </c>
      <c r="C7" s="151" t="s">
        <v>106</v>
      </c>
      <c r="D7" s="264" t="s">
        <v>20</v>
      </c>
      <c r="E7" s="265" t="n">
        <v>13</v>
      </c>
      <c r="F7" s="275" t="s">
        <v>521</v>
      </c>
      <c r="G7" s="266" t="n">
        <v>300</v>
      </c>
      <c r="H7" s="222" t="n">
        <f aca="false">IF(E7="","",G7*E7)</f>
        <v>3900</v>
      </c>
      <c r="I7" s="267" t="n">
        <v>46090</v>
      </c>
      <c r="J7" s="268"/>
      <c r="K7" s="269" t="n">
        <f aca="false">IF( F7="EUR", H7 * $K$1, H7)</f>
        <v>3900</v>
      </c>
      <c r="M7" s="270" t="s">
        <v>512</v>
      </c>
      <c r="N7" s="277" t="s">
        <v>647</v>
      </c>
      <c r="O7" s="272" t="s">
        <v>648</v>
      </c>
      <c r="P7" s="273" t="s">
        <v>514</v>
      </c>
      <c r="Q7" s="170"/>
    </row>
    <row r="8" s="20" customFormat="true" ht="13.5" hidden="false" customHeight="false" outlineLevel="0" collapsed="false">
      <c r="A8" s="39" t="n">
        <v>5</v>
      </c>
      <c r="B8" s="278" t="s">
        <v>649</v>
      </c>
      <c r="C8" s="89" t="s">
        <v>650</v>
      </c>
      <c r="D8" s="264" t="s">
        <v>20</v>
      </c>
      <c r="E8" s="265" t="n">
        <v>11.5</v>
      </c>
      <c r="F8" s="275" t="s">
        <v>521</v>
      </c>
      <c r="G8" s="266" t="n">
        <v>300</v>
      </c>
      <c r="H8" s="222" t="n">
        <f aca="false">IF(E8="","",G8*E8)</f>
        <v>3450</v>
      </c>
      <c r="I8" s="267" t="n">
        <v>46091</v>
      </c>
      <c r="J8" s="268"/>
      <c r="K8" s="269" t="n">
        <f aca="false">IF( F8="EUR", H8 * $K$1, H8)</f>
        <v>3450</v>
      </c>
      <c r="M8" s="270" t="s">
        <v>512</v>
      </c>
      <c r="N8" s="271" t="s">
        <v>651</v>
      </c>
      <c r="O8" s="272" t="s">
        <v>648</v>
      </c>
      <c r="P8" s="273" t="s">
        <v>514</v>
      </c>
      <c r="Q8" s="170"/>
    </row>
    <row r="9" s="20" customFormat="true" ht="13.5" hidden="false" customHeight="false" outlineLevel="0" collapsed="false">
      <c r="A9" s="39" t="n">
        <v>6</v>
      </c>
      <c r="B9" s="279" t="s">
        <v>652</v>
      </c>
      <c r="C9" s="89" t="s">
        <v>41</v>
      </c>
      <c r="D9" s="264" t="s">
        <v>20</v>
      </c>
      <c r="E9" s="265" t="n">
        <v>6.1</v>
      </c>
      <c r="F9" s="275" t="s">
        <v>521</v>
      </c>
      <c r="G9" s="266" t="n">
        <v>2750</v>
      </c>
      <c r="H9" s="222" t="n">
        <f aca="false">IF(E9="","",G9*E9)</f>
        <v>16775</v>
      </c>
      <c r="I9" s="267" t="s">
        <v>653</v>
      </c>
      <c r="J9" s="268"/>
      <c r="K9" s="269" t="n">
        <f aca="false">IF( F9="EUR", H9 * $K$1, H9)</f>
        <v>16775</v>
      </c>
      <c r="M9" s="270" t="s">
        <v>512</v>
      </c>
      <c r="N9" s="271" t="s">
        <v>654</v>
      </c>
      <c r="O9" s="280" t="s">
        <v>655</v>
      </c>
      <c r="P9" s="273" t="s">
        <v>514</v>
      </c>
      <c r="Q9" s="273"/>
    </row>
    <row r="10" s="20" customFormat="true" ht="13.5" hidden="false" customHeight="false" outlineLevel="0" collapsed="false">
      <c r="A10" s="39" t="n">
        <v>7</v>
      </c>
      <c r="B10" s="281" t="s">
        <v>656</v>
      </c>
      <c r="C10" s="89" t="s">
        <v>41</v>
      </c>
      <c r="D10" s="264" t="s">
        <v>69</v>
      </c>
      <c r="E10" s="265" t="n">
        <v>5.8</v>
      </c>
      <c r="F10" s="275" t="s">
        <v>521</v>
      </c>
      <c r="G10" s="266" t="n">
        <v>5500</v>
      </c>
      <c r="H10" s="222" t="n">
        <f aca="false">IF(E10="","",G10*E10)</f>
        <v>31900</v>
      </c>
      <c r="I10" s="267" t="n">
        <v>46093</v>
      </c>
      <c r="J10" s="37"/>
      <c r="K10" s="269" t="n">
        <f aca="false">IF( F10="EUR", H10 * $K$1, H10)</f>
        <v>31900</v>
      </c>
      <c r="M10" s="270" t="s">
        <v>512</v>
      </c>
      <c r="N10" s="273" t="s">
        <v>657</v>
      </c>
      <c r="O10" s="280" t="s">
        <v>658</v>
      </c>
      <c r="P10" s="273" t="s">
        <v>514</v>
      </c>
      <c r="Q10" s="170"/>
    </row>
    <row r="11" s="20" customFormat="true" ht="13.5" hidden="false" customHeight="false" outlineLevel="0" collapsed="false">
      <c r="A11" s="39" t="n">
        <v>8</v>
      </c>
      <c r="B11" s="282" t="s">
        <v>659</v>
      </c>
      <c r="C11" s="89" t="s">
        <v>23</v>
      </c>
      <c r="D11" s="264" t="s">
        <v>95</v>
      </c>
      <c r="E11" s="265" t="n">
        <v>2.97</v>
      </c>
      <c r="F11" s="275" t="s">
        <v>511</v>
      </c>
      <c r="G11" s="266" t="n">
        <v>3000</v>
      </c>
      <c r="H11" s="222" t="n">
        <f aca="false">IF(E11="","",G11*E11)</f>
        <v>8910</v>
      </c>
      <c r="I11" s="267" t="n">
        <v>46094</v>
      </c>
      <c r="J11" s="268"/>
      <c r="K11" s="269" t="n">
        <f aca="false">IF( F11="EUR", H11 * $K$1, H11)</f>
        <v>38758.5</v>
      </c>
      <c r="M11" s="270" t="s">
        <v>512</v>
      </c>
      <c r="N11" s="271" t="s">
        <v>660</v>
      </c>
      <c r="O11" s="272" t="s">
        <v>661</v>
      </c>
      <c r="P11" s="273" t="s">
        <v>514</v>
      </c>
      <c r="Q11" s="280"/>
    </row>
    <row r="12" s="20" customFormat="true" ht="13.5" hidden="false" customHeight="false" outlineLevel="0" collapsed="false">
      <c r="A12" s="39" t="n">
        <v>9</v>
      </c>
      <c r="B12" s="279" t="s">
        <v>662</v>
      </c>
      <c r="C12" s="89" t="s">
        <v>136</v>
      </c>
      <c r="D12" s="264" t="s">
        <v>37</v>
      </c>
      <c r="E12" s="265" t="n">
        <v>5.2</v>
      </c>
      <c r="F12" s="275" t="s">
        <v>521</v>
      </c>
      <c r="G12" s="266" t="n">
        <v>5000</v>
      </c>
      <c r="H12" s="222" t="n">
        <f aca="false">IF(E12="","",G12*E12)</f>
        <v>26000</v>
      </c>
      <c r="I12" s="267" t="n">
        <v>46094</v>
      </c>
      <c r="J12" s="37"/>
      <c r="K12" s="269" t="n">
        <f aca="false">IF( F12="EUR", H12 * $K$1, H12)</f>
        <v>26000</v>
      </c>
      <c r="M12" s="270" t="s">
        <v>512</v>
      </c>
      <c r="N12" s="283" t="s">
        <v>663</v>
      </c>
      <c r="O12" s="272" t="s">
        <v>664</v>
      </c>
      <c r="P12" s="273" t="s">
        <v>514</v>
      </c>
      <c r="Q12" s="170"/>
    </row>
    <row r="13" s="20" customFormat="true" ht="13.5" hidden="false" customHeight="false" outlineLevel="0" collapsed="false">
      <c r="A13" s="39" t="n">
        <v>10</v>
      </c>
      <c r="B13" s="263" t="s">
        <v>665</v>
      </c>
      <c r="C13" s="89" t="s">
        <v>32</v>
      </c>
      <c r="D13" s="264" t="s">
        <v>137</v>
      </c>
      <c r="E13" s="265" t="n">
        <v>6</v>
      </c>
      <c r="F13" s="284" t="s">
        <v>521</v>
      </c>
      <c r="G13" s="266" t="n">
        <v>1500</v>
      </c>
      <c r="H13" s="222" t="n">
        <f aca="false">IF(E13="","",G13*E13)</f>
        <v>9000</v>
      </c>
      <c r="I13" s="267" t="n">
        <v>46097</v>
      </c>
      <c r="J13" s="38"/>
      <c r="K13" s="269" t="n">
        <f aca="false">IF( F13="EUR", H13 * $K$1, H13)</f>
        <v>9000</v>
      </c>
      <c r="L13" s="38"/>
      <c r="M13" s="270" t="s">
        <v>512</v>
      </c>
      <c r="N13" s="271" t="s">
        <v>666</v>
      </c>
      <c r="O13" s="89" t="s">
        <v>667</v>
      </c>
      <c r="P13" s="273" t="s">
        <v>514</v>
      </c>
      <c r="Q13" s="89"/>
    </row>
    <row r="14" s="20" customFormat="true" ht="13.5" hidden="false" customHeight="false" outlineLevel="0" collapsed="false">
      <c r="A14" s="39" t="n">
        <v>11</v>
      </c>
      <c r="B14" s="263" t="s">
        <v>639</v>
      </c>
      <c r="C14" s="89" t="s">
        <v>531</v>
      </c>
      <c r="D14" s="264" t="s">
        <v>37</v>
      </c>
      <c r="E14" s="265" t="n">
        <v>4.2</v>
      </c>
      <c r="F14" s="275" t="s">
        <v>521</v>
      </c>
      <c r="G14" s="266" t="n">
        <v>4000</v>
      </c>
      <c r="H14" s="222" t="n">
        <f aca="false">IF(E14="","",G14*E14)</f>
        <v>16800</v>
      </c>
      <c r="I14" s="267" t="n">
        <v>46097</v>
      </c>
      <c r="J14" s="285"/>
      <c r="K14" s="269" t="n">
        <f aca="false">IF( F14="EUR", H14 * $K$1, H14)</f>
        <v>16800</v>
      </c>
      <c r="M14" s="270" t="s">
        <v>512</v>
      </c>
      <c r="N14" s="271" t="s">
        <v>640</v>
      </c>
      <c r="O14" s="272" t="s">
        <v>668</v>
      </c>
      <c r="P14" s="273" t="s">
        <v>514</v>
      </c>
      <c r="Q14" s="170"/>
    </row>
    <row r="15" s="20" customFormat="true" ht="13.5" hidden="false" customHeight="false" outlineLevel="0" collapsed="false">
      <c r="A15" s="39" t="n">
        <v>12</v>
      </c>
      <c r="B15" s="279" t="s">
        <v>669</v>
      </c>
      <c r="C15" s="89"/>
      <c r="D15" s="264" t="s">
        <v>670</v>
      </c>
      <c r="E15" s="265" t="n">
        <v>12.19</v>
      </c>
      <c r="F15" s="275" t="s">
        <v>521</v>
      </c>
      <c r="G15" s="266" t="n">
        <v>2025</v>
      </c>
      <c r="H15" s="222" t="n">
        <f aca="false">IF(E15="","",G15*E15)</f>
        <v>24684.75</v>
      </c>
      <c r="I15" s="267" t="n">
        <v>46098</v>
      </c>
      <c r="J15" s="268"/>
      <c r="K15" s="269" t="n">
        <f aca="false">IF( F15="EUR", H15 * $K$1, H15)</f>
        <v>24684.75</v>
      </c>
      <c r="M15" s="270" t="s">
        <v>512</v>
      </c>
      <c r="N15" s="271" t="s">
        <v>671</v>
      </c>
      <c r="O15" s="20" t="s">
        <v>672</v>
      </c>
      <c r="P15" s="273" t="s">
        <v>514</v>
      </c>
      <c r="Q15" s="170"/>
    </row>
    <row r="16" s="20" customFormat="true" ht="13.5" hidden="false" customHeight="false" outlineLevel="0" collapsed="false">
      <c r="A16" s="39" t="n">
        <v>13</v>
      </c>
      <c r="B16" s="286" t="s">
        <v>673</v>
      </c>
      <c r="C16" s="89"/>
      <c r="D16" s="264" t="s">
        <v>66</v>
      </c>
      <c r="E16" s="265" t="n">
        <v>2.75</v>
      </c>
      <c r="F16" s="284" t="s">
        <v>511</v>
      </c>
      <c r="G16" s="266" t="n">
        <v>1000</v>
      </c>
      <c r="H16" s="222" t="n">
        <f aca="false">IF(E16="","",G16*E16)</f>
        <v>2750</v>
      </c>
      <c r="I16" s="267" t="n">
        <v>46098</v>
      </c>
      <c r="J16" s="60"/>
      <c r="K16" s="269" t="n">
        <f aca="false">IF( F16="EUR", H16 * $K$1, H16)</f>
        <v>11962.5</v>
      </c>
      <c r="M16" s="270" t="s">
        <v>512</v>
      </c>
      <c r="N16" s="273" t="s">
        <v>674</v>
      </c>
      <c r="O16" s="280" t="n">
        <v>1300741</v>
      </c>
      <c r="P16" s="287" t="s">
        <v>514</v>
      </c>
      <c r="Q16" s="170"/>
    </row>
    <row r="17" s="20" customFormat="true" ht="13.5" hidden="false" customHeight="false" outlineLevel="0" collapsed="false">
      <c r="A17" s="39" t="n">
        <v>14</v>
      </c>
      <c r="B17" s="279" t="s">
        <v>675</v>
      </c>
      <c r="C17" s="89" t="s">
        <v>41</v>
      </c>
      <c r="D17" s="264" t="s">
        <v>69</v>
      </c>
      <c r="E17" s="265" t="n">
        <v>5.5</v>
      </c>
      <c r="F17" s="275" t="s">
        <v>521</v>
      </c>
      <c r="G17" s="266" t="n">
        <v>675</v>
      </c>
      <c r="H17" s="222" t="n">
        <f aca="false">IF(E17="","",G17*E17)</f>
        <v>3712.5</v>
      </c>
      <c r="I17" s="267" t="n">
        <v>46098</v>
      </c>
      <c r="J17" s="37"/>
      <c r="K17" s="269" t="n">
        <f aca="false">IF( F17="EUR", H17 * $K$1, H17)</f>
        <v>3712.5</v>
      </c>
      <c r="M17" s="270" t="s">
        <v>512</v>
      </c>
      <c r="N17" s="273" t="s">
        <v>676</v>
      </c>
      <c r="O17" s="280" t="s">
        <v>658</v>
      </c>
      <c r="P17" s="273" t="s">
        <v>514</v>
      </c>
      <c r="Q17" s="170"/>
    </row>
    <row r="18" s="20" customFormat="true" ht="13.5" hidden="false" customHeight="false" outlineLevel="0" collapsed="false">
      <c r="A18" s="39" t="n">
        <v>15</v>
      </c>
      <c r="B18" s="282" t="s">
        <v>659</v>
      </c>
      <c r="C18" s="89" t="s">
        <v>23</v>
      </c>
      <c r="D18" s="264" t="s">
        <v>95</v>
      </c>
      <c r="E18" s="265" t="n">
        <v>2.97</v>
      </c>
      <c r="F18" s="275" t="s">
        <v>511</v>
      </c>
      <c r="G18" s="266" t="n">
        <v>3000</v>
      </c>
      <c r="H18" s="222" t="n">
        <f aca="false">IF(E18="","",G18*E18)</f>
        <v>8910</v>
      </c>
      <c r="I18" s="267" t="n">
        <v>46101</v>
      </c>
      <c r="J18" s="268"/>
      <c r="K18" s="269" t="n">
        <f aca="false">IF( F18="EUR", H18 * $K$1, H18)</f>
        <v>38758.5</v>
      </c>
      <c r="M18" s="270" t="s">
        <v>512</v>
      </c>
      <c r="N18" s="271" t="s">
        <v>660</v>
      </c>
      <c r="O18" s="272" t="s">
        <v>677</v>
      </c>
      <c r="P18" s="273" t="s">
        <v>514</v>
      </c>
      <c r="Q18" s="170"/>
    </row>
    <row r="19" s="20" customFormat="true" ht="13.5" hidden="false" customHeight="false" outlineLevel="0" collapsed="false">
      <c r="A19" s="39" t="n">
        <v>16</v>
      </c>
      <c r="B19" s="288" t="s">
        <v>639</v>
      </c>
      <c r="C19" s="89" t="s">
        <v>678</v>
      </c>
      <c r="D19" s="264" t="s">
        <v>37</v>
      </c>
      <c r="E19" s="265" t="n">
        <v>4.2</v>
      </c>
      <c r="F19" s="275" t="s">
        <v>521</v>
      </c>
      <c r="G19" s="266" t="n">
        <v>2000</v>
      </c>
      <c r="H19" s="222" t="n">
        <f aca="false">IF(E19="","",G19*E19)</f>
        <v>8400</v>
      </c>
      <c r="I19" s="267" t="n">
        <v>46101</v>
      </c>
      <c r="J19" s="37"/>
      <c r="K19" s="269" t="n">
        <f aca="false">IF( F19="EUR", H19 * $K$1, H19)</f>
        <v>8400</v>
      </c>
      <c r="M19" s="270" t="s">
        <v>512</v>
      </c>
      <c r="N19" s="271" t="s">
        <v>679</v>
      </c>
      <c r="O19" s="272" t="s">
        <v>680</v>
      </c>
      <c r="P19" s="273" t="s">
        <v>514</v>
      </c>
      <c r="Q19" s="170" t="s">
        <v>681</v>
      </c>
    </row>
    <row r="20" s="20" customFormat="true" ht="13.5" hidden="false" customHeight="false" outlineLevel="0" collapsed="false">
      <c r="A20" s="39" t="n">
        <v>17</v>
      </c>
      <c r="B20" s="288" t="s">
        <v>639</v>
      </c>
      <c r="C20" s="89" t="s">
        <v>678</v>
      </c>
      <c r="D20" s="264" t="s">
        <v>37</v>
      </c>
      <c r="E20" s="265" t="n">
        <v>4.2</v>
      </c>
      <c r="F20" s="275" t="s">
        <v>521</v>
      </c>
      <c r="G20" s="266" t="n">
        <v>1000</v>
      </c>
      <c r="H20" s="222" t="n">
        <f aca="false">IF(E20="","",G20*E20)</f>
        <v>4200</v>
      </c>
      <c r="I20" s="267" t="n">
        <v>46104</v>
      </c>
      <c r="J20" s="37"/>
      <c r="K20" s="269" t="n">
        <f aca="false">IF( F20="EUR", H20 * $K$1, H20)</f>
        <v>4200</v>
      </c>
      <c r="M20" s="270" t="s">
        <v>512</v>
      </c>
      <c r="N20" s="271" t="s">
        <v>679</v>
      </c>
      <c r="O20" s="272" t="s">
        <v>680</v>
      </c>
      <c r="P20" s="273" t="s">
        <v>514</v>
      </c>
      <c r="Q20" s="170" t="s">
        <v>682</v>
      </c>
    </row>
    <row r="21" s="20" customFormat="true" ht="13.5" hidden="false" customHeight="false" outlineLevel="0" collapsed="false">
      <c r="A21" s="39" t="n">
        <v>18</v>
      </c>
      <c r="B21" s="263" t="s">
        <v>665</v>
      </c>
      <c r="C21" s="89" t="s">
        <v>32</v>
      </c>
      <c r="D21" s="264" t="s">
        <v>137</v>
      </c>
      <c r="E21" s="265" t="n">
        <v>6</v>
      </c>
      <c r="F21" s="284" t="s">
        <v>521</v>
      </c>
      <c r="G21" s="266" t="n">
        <v>1500</v>
      </c>
      <c r="H21" s="222" t="n">
        <f aca="false">IF(E21="","",G21*E21)</f>
        <v>9000</v>
      </c>
      <c r="I21" s="267" t="n">
        <v>46104</v>
      </c>
      <c r="J21" s="38"/>
      <c r="K21" s="269" t="n">
        <f aca="false">IF( F21="EUR", H21 * $K$1, H21)</f>
        <v>9000</v>
      </c>
      <c r="L21" s="38"/>
      <c r="M21" s="270" t="s">
        <v>512</v>
      </c>
      <c r="N21" s="271" t="s">
        <v>666</v>
      </c>
      <c r="O21" s="89" t="s">
        <v>683</v>
      </c>
      <c r="P21" s="273" t="s">
        <v>514</v>
      </c>
      <c r="Q21" s="89"/>
    </row>
    <row r="22" s="20" customFormat="true" ht="13.5" hidden="false" customHeight="false" outlineLevel="0" collapsed="false">
      <c r="A22" s="39" t="n">
        <v>19</v>
      </c>
      <c r="B22" s="279" t="s">
        <v>675</v>
      </c>
      <c r="C22" s="89" t="s">
        <v>41</v>
      </c>
      <c r="D22" s="264" t="s">
        <v>69</v>
      </c>
      <c r="E22" s="265" t="n">
        <v>5.5</v>
      </c>
      <c r="F22" s="275" t="s">
        <v>521</v>
      </c>
      <c r="G22" s="266" t="n">
        <v>1375</v>
      </c>
      <c r="H22" s="222" t="n">
        <f aca="false">IF(E22="","",G22*E22)</f>
        <v>7562.5</v>
      </c>
      <c r="I22" s="267" t="s">
        <v>684</v>
      </c>
      <c r="J22" s="37"/>
      <c r="K22" s="269" t="n">
        <f aca="false">IF( F22="EUR", H22 * $K$1, H22)</f>
        <v>7562.5</v>
      </c>
      <c r="M22" s="270" t="s">
        <v>512</v>
      </c>
      <c r="N22" s="273" t="s">
        <v>685</v>
      </c>
      <c r="O22" s="280" t="s">
        <v>686</v>
      </c>
      <c r="P22" s="287" t="s">
        <v>514</v>
      </c>
      <c r="Q22" s="170"/>
    </row>
    <row r="23" s="20" customFormat="true" ht="13.5" hidden="false" customHeight="false" outlineLevel="0" collapsed="false">
      <c r="A23" s="39" t="n">
        <v>20</v>
      </c>
      <c r="B23" s="279" t="s">
        <v>652</v>
      </c>
      <c r="C23" s="89" t="s">
        <v>41</v>
      </c>
      <c r="D23" s="264" t="s">
        <v>69</v>
      </c>
      <c r="E23" s="265" t="n">
        <v>6</v>
      </c>
      <c r="F23" s="89" t="s">
        <v>521</v>
      </c>
      <c r="G23" s="266" t="n">
        <v>4125</v>
      </c>
      <c r="H23" s="222" t="n">
        <f aca="false">IF(E23="","",G23*E23)</f>
        <v>24750</v>
      </c>
      <c r="I23" s="267" t="s">
        <v>687</v>
      </c>
      <c r="J23" s="268"/>
      <c r="K23" s="269" t="n">
        <f aca="false">IF( F23="EUR", H23 * $K$1, H23)</f>
        <v>24750</v>
      </c>
      <c r="M23" s="270" t="s">
        <v>512</v>
      </c>
      <c r="N23" s="273" t="s">
        <v>688</v>
      </c>
      <c r="O23" s="280" t="s">
        <v>689</v>
      </c>
      <c r="P23" s="287" t="s">
        <v>514</v>
      </c>
      <c r="Q23" s="170"/>
    </row>
    <row r="24" s="20" customFormat="true" ht="13.5" hidden="false" customHeight="false" outlineLevel="0" collapsed="false">
      <c r="A24" s="39" t="n">
        <v>21</v>
      </c>
      <c r="B24" s="279" t="s">
        <v>675</v>
      </c>
      <c r="C24" s="89" t="s">
        <v>12</v>
      </c>
      <c r="D24" s="264" t="s">
        <v>20</v>
      </c>
      <c r="E24" s="265" t="n">
        <v>5.8</v>
      </c>
      <c r="F24" s="89" t="s">
        <v>521</v>
      </c>
      <c r="G24" s="266" t="n">
        <v>1375</v>
      </c>
      <c r="H24" s="222" t="n">
        <f aca="false">IF(E24="","",G24*E24)</f>
        <v>7975</v>
      </c>
      <c r="I24" s="267" t="n">
        <v>46104</v>
      </c>
      <c r="J24" s="268"/>
      <c r="K24" s="269" t="n">
        <f aca="false">IF( F24="EUR", H24 * $K$1, H24)</f>
        <v>7975</v>
      </c>
      <c r="M24" s="270" t="s">
        <v>512</v>
      </c>
      <c r="N24" s="273" t="s">
        <v>690</v>
      </c>
      <c r="O24" s="280" t="s">
        <v>691</v>
      </c>
      <c r="P24" s="287" t="s">
        <v>514</v>
      </c>
      <c r="Q24" s="170"/>
    </row>
    <row r="25" s="20" customFormat="true" ht="13.5" hidden="false" customHeight="false" outlineLevel="0" collapsed="false">
      <c r="A25" s="39" t="n">
        <v>22</v>
      </c>
      <c r="B25" s="279" t="s">
        <v>181</v>
      </c>
      <c r="C25" s="89"/>
      <c r="D25" s="264" t="s">
        <v>20</v>
      </c>
      <c r="E25" s="265" t="n">
        <v>10.4</v>
      </c>
      <c r="F25" s="284" t="s">
        <v>521</v>
      </c>
      <c r="G25" s="266" t="n">
        <v>1000</v>
      </c>
      <c r="H25" s="222" t="n">
        <f aca="false">IF(E25="","",G25*E25)</f>
        <v>10400</v>
      </c>
      <c r="I25" s="267" t="n">
        <v>46104</v>
      </c>
      <c r="J25" s="60"/>
      <c r="K25" s="269" t="n">
        <f aca="false">IF( F25="EUR", H25 * $K$1, H25)</f>
        <v>10400</v>
      </c>
      <c r="M25" s="270" t="s">
        <v>512</v>
      </c>
      <c r="N25" s="273" t="s">
        <v>692</v>
      </c>
      <c r="O25" s="280" t="s">
        <v>691</v>
      </c>
      <c r="P25" s="273" t="s">
        <v>514</v>
      </c>
      <c r="Q25" s="170"/>
    </row>
    <row r="26" s="20" customFormat="true" ht="13.5" hidden="false" customHeight="false" outlineLevel="0" collapsed="false">
      <c r="A26" s="39" t="n">
        <v>23</v>
      </c>
      <c r="B26" s="286" t="s">
        <v>693</v>
      </c>
      <c r="C26" s="89" t="s">
        <v>16</v>
      </c>
      <c r="D26" s="264" t="s">
        <v>17</v>
      </c>
      <c r="E26" s="265" t="n">
        <v>14.5</v>
      </c>
      <c r="F26" s="275" t="s">
        <v>521</v>
      </c>
      <c r="G26" s="266" t="n">
        <v>500</v>
      </c>
      <c r="H26" s="222" t="n">
        <f aca="false">IF(E26="","",G26*E26)</f>
        <v>7250</v>
      </c>
      <c r="I26" s="267" t="s">
        <v>694</v>
      </c>
      <c r="J26" s="289"/>
      <c r="K26" s="269" t="n">
        <f aca="false">IF( F26="EUR", H26 * $K$1, H26)</f>
        <v>7250</v>
      </c>
      <c r="M26" s="270" t="s">
        <v>512</v>
      </c>
      <c r="N26" s="273" t="s">
        <v>695</v>
      </c>
      <c r="O26" s="271" t="s">
        <v>696</v>
      </c>
      <c r="P26" s="273" t="s">
        <v>514</v>
      </c>
      <c r="Q26" s="170"/>
    </row>
    <row r="27" s="20" customFormat="true" ht="13.5" hidden="false" customHeight="false" outlineLevel="0" collapsed="false">
      <c r="A27" s="39" t="n">
        <v>24</v>
      </c>
      <c r="B27" s="279" t="s">
        <v>697</v>
      </c>
      <c r="C27" s="89" t="s">
        <v>23</v>
      </c>
      <c r="D27" s="264" t="s">
        <v>69</v>
      </c>
      <c r="E27" s="265" t="n">
        <v>8.5</v>
      </c>
      <c r="F27" s="290" t="s">
        <v>521</v>
      </c>
      <c r="G27" s="266" t="n">
        <v>500</v>
      </c>
      <c r="H27" s="222" t="n">
        <f aca="false">IF(E27="","",G27*E27)</f>
        <v>4250</v>
      </c>
      <c r="I27" s="267" t="n">
        <v>46111</v>
      </c>
      <c r="J27" s="289"/>
      <c r="K27" s="269" t="n">
        <f aca="false">IF( F27="EUR", H27 * $K$1, H27)</f>
        <v>4250</v>
      </c>
      <c r="M27" s="270" t="s">
        <v>512</v>
      </c>
      <c r="N27" s="273" t="s">
        <v>698</v>
      </c>
      <c r="O27" s="280" t="s">
        <v>699</v>
      </c>
      <c r="P27" s="273" t="s">
        <v>514</v>
      </c>
      <c r="Q27" s="170"/>
    </row>
    <row r="28" s="20" customFormat="true" ht="13.5" hidden="false" customHeight="false" outlineLevel="0" collapsed="false">
      <c r="A28" s="39" t="n">
        <v>25</v>
      </c>
      <c r="B28" s="279" t="s">
        <v>240</v>
      </c>
      <c r="C28" s="170" t="s">
        <v>700</v>
      </c>
      <c r="D28" s="264" t="s">
        <v>670</v>
      </c>
      <c r="E28" s="265" t="n">
        <v>2.74</v>
      </c>
      <c r="F28" s="290" t="s">
        <v>511</v>
      </c>
      <c r="G28" s="266" t="n">
        <v>500</v>
      </c>
      <c r="H28" s="222" t="n">
        <f aca="false">IF(E28="","",G28*E28)</f>
        <v>1370</v>
      </c>
      <c r="I28" s="267" t="n">
        <v>46112</v>
      </c>
      <c r="J28" s="289"/>
      <c r="K28" s="269" t="n">
        <f aca="false">IF( F28="EUR", H28 * $K$1, H28)</f>
        <v>5959.5</v>
      </c>
      <c r="M28" s="270" t="s">
        <v>512</v>
      </c>
      <c r="N28" s="273" t="s">
        <v>701</v>
      </c>
      <c r="O28" s="280" t="s">
        <v>702</v>
      </c>
      <c r="P28" s="273" t="s">
        <v>514</v>
      </c>
      <c r="Q28" s="170"/>
    </row>
    <row r="29" customFormat="false" ht="16.5" hidden="false" customHeight="false" outlineLevel="0" collapsed="false">
      <c r="A29" s="21"/>
      <c r="B29" s="291"/>
      <c r="C29" s="292"/>
      <c r="D29" s="292"/>
      <c r="E29" s="293"/>
      <c r="F29" s="294"/>
      <c r="G29" s="295"/>
      <c r="H29" s="296"/>
      <c r="I29" s="297"/>
      <c r="J29" s="51"/>
      <c r="K29" s="298"/>
      <c r="M29" s="299"/>
      <c r="N29" s="300"/>
      <c r="O29" s="19"/>
      <c r="P29" s="300"/>
    </row>
    <row r="30" customFormat="false" ht="19.5" hidden="false" customHeight="false" outlineLevel="0" collapsed="false">
      <c r="B30" s="19"/>
      <c r="C30" s="19"/>
      <c r="D30" s="19"/>
      <c r="E30" s="19"/>
      <c r="F30" s="19"/>
      <c r="G30" s="19"/>
      <c r="H30" s="19"/>
      <c r="I30" s="19"/>
      <c r="K30" s="256" t="n">
        <f aca="false">SUM(K4:K29)</f>
        <v>338108.125</v>
      </c>
    </row>
    <row r="31" customFormat="false" ht="15" hidden="false" customHeight="false" outlineLevel="0" collapsed="false">
      <c r="K31" s="18"/>
    </row>
    <row r="32" customFormat="false" ht="26.25" hidden="false" customHeight="true" outlineLevel="0" collapsed="false">
      <c r="A32" s="262" t="s">
        <v>210</v>
      </c>
      <c r="B32" s="262"/>
      <c r="C32" s="262"/>
      <c r="D32" s="262"/>
      <c r="E32" s="262"/>
      <c r="F32" s="262"/>
      <c r="G32" s="262"/>
      <c r="H32" s="262"/>
      <c r="I32" s="262"/>
    </row>
    <row r="33" customFormat="false" ht="45" hidden="false" customHeight="false" outlineLevel="0" collapsed="false">
      <c r="A33" s="185" t="s">
        <v>1</v>
      </c>
      <c r="B33" s="185" t="s">
        <v>2</v>
      </c>
      <c r="C33" s="185" t="s">
        <v>3</v>
      </c>
      <c r="D33" s="185" t="s">
        <v>4</v>
      </c>
      <c r="E33" s="185" t="s">
        <v>5</v>
      </c>
      <c r="F33" s="185" t="s">
        <v>505</v>
      </c>
      <c r="G33" s="185" t="s">
        <v>6</v>
      </c>
      <c r="H33" s="185" t="s">
        <v>506</v>
      </c>
      <c r="I33" s="185" t="s">
        <v>8</v>
      </c>
      <c r="K33" s="186" t="s">
        <v>507</v>
      </c>
      <c r="M33" s="187" t="s">
        <v>190</v>
      </c>
      <c r="N33" s="139" t="s">
        <v>558</v>
      </c>
      <c r="O33" s="139" t="s">
        <v>191</v>
      </c>
      <c r="P33" s="139" t="s">
        <v>509</v>
      </c>
      <c r="Q33" s="139" t="s">
        <v>211</v>
      </c>
    </row>
    <row r="34" customFormat="false" ht="15" hidden="false" customHeight="false" outlineLevel="0" collapsed="false">
      <c r="A34" s="12" t="n">
        <v>1</v>
      </c>
      <c r="B34" s="258" t="s">
        <v>703</v>
      </c>
      <c r="C34" s="2" t="s">
        <v>704</v>
      </c>
      <c r="D34" s="220" t="s">
        <v>212</v>
      </c>
      <c r="E34" s="67" t="n">
        <v>29</v>
      </c>
      <c r="F34" s="221" t="s">
        <v>521</v>
      </c>
      <c r="G34" s="2" t="n">
        <v>7</v>
      </c>
      <c r="H34" s="301" t="n">
        <f aca="false">IF(E34="", "", G34 * E34)</f>
        <v>203</v>
      </c>
      <c r="I34" s="74" t="n">
        <v>46086</v>
      </c>
      <c r="K34" s="223" t="n">
        <f aca="false">IF( F34="EUR", H34 * $K$1, H34)</f>
        <v>203</v>
      </c>
      <c r="M34" s="228" t="s">
        <v>512</v>
      </c>
      <c r="N34" s="227" t="s">
        <v>705</v>
      </c>
      <c r="O34" s="228" t="s">
        <v>706</v>
      </c>
      <c r="P34" s="229" t="s">
        <v>618</v>
      </c>
      <c r="Q34" s="119"/>
    </row>
    <row r="35" customFormat="false" ht="15" hidden="false" customHeight="false" outlineLevel="0" collapsed="false">
      <c r="A35" s="12" t="n">
        <v>2</v>
      </c>
      <c r="B35" s="258" t="s">
        <v>707</v>
      </c>
      <c r="C35" s="2" t="s">
        <v>65</v>
      </c>
      <c r="D35" s="220" t="s">
        <v>212</v>
      </c>
      <c r="E35" s="67" t="n">
        <v>32.5</v>
      </c>
      <c r="F35" s="221" t="s">
        <v>521</v>
      </c>
      <c r="G35" s="2" t="n">
        <v>15</v>
      </c>
      <c r="H35" s="301" t="n">
        <f aca="false">IF(E35="", "", G35 * E35)</f>
        <v>487.5</v>
      </c>
      <c r="I35" s="74" t="n">
        <v>46086</v>
      </c>
      <c r="K35" s="223" t="n">
        <f aca="false">IF( F35="EUR", H35 * $K$1, H35)</f>
        <v>487.5</v>
      </c>
      <c r="M35" s="228" t="s">
        <v>512</v>
      </c>
      <c r="N35" s="227" t="s">
        <v>705</v>
      </c>
      <c r="O35" s="228" t="s">
        <v>706</v>
      </c>
      <c r="P35" s="229" t="s">
        <v>618</v>
      </c>
      <c r="Q35" s="119"/>
    </row>
    <row r="36" customFormat="false" ht="15" hidden="false" customHeight="false" outlineLevel="0" collapsed="false">
      <c r="A36" s="12" t="n">
        <v>3</v>
      </c>
      <c r="B36" s="302" t="s">
        <v>708</v>
      </c>
      <c r="C36" s="55" t="s">
        <v>50</v>
      </c>
      <c r="D36" s="233" t="s">
        <v>306</v>
      </c>
      <c r="E36" s="67" t="n">
        <v>14.1</v>
      </c>
      <c r="F36" s="221" t="s">
        <v>521</v>
      </c>
      <c r="G36" s="12" t="n">
        <v>50</v>
      </c>
      <c r="H36" s="301" t="n">
        <f aca="false">IF(E36="", "", G36 * E36)</f>
        <v>705</v>
      </c>
      <c r="I36" s="153" t="n">
        <v>46086</v>
      </c>
      <c r="K36" s="223" t="n">
        <f aca="false">IF( F36="EUR", H36 * $K$1, H36)</f>
        <v>705</v>
      </c>
      <c r="M36" s="228" t="s">
        <v>512</v>
      </c>
      <c r="N36" s="121" t="s">
        <v>709</v>
      </c>
      <c r="O36" s="225" t="s">
        <v>710</v>
      </c>
      <c r="P36" s="119" t="s">
        <v>514</v>
      </c>
      <c r="Q36" s="119"/>
    </row>
    <row r="37" customFormat="false" ht="15" hidden="false" customHeight="false" outlineLevel="0" collapsed="false">
      <c r="A37" s="12" t="n">
        <v>4</v>
      </c>
      <c r="B37" s="302" t="s">
        <v>711</v>
      </c>
      <c r="C37" s="55" t="s">
        <v>23</v>
      </c>
      <c r="D37" s="233" t="s">
        <v>212</v>
      </c>
      <c r="E37" s="67" t="n">
        <v>76</v>
      </c>
      <c r="F37" s="221" t="s">
        <v>521</v>
      </c>
      <c r="G37" s="12" t="n">
        <v>25</v>
      </c>
      <c r="H37" s="301" t="n">
        <f aca="false">IF(E37="", "", G37 * E37)</f>
        <v>1900</v>
      </c>
      <c r="I37" s="153" t="n">
        <v>46087</v>
      </c>
      <c r="K37" s="223" t="n">
        <f aca="false">IF( F37="EUR", H37 * $K$1, H37)</f>
        <v>1900</v>
      </c>
      <c r="M37" s="228" t="s">
        <v>512</v>
      </c>
      <c r="N37" s="138" t="s">
        <v>712</v>
      </c>
      <c r="O37" s="225" t="s">
        <v>713</v>
      </c>
      <c r="P37" s="119" t="s">
        <v>514</v>
      </c>
      <c r="Q37" s="119"/>
    </row>
    <row r="38" customFormat="false" ht="15" hidden="false" customHeight="false" outlineLevel="0" collapsed="false">
      <c r="A38" s="12" t="n">
        <v>5</v>
      </c>
      <c r="B38" s="240" t="s">
        <v>630</v>
      </c>
      <c r="C38" s="2" t="s">
        <v>23</v>
      </c>
      <c r="D38" s="233" t="s">
        <v>306</v>
      </c>
      <c r="E38" s="67" t="n">
        <v>21.55</v>
      </c>
      <c r="F38" s="221" t="s">
        <v>521</v>
      </c>
      <c r="G38" s="2" t="n">
        <v>25</v>
      </c>
      <c r="H38" s="301" t="n">
        <f aca="false">IF(E38="", "", G38 * E38)</f>
        <v>538.75</v>
      </c>
      <c r="I38" s="74" t="n">
        <v>46092</v>
      </c>
      <c r="K38" s="223" t="n">
        <f aca="false">IF( F38="EUR", H38 * $K$1, H38)</f>
        <v>538.75</v>
      </c>
      <c r="M38" s="228" t="s">
        <v>512</v>
      </c>
      <c r="N38" s="121" t="s">
        <v>714</v>
      </c>
      <c r="O38" s="225" t="s">
        <v>715</v>
      </c>
      <c r="P38" s="119" t="s">
        <v>514</v>
      </c>
      <c r="Q38" s="119"/>
    </row>
    <row r="39" customFormat="false" ht="15" hidden="false" customHeight="false" outlineLevel="0" collapsed="false">
      <c r="A39" s="12" t="n">
        <v>6</v>
      </c>
      <c r="B39" s="158" t="s">
        <v>716</v>
      </c>
      <c r="C39" s="2" t="s">
        <v>23</v>
      </c>
      <c r="D39" s="233" t="s">
        <v>306</v>
      </c>
      <c r="E39" s="67" t="n">
        <v>76.1</v>
      </c>
      <c r="F39" s="221" t="s">
        <v>521</v>
      </c>
      <c r="G39" s="2" t="n">
        <v>50</v>
      </c>
      <c r="H39" s="301" t="n">
        <f aca="false">IF(E39="", "", G39 * E39)</f>
        <v>3805</v>
      </c>
      <c r="I39" s="74" t="n">
        <v>46092</v>
      </c>
      <c r="K39" s="223" t="n">
        <f aca="false">IF( F39="EUR", H39 * $K$1, H39)</f>
        <v>3805</v>
      </c>
      <c r="M39" s="228" t="s">
        <v>512</v>
      </c>
      <c r="N39" s="121" t="s">
        <v>714</v>
      </c>
      <c r="O39" s="225" t="s">
        <v>717</v>
      </c>
      <c r="P39" s="119" t="s">
        <v>514</v>
      </c>
      <c r="Q39" s="119"/>
    </row>
    <row r="40" customFormat="false" ht="15" hidden="false" customHeight="false" outlineLevel="0" collapsed="false">
      <c r="A40" s="12" t="n">
        <v>7</v>
      </c>
      <c r="B40" s="258" t="s">
        <v>718</v>
      </c>
      <c r="C40" s="231" t="s">
        <v>106</v>
      </c>
      <c r="D40" s="220" t="s">
        <v>157</v>
      </c>
      <c r="E40" s="67" t="n">
        <v>14.41</v>
      </c>
      <c r="F40" s="221" t="s">
        <v>511</v>
      </c>
      <c r="G40" s="2" t="n">
        <v>25</v>
      </c>
      <c r="H40" s="301" t="n">
        <f aca="false">IF(E40="", "", G40 * E40)</f>
        <v>360.25</v>
      </c>
      <c r="I40" s="74" t="n">
        <v>46094</v>
      </c>
      <c r="K40" s="223" t="n">
        <f aca="false">IF( F40="EUR", H40 * $K$1, H40)</f>
        <v>1567.0875</v>
      </c>
      <c r="M40" s="228" t="s">
        <v>512</v>
      </c>
      <c r="N40" s="121" t="s">
        <v>719</v>
      </c>
      <c r="O40" s="225" t="s">
        <v>720</v>
      </c>
      <c r="P40" s="119" t="s">
        <v>514</v>
      </c>
      <c r="Q40" s="119"/>
    </row>
    <row r="41" customFormat="false" ht="15" hidden="false" customHeight="false" outlineLevel="0" collapsed="false">
      <c r="A41" s="12" t="n">
        <v>8</v>
      </c>
      <c r="B41" s="303" t="s">
        <v>565</v>
      </c>
      <c r="C41" s="2" t="s">
        <v>721</v>
      </c>
      <c r="D41" s="220" t="s">
        <v>299</v>
      </c>
      <c r="E41" s="67" t="n">
        <v>55</v>
      </c>
      <c r="F41" s="221" t="s">
        <v>521</v>
      </c>
      <c r="G41" s="2" t="n">
        <v>15</v>
      </c>
      <c r="H41" s="301" t="n">
        <f aca="false">IF(E41="", "", G41 * E41)</f>
        <v>825</v>
      </c>
      <c r="I41" s="74" t="n">
        <v>46101</v>
      </c>
      <c r="K41" s="223" t="n">
        <f aca="false">IF( F41="EUR", H41 * $K$1, H41)</f>
        <v>825</v>
      </c>
      <c r="M41" s="228" t="s">
        <v>512</v>
      </c>
      <c r="N41" s="121" t="s">
        <v>722</v>
      </c>
      <c r="O41" s="142" t="n">
        <v>90260711</v>
      </c>
      <c r="P41" s="119" t="s">
        <v>514</v>
      </c>
      <c r="Q41" s="119"/>
    </row>
    <row r="42" customFormat="false" ht="15" hidden="false" customHeight="false" outlineLevel="0" collapsed="false">
      <c r="A42" s="12" t="n">
        <v>9</v>
      </c>
      <c r="B42" s="240" t="s">
        <v>79</v>
      </c>
      <c r="C42" s="2" t="s">
        <v>12</v>
      </c>
      <c r="D42" s="220" t="s">
        <v>212</v>
      </c>
      <c r="E42" s="67" t="n">
        <v>20.79</v>
      </c>
      <c r="F42" s="221" t="s">
        <v>521</v>
      </c>
      <c r="G42" s="2" t="n">
        <v>125</v>
      </c>
      <c r="H42" s="301" t="n">
        <f aca="false">IF(E42="", "", G42 * E42)</f>
        <v>2598.75</v>
      </c>
      <c r="I42" s="74" t="n">
        <v>46104</v>
      </c>
      <c r="K42" s="223" t="n">
        <f aca="false">IF( F42="EUR", H42 * $K$1, H42)</f>
        <v>2598.75</v>
      </c>
      <c r="M42" s="228" t="s">
        <v>512</v>
      </c>
      <c r="N42" s="121" t="s">
        <v>723</v>
      </c>
      <c r="O42" s="225" t="s">
        <v>724</v>
      </c>
      <c r="P42" s="119" t="s">
        <v>514</v>
      </c>
      <c r="Q42" s="119"/>
    </row>
    <row r="43" customFormat="false" ht="15" hidden="false" customHeight="false" outlineLevel="0" collapsed="false">
      <c r="A43" s="12" t="n">
        <v>10</v>
      </c>
      <c r="B43" s="240" t="s">
        <v>725</v>
      </c>
      <c r="C43" s="2" t="s">
        <v>23</v>
      </c>
      <c r="D43" s="220" t="s">
        <v>212</v>
      </c>
      <c r="E43" s="67" t="n">
        <v>34.2</v>
      </c>
      <c r="F43" s="221" t="s">
        <v>521</v>
      </c>
      <c r="G43" s="2" t="n">
        <v>25</v>
      </c>
      <c r="H43" s="301" t="n">
        <f aca="false">IF(E43="", "", G43 * E43)</f>
        <v>855</v>
      </c>
      <c r="I43" s="74" t="n">
        <v>46111</v>
      </c>
      <c r="K43" s="223" t="n">
        <f aca="false">IF( F43="EUR", H43 * $K$1, H43)</f>
        <v>855</v>
      </c>
      <c r="M43" s="228" t="s">
        <v>512</v>
      </c>
      <c r="N43" s="304" t="s">
        <v>726</v>
      </c>
      <c r="O43" s="225" t="s">
        <v>727</v>
      </c>
      <c r="P43" s="119" t="s">
        <v>514</v>
      </c>
      <c r="Q43" s="119"/>
    </row>
    <row r="44" customFormat="false" ht="15" hidden="false" customHeight="false" outlineLevel="0" collapsed="false">
      <c r="A44" s="12" t="n">
        <v>11</v>
      </c>
      <c r="B44" s="240" t="s">
        <v>728</v>
      </c>
      <c r="C44" s="2" t="s">
        <v>23</v>
      </c>
      <c r="D44" s="220" t="s">
        <v>212</v>
      </c>
      <c r="E44" s="67" t="n">
        <v>32.83</v>
      </c>
      <c r="F44" s="221" t="s">
        <v>521</v>
      </c>
      <c r="G44" s="2" t="n">
        <v>37</v>
      </c>
      <c r="H44" s="301" t="n">
        <f aca="false">IF(E44="", "", G44 * E44)</f>
        <v>1214.71</v>
      </c>
      <c r="I44" s="74" t="n">
        <v>46111</v>
      </c>
      <c r="K44" s="223" t="n">
        <f aca="false">IF( F44="EUR", H44 * $K$1, H44)</f>
        <v>1214.71</v>
      </c>
      <c r="M44" s="228" t="s">
        <v>512</v>
      </c>
      <c r="N44" s="304" t="s">
        <v>726</v>
      </c>
      <c r="O44" s="225" t="s">
        <v>729</v>
      </c>
      <c r="P44" s="119" t="s">
        <v>514</v>
      </c>
      <c r="Q44" s="119" t="s">
        <v>730</v>
      </c>
    </row>
    <row r="45" customFormat="false" ht="15" hidden="false" customHeight="false" outlineLevel="0" collapsed="false">
      <c r="A45" s="12" t="n">
        <v>12</v>
      </c>
      <c r="B45" s="240" t="s">
        <v>731</v>
      </c>
      <c r="C45" s="2" t="s">
        <v>23</v>
      </c>
      <c r="D45" s="220" t="s">
        <v>212</v>
      </c>
      <c r="E45" s="67" t="n">
        <v>29.76</v>
      </c>
      <c r="F45" s="221" t="s">
        <v>521</v>
      </c>
      <c r="G45" s="2" t="n">
        <v>50</v>
      </c>
      <c r="H45" s="301" t="n">
        <f aca="false">IF(E45="", "", G45 * E45)</f>
        <v>1488</v>
      </c>
      <c r="I45" s="74" t="n">
        <v>46111</v>
      </c>
      <c r="K45" s="223" t="n">
        <f aca="false">IF( F45="EUR", H45 * $K$1, H45)</f>
        <v>1488</v>
      </c>
      <c r="M45" s="228" t="s">
        <v>512</v>
      </c>
      <c r="N45" s="304" t="s">
        <v>726</v>
      </c>
      <c r="O45" s="225" t="s">
        <v>729</v>
      </c>
      <c r="P45" s="119" t="s">
        <v>514</v>
      </c>
      <c r="Q45" s="119"/>
    </row>
    <row r="46" customFormat="false" ht="15" hidden="false" customHeight="false" outlineLevel="0" collapsed="false">
      <c r="A46" s="12" t="n">
        <v>13</v>
      </c>
      <c r="B46" s="240" t="s">
        <v>732</v>
      </c>
      <c r="C46" s="2" t="s">
        <v>23</v>
      </c>
      <c r="D46" s="220" t="s">
        <v>212</v>
      </c>
      <c r="E46" s="67" t="n">
        <v>35.15</v>
      </c>
      <c r="F46" s="221" t="s">
        <v>521</v>
      </c>
      <c r="G46" s="2" t="n">
        <v>25</v>
      </c>
      <c r="H46" s="301" t="n">
        <f aca="false">IF(E46="", "", G46 * E46)</f>
        <v>878.75</v>
      </c>
      <c r="I46" s="74" t="n">
        <v>46111</v>
      </c>
      <c r="K46" s="223" t="n">
        <f aca="false">IF( F46="EUR", H46 * $K$1, H46)</f>
        <v>878.75</v>
      </c>
      <c r="M46" s="228" t="s">
        <v>512</v>
      </c>
      <c r="N46" s="304" t="s">
        <v>726</v>
      </c>
      <c r="O46" s="225" t="s">
        <v>727</v>
      </c>
      <c r="P46" s="119" t="s">
        <v>514</v>
      </c>
      <c r="Q46" s="119"/>
    </row>
    <row r="47" customFormat="false" ht="15" hidden="false" customHeight="false" outlineLevel="0" collapsed="false">
      <c r="A47" s="12" t="n">
        <v>14</v>
      </c>
      <c r="B47" s="240" t="s">
        <v>620</v>
      </c>
      <c r="C47" s="2" t="s">
        <v>23</v>
      </c>
      <c r="D47" s="220" t="s">
        <v>212</v>
      </c>
      <c r="E47" s="67" t="n">
        <v>49.97</v>
      </c>
      <c r="F47" s="221" t="s">
        <v>521</v>
      </c>
      <c r="G47" s="2" t="n">
        <v>25</v>
      </c>
      <c r="H47" s="301" t="n">
        <f aca="false">IF(E47="", "", G47 * E47)</f>
        <v>1249.25</v>
      </c>
      <c r="I47" s="74" t="n">
        <v>46111</v>
      </c>
      <c r="K47" s="223" t="n">
        <f aca="false">IF( F47="EUR", H47 * $K$1, H47)</f>
        <v>1249.25</v>
      </c>
      <c r="M47" s="228" t="s">
        <v>512</v>
      </c>
      <c r="N47" s="304" t="s">
        <v>726</v>
      </c>
      <c r="O47" s="225" t="s">
        <v>729</v>
      </c>
      <c r="P47" s="119" t="s">
        <v>514</v>
      </c>
      <c r="Q47" s="119"/>
    </row>
    <row r="48" customFormat="false" ht="15" hidden="false" customHeight="false" outlineLevel="0" collapsed="false">
      <c r="A48" s="12" t="n">
        <v>15</v>
      </c>
      <c r="B48" s="240" t="s">
        <v>733</v>
      </c>
      <c r="C48" s="2" t="s">
        <v>41</v>
      </c>
      <c r="D48" s="220" t="s">
        <v>212</v>
      </c>
      <c r="E48" s="67" t="n">
        <v>13.89</v>
      </c>
      <c r="F48" s="221" t="s">
        <v>521</v>
      </c>
      <c r="G48" s="2" t="n">
        <v>25</v>
      </c>
      <c r="H48" s="301" t="n">
        <f aca="false">IF(E48="", "", G48 * E48)</f>
        <v>347.25</v>
      </c>
      <c r="I48" s="74" t="n">
        <v>46111</v>
      </c>
      <c r="K48" s="223" t="n">
        <f aca="false">IF( F48="EUR", H48 * $K$1, H48)</f>
        <v>347.25</v>
      </c>
      <c r="M48" s="228" t="s">
        <v>512</v>
      </c>
      <c r="N48" s="304" t="s">
        <v>734</v>
      </c>
      <c r="O48" s="225" t="s">
        <v>735</v>
      </c>
      <c r="P48" s="119" t="s">
        <v>514</v>
      </c>
      <c r="Q48" s="119"/>
    </row>
    <row r="49" customFormat="false" ht="15" hidden="false" customHeight="false" outlineLevel="0" collapsed="false">
      <c r="A49" s="12" t="n">
        <v>16</v>
      </c>
      <c r="B49" s="240" t="s">
        <v>736</v>
      </c>
      <c r="C49" s="2" t="s">
        <v>41</v>
      </c>
      <c r="D49" s="220" t="s">
        <v>212</v>
      </c>
      <c r="E49" s="67" t="n">
        <v>32.3</v>
      </c>
      <c r="F49" s="221" t="s">
        <v>521</v>
      </c>
      <c r="G49" s="2" t="n">
        <v>25</v>
      </c>
      <c r="H49" s="301" t="n">
        <f aca="false">IF(E49="", "", G49 * E49)</f>
        <v>807.5</v>
      </c>
      <c r="I49" s="74" t="n">
        <v>46111</v>
      </c>
      <c r="K49" s="223" t="n">
        <f aca="false">IF( F49="EUR", H49 * $K$1, H49)</f>
        <v>807.5</v>
      </c>
      <c r="M49" s="228" t="s">
        <v>512</v>
      </c>
      <c r="N49" s="304" t="s">
        <v>734</v>
      </c>
      <c r="O49" s="225" t="s">
        <v>729</v>
      </c>
      <c r="P49" s="119" t="s">
        <v>514</v>
      </c>
      <c r="Q49" s="119"/>
    </row>
    <row r="50" customFormat="false" ht="15.75" hidden="false" customHeight="false" outlineLevel="0" collapsed="false">
      <c r="A50" s="12" t="n">
        <v>17</v>
      </c>
      <c r="B50" s="305" t="s">
        <v>737</v>
      </c>
      <c r="C50" s="2" t="s">
        <v>41</v>
      </c>
      <c r="D50" s="220" t="s">
        <v>212</v>
      </c>
      <c r="E50" s="67" t="n">
        <v>29.93</v>
      </c>
      <c r="F50" s="221" t="s">
        <v>521</v>
      </c>
      <c r="G50" s="2" t="n">
        <v>25</v>
      </c>
      <c r="H50" s="301" t="n">
        <f aca="false">IF(E50="", "", G50 * E50)</f>
        <v>748.25</v>
      </c>
      <c r="I50" s="74" t="n">
        <v>46111</v>
      </c>
      <c r="K50" s="223" t="n">
        <f aca="false">IF( F50="EUR", H50 * $K$1, H50)</f>
        <v>748.25</v>
      </c>
      <c r="M50" s="228" t="s">
        <v>512</v>
      </c>
      <c r="N50" s="304" t="s">
        <v>734</v>
      </c>
      <c r="O50" s="225" t="s">
        <v>729</v>
      </c>
      <c r="P50" s="119" t="s">
        <v>514</v>
      </c>
      <c r="Q50" s="119"/>
    </row>
    <row r="51" customFormat="false" ht="15.75" hidden="false" customHeight="false" outlineLevel="0" collapsed="false">
      <c r="K51" s="236" t="n">
        <f aca="false">SUM(K34:K50)</f>
        <v>20218.7975</v>
      </c>
    </row>
    <row r="53" customFormat="false" ht="28.5" hidden="false" customHeight="false" outlineLevel="0" collapsed="false">
      <c r="A53" s="237" t="s">
        <v>575</v>
      </c>
      <c r="B53" s="237"/>
      <c r="C53" s="237"/>
      <c r="D53" s="237"/>
      <c r="E53" s="237"/>
      <c r="F53" s="237"/>
      <c r="G53" s="237"/>
      <c r="H53" s="237"/>
      <c r="I53" s="237"/>
    </row>
    <row r="54" customFormat="false" ht="45" hidden="false" customHeight="false" outlineLevel="0" collapsed="false">
      <c r="A54" s="238" t="s">
        <v>1</v>
      </c>
      <c r="B54" s="238" t="s">
        <v>2</v>
      </c>
      <c r="C54" s="238" t="s">
        <v>3</v>
      </c>
      <c r="D54" s="238" t="s">
        <v>4</v>
      </c>
      <c r="E54" s="238" t="s">
        <v>5</v>
      </c>
      <c r="F54" s="238" t="s">
        <v>505</v>
      </c>
      <c r="G54" s="238" t="s">
        <v>6</v>
      </c>
      <c r="H54" s="238" t="s">
        <v>506</v>
      </c>
      <c r="I54" s="238" t="s">
        <v>8</v>
      </c>
      <c r="K54" s="186" t="s">
        <v>507</v>
      </c>
      <c r="M54" s="187" t="s">
        <v>190</v>
      </c>
      <c r="N54" s="139" t="s">
        <v>576</v>
      </c>
      <c r="O54" s="139" t="s">
        <v>191</v>
      </c>
      <c r="P54" s="139" t="s">
        <v>509</v>
      </c>
      <c r="Q54" s="139" t="s">
        <v>211</v>
      </c>
    </row>
    <row r="55" customFormat="false" ht="15.75" hidden="false" customHeight="false" outlineLevel="0" collapsed="false">
      <c r="A55" s="119" t="s">
        <v>10</v>
      </c>
      <c r="B55" s="119"/>
      <c r="C55" s="239"/>
      <c r="E55" s="241"/>
      <c r="F55" s="242"/>
      <c r="G55" s="119"/>
      <c r="H55" s="243"/>
      <c r="I55" s="244"/>
      <c r="K55" s="223"/>
      <c r="M55" s="224"/>
      <c r="N55" s="227"/>
      <c r="O55" s="227"/>
      <c r="P55" s="229"/>
      <c r="Q55" s="119"/>
    </row>
    <row r="56" customFormat="false" ht="15" hidden="false" customHeight="false" outlineLevel="0" collapsed="false">
      <c r="A56" s="119" t="s">
        <v>14</v>
      </c>
      <c r="B56" s="119"/>
      <c r="C56" s="119"/>
      <c r="D56" s="119"/>
      <c r="E56" s="119"/>
      <c r="F56" s="119"/>
      <c r="G56" s="119"/>
      <c r="H56" s="119"/>
      <c r="I56" s="244"/>
      <c r="K56" s="223"/>
      <c r="M56" s="17"/>
      <c r="N56" s="121"/>
      <c r="O56" s="121"/>
      <c r="P56" s="119"/>
      <c r="Q56" s="119"/>
    </row>
    <row r="57" customFormat="false" ht="15" hidden="false" customHeight="false" outlineLevel="0" collapsed="false">
      <c r="A57" s="119" t="s">
        <v>18</v>
      </c>
      <c r="B57" s="119"/>
      <c r="C57" s="119"/>
      <c r="D57" s="119"/>
      <c r="E57" s="119"/>
      <c r="F57" s="242"/>
      <c r="G57" s="119"/>
      <c r="H57" s="119"/>
      <c r="I57" s="244"/>
      <c r="K57" s="223"/>
      <c r="M57" s="17"/>
      <c r="N57" s="121"/>
      <c r="O57" s="121"/>
      <c r="P57" s="119"/>
      <c r="Q57" s="119"/>
    </row>
    <row r="58" customFormat="false" ht="15" hidden="false" customHeight="false" outlineLevel="0" collapsed="false">
      <c r="A58" s="119" t="s">
        <v>21</v>
      </c>
      <c r="B58" s="119"/>
      <c r="C58" s="119"/>
      <c r="D58" s="119"/>
      <c r="E58" s="119"/>
      <c r="F58" s="242"/>
      <c r="G58" s="119"/>
      <c r="H58" s="243"/>
      <c r="I58" s="244"/>
      <c r="K58" s="223"/>
      <c r="M58" s="17"/>
      <c r="N58" s="121"/>
      <c r="O58" s="121"/>
      <c r="P58" s="119"/>
      <c r="Q58" s="119"/>
    </row>
    <row r="59" customFormat="false" ht="15" hidden="false" customHeight="false" outlineLevel="0" collapsed="false">
      <c r="A59" s="119" t="s">
        <v>25</v>
      </c>
      <c r="B59" s="119"/>
      <c r="C59" s="119"/>
      <c r="D59" s="119"/>
      <c r="E59" s="242"/>
      <c r="F59" s="242"/>
      <c r="G59" s="119"/>
      <c r="H59" s="243"/>
      <c r="I59" s="244"/>
      <c r="K59" s="223"/>
      <c r="M59" s="17"/>
      <c r="N59" s="121"/>
      <c r="O59" s="121"/>
      <c r="P59" s="119"/>
      <c r="Q59" s="119"/>
    </row>
    <row r="60" customFormat="false" ht="15" hidden="false" customHeight="false" outlineLevel="0" collapsed="false">
      <c r="A60" s="119" t="s">
        <v>30</v>
      </c>
      <c r="B60" s="119"/>
      <c r="C60" s="119"/>
      <c r="D60" s="119"/>
      <c r="E60" s="245"/>
      <c r="F60" s="242"/>
      <c r="G60" s="119"/>
      <c r="H60" s="243"/>
      <c r="I60" s="244"/>
      <c r="K60" s="223"/>
      <c r="M60" s="17"/>
      <c r="N60" s="121"/>
      <c r="O60" s="121"/>
      <c r="P60" s="119"/>
      <c r="Q60" s="119"/>
    </row>
    <row r="61" customFormat="false" ht="15" hidden="false" customHeight="false" outlineLevel="0" collapsed="false">
      <c r="A61" s="119" t="s">
        <v>34</v>
      </c>
      <c r="B61" s="119"/>
      <c r="C61" s="119"/>
      <c r="D61" s="119"/>
      <c r="E61" s="242"/>
      <c r="F61" s="242"/>
      <c r="G61" s="119"/>
      <c r="H61" s="243"/>
      <c r="I61" s="244"/>
      <c r="K61" s="223"/>
      <c r="M61" s="17"/>
      <c r="N61" s="121"/>
      <c r="O61" s="121"/>
      <c r="P61" s="119"/>
      <c r="Q61" s="119"/>
    </row>
    <row r="62" customFormat="false" ht="15" hidden="false" customHeight="false" outlineLevel="0" collapsed="false">
      <c r="A62" s="119" t="s">
        <v>39</v>
      </c>
      <c r="B62" s="119"/>
      <c r="C62" s="119"/>
      <c r="D62" s="119"/>
      <c r="E62" s="245"/>
      <c r="F62" s="242"/>
      <c r="G62" s="119"/>
      <c r="H62" s="243"/>
      <c r="I62" s="244"/>
      <c r="K62" s="223"/>
      <c r="M62" s="17"/>
      <c r="N62" s="121"/>
      <c r="O62" s="121"/>
      <c r="P62" s="119"/>
      <c r="Q62" s="119"/>
    </row>
    <row r="63" customFormat="false" ht="15" hidden="false" customHeight="false" outlineLevel="0" collapsed="false">
      <c r="A63" s="119" t="s">
        <v>43</v>
      </c>
      <c r="B63" s="119"/>
      <c r="C63" s="119"/>
      <c r="D63" s="119"/>
      <c r="E63" s="242"/>
      <c r="F63" s="242"/>
      <c r="G63" s="119"/>
      <c r="H63" s="243"/>
      <c r="I63" s="244"/>
      <c r="K63" s="223" t="n">
        <f aca="false">IF( F63="EUR", H63 * $K$1, H63)</f>
        <v>0</v>
      </c>
      <c r="M63" s="17"/>
      <c r="N63" s="121"/>
      <c r="O63" s="121"/>
      <c r="P63" s="119"/>
      <c r="Q63" s="119"/>
    </row>
    <row r="64" customFormat="false" ht="15" hidden="false" customHeight="false" outlineLevel="0" collapsed="false">
      <c r="A64" s="119" t="s">
        <v>45</v>
      </c>
      <c r="B64" s="119"/>
      <c r="C64" s="119"/>
      <c r="D64" s="119"/>
      <c r="E64" s="245"/>
      <c r="F64" s="242"/>
      <c r="G64" s="119"/>
      <c r="H64" s="243"/>
      <c r="I64" s="244"/>
      <c r="K64" s="223" t="n">
        <f aca="false">IF( F64="EUR", H64 * $K$1, H64)</f>
        <v>0</v>
      </c>
      <c r="M64" s="17"/>
      <c r="N64" s="121"/>
      <c r="O64" s="121"/>
      <c r="P64" s="119"/>
      <c r="Q64" s="119"/>
    </row>
    <row r="65" customFormat="false" ht="15" hidden="false" customHeight="false" outlineLevel="0" collapsed="false">
      <c r="A65" s="119" t="s">
        <v>48</v>
      </c>
      <c r="B65" s="119"/>
      <c r="C65" s="119"/>
      <c r="D65" s="119"/>
      <c r="E65" s="245"/>
      <c r="F65" s="242"/>
      <c r="G65" s="119"/>
      <c r="H65" s="243"/>
      <c r="I65" s="244"/>
      <c r="K65" s="223" t="n">
        <f aca="false">IF( F65="EUR", H65 * $K$1, H65)</f>
        <v>0</v>
      </c>
      <c r="M65" s="17"/>
      <c r="N65" s="121"/>
      <c r="O65" s="121"/>
      <c r="P65" s="119"/>
      <c r="Q65" s="119"/>
    </row>
    <row r="66" customFormat="false" ht="15.75" hidden="false" customHeight="false" outlineLevel="0" collapsed="false">
      <c r="A66" s="119" t="s">
        <v>51</v>
      </c>
      <c r="B66" s="119"/>
      <c r="C66" s="119"/>
      <c r="D66" s="119"/>
      <c r="E66" s="242"/>
      <c r="F66" s="242"/>
      <c r="G66" s="119"/>
      <c r="H66" s="243"/>
      <c r="I66" s="244"/>
      <c r="K66" s="235" t="n">
        <f aca="false">IF( F66="EUR", H66 * $K$1, H66)</f>
        <v>0</v>
      </c>
    </row>
    <row r="67" customFormat="false" ht="15.75" hidden="false" customHeight="false" outlineLevel="0" collapsed="false">
      <c r="K67" s="236" t="n">
        <f aca="false">SUM(K55:K66)</f>
        <v>0</v>
      </c>
    </row>
  </sheetData>
  <autoFilter ref="A3:I28"/>
  <mergeCells count="4">
    <mergeCell ref="A1:I1"/>
    <mergeCell ref="A2:I2"/>
    <mergeCell ref="A32:I32"/>
    <mergeCell ref="A53:I53"/>
  </mergeCells>
  <conditionalFormatting sqref="M4:M29">
    <cfRule type="expression" priority="2" aboveAverage="0" equalAverage="0" bottom="0" percent="0" rank="0" text="" dxfId="17">
      <formula>$M4="TAK"</formula>
    </cfRule>
    <cfRule type="expression" priority="3" aboveAverage="0" equalAverage="0" bottom="0" percent="0" rank="0" text="" dxfId="18">
      <formula>$M4="NIE"</formula>
    </cfRule>
  </conditionalFormatting>
  <conditionalFormatting sqref="M34:M50">
    <cfRule type="expression" priority="4" aboveAverage="0" equalAverage="0" bottom="0" percent="0" rank="0" text="" dxfId="19">
      <formula>$M34="TAK"</formula>
    </cfRule>
    <cfRule type="expression" priority="5" aboveAverage="0" equalAverage="0" bottom="0" percent="0" rank="0" text="" dxfId="20">
      <formula>$M34="NIE"</formula>
    </cfRule>
  </conditionalFormatting>
  <conditionalFormatting sqref="M55">
    <cfRule type="expression" priority="6" aboveAverage="0" equalAverage="0" bottom="0" percent="0" rank="0" text="" dxfId="21">
      <formula>$M55="TAK"</formula>
    </cfRule>
    <cfRule type="expression" priority="7" aboveAverage="0" equalAverage="0" bottom="0" percent="0" rank="0" text="" dxfId="22">
      <formula>$M55="NIE"</formula>
    </cfRule>
  </conditionalFormatting>
  <dataValidations count="3">
    <dataValidation allowBlank="true" errorStyle="stop" operator="between" prompt="&#10;Określić na dany miesiąc&#10;" promptTitle="KURS EURO" showDropDown="false" showErrorMessage="true" showInputMessage="true" sqref="K1" type="none">
      <formula1>0</formula1>
      <formula2>0</formula2>
    </dataValidation>
    <dataValidation allowBlank="true" errorStyle="stop" operator="between" showDropDown="false" showErrorMessage="true" showInputMessage="true" sqref="M4:M29 M34:M50 M55" type="list">
      <formula1>"TAK,NIE"</formula1>
      <formula2>0</formula2>
    </dataValidation>
    <dataValidation allowBlank="true" errorStyle="stop" operator="between" showDropDown="false" showErrorMessage="true" showInputMessage="true" sqref="F4:F29 F34:F50" type="list">
      <formula1>"PLN,EUR"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4" activeCellId="0" sqref="F14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36.28"/>
    <col collapsed="false" customWidth="true" hidden="false" outlineLevel="0" max="3" min="3" style="0" width="19.57"/>
    <col collapsed="false" customWidth="true" hidden="false" outlineLevel="0" max="4" min="4" style="0" width="15.71"/>
    <col collapsed="false" customWidth="true" hidden="false" outlineLevel="0" max="6" min="5" style="0" width="9.85"/>
    <col collapsed="false" customWidth="true" hidden="false" outlineLevel="0" max="8" min="8" style="0" width="12"/>
    <col collapsed="false" customWidth="true" hidden="false" outlineLevel="0" max="9" min="9" style="0" width="11.85"/>
    <col collapsed="false" customWidth="true" hidden="false" outlineLevel="0" max="10" min="10" style="0" width="6.43"/>
    <col collapsed="false" customWidth="true" hidden="false" outlineLevel="0" max="11" min="11" style="0" width="16.71"/>
    <col collapsed="false" customWidth="true" hidden="false" outlineLevel="0" max="12" min="12" style="0" width="5.71"/>
    <col collapsed="false" customWidth="true" hidden="false" outlineLevel="0" max="13" min="13" style="0" width="11.71"/>
    <col collapsed="false" customWidth="true" hidden="false" outlineLevel="0" max="15" min="14" style="0" width="20.14"/>
    <col collapsed="false" customWidth="true" hidden="false" outlineLevel="0" max="16" min="16" style="0" width="19.14"/>
    <col collapsed="false" customWidth="true" hidden="false" outlineLevel="0" max="17" min="17" style="0" width="35.43"/>
  </cols>
  <sheetData>
    <row r="1" customFormat="false" ht="36" hidden="false" customHeight="true" outlineLevel="0" collapsed="false">
      <c r="A1" s="262" t="s">
        <v>738</v>
      </c>
      <c r="B1" s="262"/>
      <c r="C1" s="262"/>
      <c r="D1" s="262"/>
      <c r="E1" s="262"/>
      <c r="F1" s="262"/>
      <c r="G1" s="262"/>
      <c r="H1" s="262"/>
      <c r="I1" s="262"/>
      <c r="K1" s="184" t="n">
        <v>4.35</v>
      </c>
    </row>
    <row r="2" customFormat="false" ht="26.25" hidden="false" customHeight="true" outlineLevel="0" collapsed="false">
      <c r="A2" s="262" t="s">
        <v>189</v>
      </c>
      <c r="B2" s="262"/>
      <c r="C2" s="262"/>
      <c r="D2" s="262"/>
      <c r="E2" s="262"/>
      <c r="F2" s="262"/>
      <c r="G2" s="262"/>
      <c r="H2" s="262"/>
      <c r="I2" s="262"/>
    </row>
    <row r="3" customFormat="false" ht="52.5" hidden="false" customHeight="true" outlineLevel="0" collapsed="false">
      <c r="A3" s="306" t="s">
        <v>1</v>
      </c>
      <c r="B3" s="306" t="s">
        <v>2</v>
      </c>
      <c r="C3" s="306" t="s">
        <v>3</v>
      </c>
      <c r="D3" s="306" t="s">
        <v>4</v>
      </c>
      <c r="E3" s="306" t="s">
        <v>5</v>
      </c>
      <c r="F3" s="306" t="s">
        <v>505</v>
      </c>
      <c r="G3" s="306" t="s">
        <v>6</v>
      </c>
      <c r="H3" s="306" t="s">
        <v>506</v>
      </c>
      <c r="I3" s="306" t="s">
        <v>8</v>
      </c>
      <c r="K3" s="306" t="s">
        <v>507</v>
      </c>
      <c r="M3" s="307" t="s">
        <v>190</v>
      </c>
      <c r="N3" s="308" t="s">
        <v>508</v>
      </c>
      <c r="O3" s="308" t="s">
        <v>191</v>
      </c>
      <c r="P3" s="308" t="s">
        <v>509</v>
      </c>
      <c r="Q3" s="308" t="s">
        <v>211</v>
      </c>
    </row>
    <row r="4" customFormat="false" ht="15" hidden="false" customHeight="false" outlineLevel="0" collapsed="false">
      <c r="A4" s="89" t="n">
        <v>1</v>
      </c>
      <c r="B4" s="309" t="s">
        <v>739</v>
      </c>
      <c r="C4" s="310" t="s">
        <v>740</v>
      </c>
      <c r="D4" s="264" t="s">
        <v>37</v>
      </c>
      <c r="E4" s="265" t="n">
        <v>3.6</v>
      </c>
      <c r="F4" s="89" t="s">
        <v>521</v>
      </c>
      <c r="G4" s="266" t="n">
        <v>2000</v>
      </c>
      <c r="H4" s="222" t="n">
        <f aca="false">IF(E4="","",G4*E4)</f>
        <v>7200</v>
      </c>
      <c r="I4" s="267" t="n">
        <v>46120</v>
      </c>
      <c r="J4" s="38"/>
      <c r="K4" s="269" t="n">
        <f aca="false">IF( F4="EUR", H4 * $K$1, H4)</f>
        <v>7200</v>
      </c>
      <c r="L4" s="38"/>
      <c r="M4" s="270" t="s">
        <v>512</v>
      </c>
      <c r="N4" s="311" t="s">
        <v>741</v>
      </c>
      <c r="O4" s="312" t="s">
        <v>742</v>
      </c>
      <c r="P4" s="311" t="s">
        <v>514</v>
      </c>
      <c r="Q4" s="89"/>
    </row>
    <row r="5" customFormat="false" ht="15" hidden="false" customHeight="false" outlineLevel="0" collapsed="false">
      <c r="A5" s="89" t="n">
        <v>2</v>
      </c>
      <c r="B5" s="313" t="s">
        <v>743</v>
      </c>
      <c r="C5" s="310" t="s">
        <v>678</v>
      </c>
      <c r="D5" s="264" t="s">
        <v>37</v>
      </c>
      <c r="E5" s="265" t="n">
        <v>4.2</v>
      </c>
      <c r="F5" s="275" t="s">
        <v>521</v>
      </c>
      <c r="G5" s="266" t="n">
        <v>3000</v>
      </c>
      <c r="H5" s="222" t="n">
        <f aca="false">IF(E5="","",G5*E5)</f>
        <v>12600</v>
      </c>
      <c r="I5" s="267" t="n">
        <v>46114</v>
      </c>
      <c r="J5" s="268"/>
      <c r="K5" s="269" t="n">
        <f aca="false">IF( F5="EUR", H5 * $K$1, H5)</f>
        <v>12600</v>
      </c>
      <c r="L5" s="38"/>
      <c r="M5" s="270" t="s">
        <v>512</v>
      </c>
      <c r="N5" s="277" t="s">
        <v>679</v>
      </c>
      <c r="O5" s="314" t="s">
        <v>744</v>
      </c>
      <c r="P5" s="287" t="s">
        <v>514</v>
      </c>
      <c r="Q5" s="287" t="s">
        <v>745</v>
      </c>
    </row>
    <row r="6" customFormat="false" ht="15" hidden="false" customHeight="false" outlineLevel="0" collapsed="false">
      <c r="A6" s="89" t="n">
        <v>3</v>
      </c>
      <c r="B6" s="313" t="s">
        <v>100</v>
      </c>
      <c r="C6" s="310" t="s">
        <v>101</v>
      </c>
      <c r="D6" s="264" t="s">
        <v>746</v>
      </c>
      <c r="E6" s="265" t="n">
        <v>3.5</v>
      </c>
      <c r="F6" s="175" t="s">
        <v>521</v>
      </c>
      <c r="G6" s="315" t="n">
        <v>3000</v>
      </c>
      <c r="H6" s="222" t="n">
        <f aca="false">IF(E6="","",G6*E6)</f>
        <v>10500</v>
      </c>
      <c r="I6" s="267" t="n">
        <v>46115</v>
      </c>
      <c r="J6" s="268"/>
      <c r="K6" s="269" t="n">
        <f aca="false">IF( F6="EUR", H6 * $K$1, H6)</f>
        <v>10500</v>
      </c>
      <c r="L6" s="20"/>
      <c r="M6" s="270" t="s">
        <v>512</v>
      </c>
      <c r="N6" s="271" t="s">
        <v>747</v>
      </c>
      <c r="O6" s="272" t="s">
        <v>748</v>
      </c>
      <c r="P6" s="273" t="s">
        <v>514</v>
      </c>
      <c r="Q6" s="287"/>
    </row>
    <row r="7" customFormat="false" ht="13.5" hidden="false" customHeight="true" outlineLevel="0" collapsed="false">
      <c r="A7" s="89" t="n">
        <v>4</v>
      </c>
      <c r="B7" s="313" t="s">
        <v>749</v>
      </c>
      <c r="C7" s="310" t="s">
        <v>85</v>
      </c>
      <c r="D7" s="264" t="s">
        <v>86</v>
      </c>
      <c r="E7" s="265" t="n">
        <v>4.6</v>
      </c>
      <c r="F7" s="175" t="s">
        <v>521</v>
      </c>
      <c r="G7" s="315" t="n">
        <v>3000</v>
      </c>
      <c r="H7" s="222" t="n">
        <f aca="false">IF(E7="","",G7*E7)</f>
        <v>13800</v>
      </c>
      <c r="I7" s="267" t="n">
        <v>46119</v>
      </c>
      <c r="J7" s="268"/>
      <c r="K7" s="269" t="n">
        <f aca="false">IF( F7="EUR", H7 * $K$1, H7)</f>
        <v>13800</v>
      </c>
      <c r="L7" s="20"/>
      <c r="M7" s="270" t="s">
        <v>512</v>
      </c>
      <c r="N7" s="271" t="s">
        <v>750</v>
      </c>
      <c r="O7" s="272" t="s">
        <v>751</v>
      </c>
      <c r="P7" s="273" t="s">
        <v>514</v>
      </c>
      <c r="Q7" s="170" t="s">
        <v>752</v>
      </c>
    </row>
    <row r="8" customFormat="false" ht="15" hidden="false" customHeight="false" outlineLevel="0" collapsed="false">
      <c r="A8" s="89" t="n">
        <v>5</v>
      </c>
      <c r="B8" s="316" t="s">
        <v>753</v>
      </c>
      <c r="C8" s="310" t="s">
        <v>12</v>
      </c>
      <c r="D8" s="264" t="s">
        <v>13</v>
      </c>
      <c r="E8" s="265" t="n">
        <v>1.95</v>
      </c>
      <c r="F8" s="275" t="s">
        <v>511</v>
      </c>
      <c r="G8" s="266" t="n">
        <v>3750</v>
      </c>
      <c r="H8" s="222" t="n">
        <f aca="false">IF(E8="","",G8*E8)</f>
        <v>7312.5</v>
      </c>
      <c r="I8" s="267" t="n">
        <v>46120</v>
      </c>
      <c r="J8" s="285"/>
      <c r="K8" s="269" t="n">
        <f aca="false">IF( F8="EUR", H8 * $K$1, H8)</f>
        <v>31809.375</v>
      </c>
      <c r="L8" s="20"/>
      <c r="M8" s="270" t="s">
        <v>512</v>
      </c>
      <c r="N8" s="271" t="s">
        <v>754</v>
      </c>
      <c r="O8" s="272" t="s">
        <v>755</v>
      </c>
      <c r="P8" s="273" t="s">
        <v>514</v>
      </c>
      <c r="Q8" s="170"/>
    </row>
    <row r="9" customFormat="false" ht="27" hidden="false" customHeight="false" outlineLevel="0" collapsed="false">
      <c r="A9" s="89" t="n">
        <v>6</v>
      </c>
      <c r="B9" s="313" t="s">
        <v>756</v>
      </c>
      <c r="C9" s="310" t="s">
        <v>757</v>
      </c>
      <c r="D9" s="264" t="s">
        <v>20</v>
      </c>
      <c r="E9" s="265" t="n">
        <v>11.3</v>
      </c>
      <c r="F9" s="275" t="s">
        <v>521</v>
      </c>
      <c r="G9" s="266" t="n">
        <v>1000</v>
      </c>
      <c r="H9" s="222" t="n">
        <f aca="false">IF(E9="","",G9*E9)</f>
        <v>11300</v>
      </c>
      <c r="I9" s="267" t="n">
        <v>46120</v>
      </c>
      <c r="J9" s="285"/>
      <c r="K9" s="269" t="n">
        <f aca="false">IF( F9="EUR", H9 * $K$1, H9)</f>
        <v>11300</v>
      </c>
      <c r="L9" s="20"/>
      <c r="M9" s="270" t="s">
        <v>512</v>
      </c>
      <c r="N9" s="271" t="s">
        <v>758</v>
      </c>
      <c r="O9" s="272" t="s">
        <v>759</v>
      </c>
      <c r="P9" s="273" t="s">
        <v>514</v>
      </c>
      <c r="Q9" s="170"/>
    </row>
    <row r="10" customFormat="false" ht="27" hidden="false" customHeight="false" outlineLevel="0" collapsed="false">
      <c r="A10" s="89" t="n">
        <v>7</v>
      </c>
      <c r="B10" s="313" t="s">
        <v>756</v>
      </c>
      <c r="C10" s="310" t="s">
        <v>757</v>
      </c>
      <c r="D10" s="264" t="s">
        <v>20</v>
      </c>
      <c r="E10" s="265" t="n">
        <v>9.8</v>
      </c>
      <c r="F10" s="175" t="s">
        <v>521</v>
      </c>
      <c r="G10" s="266" t="n">
        <v>1400</v>
      </c>
      <c r="H10" s="222" t="n">
        <f aca="false">IF(E10="","",G10*E10)</f>
        <v>13720</v>
      </c>
      <c r="I10" s="267" t="n">
        <v>46120</v>
      </c>
      <c r="J10" s="268"/>
      <c r="K10" s="269" t="n">
        <f aca="false">IF( F10="EUR", H10 * $K$1, H10)</f>
        <v>13720</v>
      </c>
      <c r="L10" s="20"/>
      <c r="M10" s="270" t="s">
        <v>512</v>
      </c>
      <c r="N10" s="271" t="s">
        <v>760</v>
      </c>
      <c r="O10" s="272" t="s">
        <v>759</v>
      </c>
      <c r="P10" s="273" t="s">
        <v>514</v>
      </c>
      <c r="Q10" s="170"/>
    </row>
    <row r="11" customFormat="false" ht="15" hidden="false" customHeight="false" outlineLevel="0" collapsed="false">
      <c r="A11" s="89" t="n">
        <v>8</v>
      </c>
      <c r="B11" s="317" t="s">
        <v>761</v>
      </c>
      <c r="C11" s="310" t="s">
        <v>106</v>
      </c>
      <c r="D11" s="264" t="s">
        <v>20</v>
      </c>
      <c r="E11" s="265" t="n">
        <v>11.4</v>
      </c>
      <c r="F11" s="175" t="s">
        <v>521</v>
      </c>
      <c r="G11" s="266" t="n">
        <v>400</v>
      </c>
      <c r="H11" s="222" t="n">
        <v>4520</v>
      </c>
      <c r="I11" s="267" t="n">
        <v>46122</v>
      </c>
      <c r="J11" s="268"/>
      <c r="K11" s="269" t="n">
        <f aca="false">IF( F11="EUR", H11 * $K$1, H11)</f>
        <v>4520</v>
      </c>
      <c r="L11" s="20"/>
      <c r="M11" s="270" t="s">
        <v>512</v>
      </c>
      <c r="N11" s="271" t="s">
        <v>762</v>
      </c>
      <c r="O11" s="272" t="s">
        <v>759</v>
      </c>
      <c r="P11" s="273" t="s">
        <v>514</v>
      </c>
      <c r="Q11" s="170"/>
    </row>
    <row r="12" customFormat="false" ht="15" hidden="false" customHeight="false" outlineLevel="0" collapsed="false">
      <c r="A12" s="89" t="n">
        <v>9</v>
      </c>
      <c r="B12" s="309" t="s">
        <v>763</v>
      </c>
      <c r="C12" s="310" t="s">
        <v>23</v>
      </c>
      <c r="D12" s="264" t="s">
        <v>95</v>
      </c>
      <c r="E12" s="265" t="n">
        <v>2.97</v>
      </c>
      <c r="F12" s="175" t="s">
        <v>511</v>
      </c>
      <c r="G12" s="266" t="n">
        <v>4000</v>
      </c>
      <c r="H12" s="222" t="n">
        <f aca="false">IF(E12="","",G12*E12)</f>
        <v>11880</v>
      </c>
      <c r="I12" s="267" t="n">
        <v>46120</v>
      </c>
      <c r="J12" s="268"/>
      <c r="K12" s="269" t="n">
        <f aca="false">IF( F12="EUR", H12 * $K$1, H12)</f>
        <v>51678</v>
      </c>
      <c r="L12" s="20"/>
      <c r="M12" s="270" t="s">
        <v>512</v>
      </c>
      <c r="N12" s="271" t="s">
        <v>764</v>
      </c>
      <c r="O12" s="272" t="s">
        <v>765</v>
      </c>
      <c r="P12" s="273" t="s">
        <v>514</v>
      </c>
      <c r="Q12" s="170" t="s">
        <v>766</v>
      </c>
    </row>
    <row r="13" customFormat="false" ht="15" hidden="false" customHeight="false" outlineLevel="0" collapsed="false">
      <c r="A13" s="89" t="n">
        <v>10</v>
      </c>
      <c r="B13" s="309" t="s">
        <v>767</v>
      </c>
      <c r="C13" s="318" t="s">
        <v>768</v>
      </c>
      <c r="D13" s="264" t="s">
        <v>54</v>
      </c>
      <c r="E13" s="265" t="n">
        <v>6.5</v>
      </c>
      <c r="F13" s="275" t="s">
        <v>521</v>
      </c>
      <c r="G13" s="266" t="n">
        <v>2000</v>
      </c>
      <c r="H13" s="222" t="n">
        <f aca="false">IF(E13="","",G13*E13)</f>
        <v>13000</v>
      </c>
      <c r="I13" s="267" t="n">
        <v>46121</v>
      </c>
      <c r="J13" s="268"/>
      <c r="K13" s="269" t="n">
        <f aca="false">IF( F13="EUR", H13 * $K$1, H13)</f>
        <v>13000</v>
      </c>
      <c r="L13" s="20"/>
      <c r="M13" s="270" t="s">
        <v>512</v>
      </c>
      <c r="N13" s="271" t="s">
        <v>769</v>
      </c>
      <c r="O13" s="314" t="s">
        <v>770</v>
      </c>
      <c r="P13" s="273" t="s">
        <v>514</v>
      </c>
      <c r="Q13" s="170"/>
    </row>
    <row r="14" customFormat="false" ht="15" hidden="false" customHeight="false" outlineLevel="0" collapsed="false">
      <c r="A14" s="89" t="n">
        <v>11</v>
      </c>
      <c r="B14" s="313" t="s">
        <v>743</v>
      </c>
      <c r="C14" s="310" t="s">
        <v>678</v>
      </c>
      <c r="D14" s="264" t="s">
        <v>37</v>
      </c>
      <c r="E14" s="265" t="n">
        <v>4.2</v>
      </c>
      <c r="F14" s="275" t="s">
        <v>521</v>
      </c>
      <c r="G14" s="266" t="n">
        <v>2000</v>
      </c>
      <c r="H14" s="222" t="n">
        <f aca="false">IF(E14="","",G14*E14)</f>
        <v>8400</v>
      </c>
      <c r="I14" s="267" t="n">
        <v>46127</v>
      </c>
      <c r="J14" s="268"/>
      <c r="K14" s="269" t="n">
        <f aca="false">IF( F14="EUR", H14 * $K$1, H14)</f>
        <v>8400</v>
      </c>
      <c r="L14" s="20"/>
      <c r="M14" s="270" t="s">
        <v>512</v>
      </c>
      <c r="N14" s="271" t="s">
        <v>679</v>
      </c>
      <c r="O14" s="272" t="s">
        <v>771</v>
      </c>
      <c r="P14" s="273" t="s">
        <v>514</v>
      </c>
      <c r="Q14" s="311" t="s">
        <v>772</v>
      </c>
    </row>
    <row r="15" customFormat="false" ht="15" hidden="false" customHeight="false" outlineLevel="0" collapsed="false">
      <c r="A15" s="89" t="n">
        <v>12</v>
      </c>
      <c r="B15" s="313" t="s">
        <v>773</v>
      </c>
      <c r="C15" s="310" t="s">
        <v>168</v>
      </c>
      <c r="D15" s="264" t="s">
        <v>13</v>
      </c>
      <c r="E15" s="265" t="n">
        <v>3.05</v>
      </c>
      <c r="F15" s="275" t="s">
        <v>511</v>
      </c>
      <c r="G15" s="266" t="n">
        <v>524</v>
      </c>
      <c r="H15" s="222" t="n">
        <f aca="false">IF(E15="","",G15*E15)</f>
        <v>1598.2</v>
      </c>
      <c r="I15" s="267" t="n">
        <v>46127</v>
      </c>
      <c r="J15" s="268"/>
      <c r="K15" s="269" t="n">
        <f aca="false">IF( F15="EUR", H15 * $K$1, H15)</f>
        <v>6952.17</v>
      </c>
      <c r="L15" s="20"/>
      <c r="M15" s="270" t="s">
        <v>512</v>
      </c>
      <c r="N15" s="271" t="s">
        <v>774</v>
      </c>
      <c r="O15" s="272" t="s">
        <v>775</v>
      </c>
      <c r="P15" s="273" t="s">
        <v>514</v>
      </c>
      <c r="Q15" s="311"/>
    </row>
    <row r="16" customFormat="false" ht="15" hidden="false" customHeight="false" outlineLevel="0" collapsed="false">
      <c r="A16" s="89" t="n">
        <v>13</v>
      </c>
      <c r="B16" s="309" t="s">
        <v>763</v>
      </c>
      <c r="C16" s="310" t="s">
        <v>23</v>
      </c>
      <c r="D16" s="264" t="s">
        <v>95</v>
      </c>
      <c r="E16" s="265" t="n">
        <v>2.97</v>
      </c>
      <c r="F16" s="175" t="s">
        <v>511</v>
      </c>
      <c r="G16" s="266" t="n">
        <v>3000</v>
      </c>
      <c r="H16" s="222" t="n">
        <f aca="false">IF(E16="","",G16*E16)</f>
        <v>8910</v>
      </c>
      <c r="I16" s="267" t="n">
        <v>46135</v>
      </c>
      <c r="J16" s="60"/>
      <c r="K16" s="269" t="n">
        <f aca="false">IF( F16="EUR", H16 * $K$1, H16)</f>
        <v>38758.5</v>
      </c>
      <c r="L16" s="20"/>
      <c r="M16" s="270" t="s">
        <v>512</v>
      </c>
      <c r="N16" s="271" t="s">
        <v>764</v>
      </c>
      <c r="O16" s="272" t="s">
        <v>776</v>
      </c>
      <c r="P16" s="273" t="s">
        <v>514</v>
      </c>
      <c r="Q16" s="170" t="s">
        <v>777</v>
      </c>
    </row>
    <row r="17" customFormat="false" ht="15" hidden="false" customHeight="false" outlineLevel="0" collapsed="false">
      <c r="A17" s="89" t="n">
        <v>14</v>
      </c>
      <c r="B17" s="319" t="s">
        <v>524</v>
      </c>
      <c r="C17" s="310" t="s">
        <v>106</v>
      </c>
      <c r="D17" s="264" t="s">
        <v>20</v>
      </c>
      <c r="E17" s="265" t="n">
        <v>13</v>
      </c>
      <c r="F17" s="175" t="s">
        <v>521</v>
      </c>
      <c r="G17" s="266" t="n">
        <v>300</v>
      </c>
      <c r="H17" s="222" t="n">
        <v>3780</v>
      </c>
      <c r="I17" s="267" t="n">
        <v>46136</v>
      </c>
      <c r="J17" s="60"/>
      <c r="K17" s="269" t="n">
        <f aca="false">IF( F17="EUR", H17 * $K$1, H17)</f>
        <v>3780</v>
      </c>
      <c r="L17" s="20"/>
      <c r="M17" s="270" t="s">
        <v>512</v>
      </c>
      <c r="N17" s="271" t="s">
        <v>778</v>
      </c>
      <c r="O17" s="272" t="s">
        <v>779</v>
      </c>
      <c r="P17" s="273" t="s">
        <v>514</v>
      </c>
      <c r="Q17" s="170"/>
    </row>
    <row r="18" customFormat="false" ht="15" hidden="false" customHeight="false" outlineLevel="0" collapsed="false">
      <c r="A18" s="89" t="n">
        <v>15</v>
      </c>
      <c r="B18" s="319" t="s">
        <v>780</v>
      </c>
      <c r="C18" s="310" t="s">
        <v>106</v>
      </c>
      <c r="D18" s="264" t="s">
        <v>20</v>
      </c>
      <c r="E18" s="265" t="n">
        <v>11.9</v>
      </c>
      <c r="F18" s="175" t="s">
        <v>521</v>
      </c>
      <c r="G18" s="266" t="n">
        <v>400</v>
      </c>
      <c r="H18" s="222" t="n">
        <v>5200</v>
      </c>
      <c r="I18" s="267" t="n">
        <v>46136</v>
      </c>
      <c r="J18" s="60"/>
      <c r="K18" s="269" t="n">
        <f aca="false">IF( F18="EUR", H18 * $K$1, H18)</f>
        <v>5200</v>
      </c>
      <c r="L18" s="20"/>
      <c r="M18" s="270" t="s">
        <v>512</v>
      </c>
      <c r="N18" s="271" t="s">
        <v>778</v>
      </c>
      <c r="O18" s="272" t="s">
        <v>779</v>
      </c>
      <c r="P18" s="273" t="s">
        <v>514</v>
      </c>
      <c r="Q18" s="170"/>
    </row>
    <row r="19" customFormat="false" ht="15" hidden="false" customHeight="false" outlineLevel="0" collapsed="false">
      <c r="A19" s="89" t="n">
        <v>16</v>
      </c>
      <c r="B19" s="319" t="s">
        <v>781</v>
      </c>
      <c r="C19" s="310" t="s">
        <v>106</v>
      </c>
      <c r="D19" s="264" t="s">
        <v>20</v>
      </c>
      <c r="E19" s="265" t="n">
        <v>14.5</v>
      </c>
      <c r="F19" s="175" t="s">
        <v>521</v>
      </c>
      <c r="G19" s="266" t="n">
        <v>200</v>
      </c>
      <c r="H19" s="222" t="n">
        <f aca="false">IF(E19="","",G19*E19)</f>
        <v>2900</v>
      </c>
      <c r="I19" s="267" t="n">
        <v>46139</v>
      </c>
      <c r="J19" s="60"/>
      <c r="K19" s="269" t="n">
        <f aca="false">IF( F19="EUR", H19 * $K$1, H19)</f>
        <v>2900</v>
      </c>
      <c r="L19" s="20"/>
      <c r="M19" s="270" t="s">
        <v>512</v>
      </c>
      <c r="N19" s="271" t="s">
        <v>778</v>
      </c>
      <c r="O19" s="272" t="s">
        <v>782</v>
      </c>
      <c r="P19" s="273" t="s">
        <v>514</v>
      </c>
      <c r="Q19" s="170"/>
    </row>
    <row r="20" customFormat="false" ht="15" hidden="false" customHeight="false" outlineLevel="0" collapsed="false">
      <c r="A20" s="89" t="n">
        <v>17</v>
      </c>
      <c r="B20" s="320" t="s">
        <v>739</v>
      </c>
      <c r="C20" s="310" t="s">
        <v>740</v>
      </c>
      <c r="D20" s="264" t="s">
        <v>37</v>
      </c>
      <c r="E20" s="265" t="n">
        <v>3.6</v>
      </c>
      <c r="F20" s="89" t="s">
        <v>521</v>
      </c>
      <c r="G20" s="266" t="n">
        <v>3000</v>
      </c>
      <c r="H20" s="222" t="n">
        <f aca="false">IF(E20="","",G20*E20)</f>
        <v>10800</v>
      </c>
      <c r="I20" s="267" t="n">
        <v>46139</v>
      </c>
      <c r="J20" s="38"/>
      <c r="K20" s="269"/>
      <c r="L20" s="38"/>
      <c r="M20" s="270" t="s">
        <v>783</v>
      </c>
      <c r="N20" s="311" t="s">
        <v>784</v>
      </c>
      <c r="O20" s="312"/>
      <c r="P20" s="311" t="s">
        <v>514</v>
      </c>
      <c r="Q20" s="321" t="s">
        <v>785</v>
      </c>
    </row>
    <row r="21" customFormat="false" ht="27" hidden="false" customHeight="false" outlineLevel="0" collapsed="false">
      <c r="A21" s="89" t="n">
        <v>18</v>
      </c>
      <c r="B21" s="309" t="s">
        <v>763</v>
      </c>
      <c r="C21" s="310" t="s">
        <v>23</v>
      </c>
      <c r="D21" s="264" t="s">
        <v>95</v>
      </c>
      <c r="E21" s="265" t="n">
        <v>2.97</v>
      </c>
      <c r="F21" s="275" t="s">
        <v>511</v>
      </c>
      <c r="G21" s="266" t="n">
        <v>3000</v>
      </c>
      <c r="H21" s="222" t="n">
        <f aca="false">IF(E21="","",G21*E21)</f>
        <v>8910</v>
      </c>
      <c r="I21" s="267" t="n">
        <v>46139</v>
      </c>
      <c r="J21" s="89"/>
      <c r="K21" s="269" t="n">
        <f aca="false">IF( F21="EUR", H21 * $K$1, H21)</f>
        <v>38758.5</v>
      </c>
      <c r="L21" s="170"/>
      <c r="M21" s="270" t="s">
        <v>512</v>
      </c>
      <c r="N21" s="271" t="s">
        <v>786</v>
      </c>
      <c r="O21" s="322" t="s">
        <v>787</v>
      </c>
      <c r="P21" s="311" t="s">
        <v>514</v>
      </c>
      <c r="Q21" s="311" t="s">
        <v>788</v>
      </c>
    </row>
    <row r="22" customFormat="false" ht="15" hidden="false" customHeight="false" outlineLevel="0" collapsed="false">
      <c r="A22" s="89" t="n">
        <v>19</v>
      </c>
      <c r="B22" s="323" t="s">
        <v>789</v>
      </c>
      <c r="C22" s="310" t="s">
        <v>136</v>
      </c>
      <c r="D22" s="264" t="s">
        <v>37</v>
      </c>
      <c r="E22" s="265" t="n">
        <v>5.2</v>
      </c>
      <c r="F22" s="284" t="s">
        <v>521</v>
      </c>
      <c r="G22" s="266" t="n">
        <v>5500</v>
      </c>
      <c r="H22" s="222" t="n">
        <f aca="false">IF(E22="","",G22*E22)</f>
        <v>28600</v>
      </c>
      <c r="I22" s="267" t="n">
        <v>46141</v>
      </c>
      <c r="J22" s="60"/>
      <c r="K22" s="269" t="n">
        <f aca="false">IF( F22="EUR", H22 * $K$1, H22)</f>
        <v>28600</v>
      </c>
      <c r="L22" s="20"/>
      <c r="M22" s="270" t="s">
        <v>512</v>
      </c>
      <c r="N22" s="271" t="s">
        <v>790</v>
      </c>
      <c r="O22" s="272" t="s">
        <v>791</v>
      </c>
      <c r="P22" s="273" t="s">
        <v>514</v>
      </c>
      <c r="Q22" s="170"/>
    </row>
    <row r="23" customFormat="false" ht="15" hidden="false" customHeight="false" outlineLevel="0" collapsed="false">
      <c r="A23" s="89" t="n">
        <v>20</v>
      </c>
      <c r="B23" s="313" t="s">
        <v>743</v>
      </c>
      <c r="C23" s="310" t="s">
        <v>678</v>
      </c>
      <c r="D23" s="264" t="s">
        <v>37</v>
      </c>
      <c r="E23" s="265" t="n">
        <v>4.2</v>
      </c>
      <c r="F23" s="275" t="s">
        <v>521</v>
      </c>
      <c r="G23" s="266" t="n">
        <v>2050</v>
      </c>
      <c r="H23" s="222" t="n">
        <f aca="false">IF(E23="","",G23*E23)</f>
        <v>8610</v>
      </c>
      <c r="I23" s="267" t="n">
        <v>46141</v>
      </c>
      <c r="J23" s="268"/>
      <c r="K23" s="324" t="n">
        <f aca="false">IF( F23="EUR", H23 * $K$1, H23)</f>
        <v>8610</v>
      </c>
      <c r="L23" s="20"/>
      <c r="M23" s="270" t="s">
        <v>512</v>
      </c>
      <c r="N23" s="325" t="s">
        <v>792</v>
      </c>
      <c r="O23" s="326" t="s">
        <v>793</v>
      </c>
      <c r="P23" s="327" t="s">
        <v>514</v>
      </c>
      <c r="Q23" s="328"/>
    </row>
    <row r="24" customFormat="false" ht="15" hidden="false" customHeight="false" outlineLevel="0" collapsed="false">
      <c r="A24" s="89" t="n">
        <v>21</v>
      </c>
      <c r="B24" s="309" t="s">
        <v>794</v>
      </c>
      <c r="C24" s="329"/>
      <c r="D24" s="330" t="s">
        <v>37</v>
      </c>
      <c r="E24" s="265" t="n">
        <v>5.9</v>
      </c>
      <c r="F24" s="175" t="s">
        <v>521</v>
      </c>
      <c r="G24" s="266" t="n">
        <v>2000</v>
      </c>
      <c r="H24" s="222" t="n">
        <f aca="false">IF(E24="","",G24*E24)</f>
        <v>11800</v>
      </c>
      <c r="I24" s="267" t="n">
        <v>46142</v>
      </c>
      <c r="J24" s="268"/>
      <c r="K24" s="269" t="n">
        <f aca="false">IF( F24="EUR", H24 * $K$1, H24)</f>
        <v>11800</v>
      </c>
      <c r="L24" s="20"/>
      <c r="M24" s="270" t="s">
        <v>512</v>
      </c>
      <c r="N24" s="271" t="s">
        <v>795</v>
      </c>
      <c r="O24" s="272" t="s">
        <v>791</v>
      </c>
      <c r="P24" s="273" t="s">
        <v>514</v>
      </c>
      <c r="Q24" s="170"/>
    </row>
    <row r="25" customFormat="false" ht="18" hidden="false" customHeight="true" outlineLevel="0" collapsed="false">
      <c r="A25" s="89" t="n">
        <v>22</v>
      </c>
      <c r="B25" s="313" t="s">
        <v>178</v>
      </c>
      <c r="C25" s="310" t="s">
        <v>16</v>
      </c>
      <c r="D25" s="264" t="s">
        <v>179</v>
      </c>
      <c r="E25" s="265" t="n">
        <v>7.9</v>
      </c>
      <c r="F25" s="275" t="s">
        <v>521</v>
      </c>
      <c r="G25" s="266" t="n">
        <v>1220</v>
      </c>
      <c r="H25" s="222" t="n">
        <v>9282.5</v>
      </c>
      <c r="I25" s="267" t="n">
        <v>46142</v>
      </c>
      <c r="J25" s="268"/>
      <c r="K25" s="269" t="n">
        <f aca="false">IF( F25="EUR", H25 * KWIECIEŃ_2026!$K$1, H25)</f>
        <v>9282.5</v>
      </c>
      <c r="L25" s="20"/>
      <c r="M25" s="270" t="s">
        <v>512</v>
      </c>
      <c r="N25" s="271" t="s">
        <v>796</v>
      </c>
      <c r="O25" s="272" t="s">
        <v>797</v>
      </c>
      <c r="P25" s="273" t="s">
        <v>514</v>
      </c>
      <c r="Q25" s="311"/>
    </row>
    <row r="26" customFormat="false" ht="19.5" hidden="false" customHeight="false" outlineLevel="0" collapsed="false">
      <c r="B26" s="19"/>
      <c r="C26" s="19"/>
      <c r="D26" s="19"/>
      <c r="E26" s="19"/>
      <c r="F26" s="19"/>
      <c r="G26" s="19"/>
      <c r="H26" s="19"/>
      <c r="I26" s="19"/>
      <c r="K26" s="331" t="n">
        <f aca="false">SUM(K4:K25)</f>
        <v>333169.045</v>
      </c>
    </row>
    <row r="27" customFormat="false" ht="15" hidden="false" customHeight="false" outlineLevel="0" collapsed="false">
      <c r="K27" s="18"/>
    </row>
    <row r="28" customFormat="false" ht="26.25" hidden="false" customHeight="true" outlineLevel="0" collapsed="false">
      <c r="A28" s="262" t="s">
        <v>210</v>
      </c>
      <c r="B28" s="262"/>
      <c r="C28" s="262"/>
      <c r="D28" s="262"/>
      <c r="E28" s="262"/>
      <c r="F28" s="262"/>
      <c r="G28" s="262"/>
      <c r="H28" s="262"/>
      <c r="I28" s="262"/>
    </row>
    <row r="29" customFormat="false" ht="45" hidden="false" customHeight="false" outlineLevel="0" collapsed="false">
      <c r="A29" s="185" t="s">
        <v>1</v>
      </c>
      <c r="B29" s="185" t="s">
        <v>2</v>
      </c>
      <c r="C29" s="185" t="s">
        <v>3</v>
      </c>
      <c r="D29" s="185" t="s">
        <v>4</v>
      </c>
      <c r="E29" s="185" t="s">
        <v>5</v>
      </c>
      <c r="F29" s="185" t="s">
        <v>505</v>
      </c>
      <c r="G29" s="185" t="s">
        <v>6</v>
      </c>
      <c r="H29" s="185" t="s">
        <v>506</v>
      </c>
      <c r="I29" s="185" t="s">
        <v>8</v>
      </c>
      <c r="K29" s="186" t="s">
        <v>507</v>
      </c>
      <c r="M29" s="187" t="s">
        <v>190</v>
      </c>
      <c r="N29" s="139" t="s">
        <v>558</v>
      </c>
      <c r="O29" s="139" t="s">
        <v>191</v>
      </c>
      <c r="P29" s="139" t="s">
        <v>509</v>
      </c>
      <c r="Q29" s="139" t="s">
        <v>211</v>
      </c>
    </row>
    <row r="30" customFormat="false" ht="15" hidden="false" customHeight="false" outlineLevel="0" collapsed="false">
      <c r="A30" s="89" t="n">
        <v>1</v>
      </c>
      <c r="B30" s="332" t="s">
        <v>615</v>
      </c>
      <c r="C30" s="39" t="s">
        <v>23</v>
      </c>
      <c r="D30" s="333" t="s">
        <v>306</v>
      </c>
      <c r="E30" s="171" t="n">
        <v>47</v>
      </c>
      <c r="F30" s="275" t="s">
        <v>521</v>
      </c>
      <c r="G30" s="39" t="n">
        <v>99</v>
      </c>
      <c r="H30" s="222" t="n">
        <f aca="false">IF(E30="", "", G30 * E30)</f>
        <v>4653</v>
      </c>
      <c r="I30" s="168" t="n">
        <v>46113</v>
      </c>
      <c r="J30" s="20"/>
      <c r="K30" s="269" t="n">
        <f aca="false">IF( F30="EUR", H30 * $K$1, H30)</f>
        <v>4653</v>
      </c>
      <c r="L30" s="20"/>
      <c r="M30" s="334" t="s">
        <v>512</v>
      </c>
      <c r="N30" s="335" t="s">
        <v>798</v>
      </c>
      <c r="O30" s="336" t="s">
        <v>799</v>
      </c>
      <c r="P30" s="170" t="s">
        <v>514</v>
      </c>
      <c r="Q30" s="170" t="s">
        <v>800</v>
      </c>
    </row>
    <row r="31" customFormat="false" ht="15" hidden="false" customHeight="false" outlineLevel="0" collapsed="false">
      <c r="A31" s="89" t="n">
        <v>2</v>
      </c>
      <c r="B31" s="337" t="s">
        <v>728</v>
      </c>
      <c r="C31" s="39" t="s">
        <v>23</v>
      </c>
      <c r="D31" s="264" t="s">
        <v>212</v>
      </c>
      <c r="E31" s="171" t="n">
        <v>33.54</v>
      </c>
      <c r="F31" s="275" t="s">
        <v>521</v>
      </c>
      <c r="G31" s="39" t="n">
        <v>25</v>
      </c>
      <c r="H31" s="222" t="n">
        <f aca="false">IF(E31="", "", G31 * E31)</f>
        <v>838.5</v>
      </c>
      <c r="I31" s="168" t="n">
        <v>46114</v>
      </c>
      <c r="J31" s="20"/>
      <c r="K31" s="269" t="n">
        <f aca="false">IF( F31="EUR", H31 * $K$1, H31)</f>
        <v>838.5</v>
      </c>
      <c r="L31" s="20"/>
      <c r="M31" s="334" t="s">
        <v>512</v>
      </c>
      <c r="N31" s="335" t="s">
        <v>726</v>
      </c>
      <c r="O31" s="336" t="s">
        <v>801</v>
      </c>
      <c r="P31" s="170" t="s">
        <v>514</v>
      </c>
      <c r="Q31" s="170"/>
    </row>
    <row r="32" customFormat="false" ht="15" hidden="false" customHeight="false" outlineLevel="0" collapsed="false">
      <c r="A32" s="89" t="n">
        <v>3</v>
      </c>
      <c r="B32" s="338" t="s">
        <v>802</v>
      </c>
      <c r="C32" s="39" t="s">
        <v>803</v>
      </c>
      <c r="D32" s="264" t="s">
        <v>212</v>
      </c>
      <c r="E32" s="171" t="n">
        <v>36.8</v>
      </c>
      <c r="F32" s="275" t="s">
        <v>521</v>
      </c>
      <c r="G32" s="39" t="n">
        <v>25</v>
      </c>
      <c r="H32" s="222" t="n">
        <f aca="false">IF(E32="", "", G32 * E32)</f>
        <v>920</v>
      </c>
      <c r="I32" s="168" t="n">
        <v>46114</v>
      </c>
      <c r="J32" s="20"/>
      <c r="K32" s="269" t="n">
        <f aca="false">IF( F32="EUR", H32 * $K$1, H32)</f>
        <v>920</v>
      </c>
      <c r="L32" s="20"/>
      <c r="M32" s="334" t="s">
        <v>512</v>
      </c>
      <c r="N32" s="339" t="s">
        <v>804</v>
      </c>
      <c r="O32" s="336" t="s">
        <v>801</v>
      </c>
      <c r="P32" s="170" t="s">
        <v>514</v>
      </c>
      <c r="Q32" s="170"/>
    </row>
    <row r="33" customFormat="false" ht="15" hidden="false" customHeight="false" outlineLevel="0" collapsed="false">
      <c r="A33" s="89" t="n">
        <v>4</v>
      </c>
      <c r="B33" s="337" t="s">
        <v>635</v>
      </c>
      <c r="C33" s="39" t="s">
        <v>23</v>
      </c>
      <c r="D33" s="264" t="s">
        <v>212</v>
      </c>
      <c r="E33" s="171" t="n">
        <v>34.86</v>
      </c>
      <c r="F33" s="275" t="s">
        <v>521</v>
      </c>
      <c r="G33" s="39" t="n">
        <v>67.9</v>
      </c>
      <c r="H33" s="222" t="n">
        <f aca="false">IF(E33="", "", G33 * E33)</f>
        <v>2366.994</v>
      </c>
      <c r="I33" s="168" t="n">
        <v>46115</v>
      </c>
      <c r="J33" s="20"/>
      <c r="K33" s="269" t="n">
        <f aca="false">IF( F33="EUR", H33 * $K$1, H33)</f>
        <v>2366.994</v>
      </c>
      <c r="L33" s="20"/>
      <c r="M33" s="334" t="s">
        <v>512</v>
      </c>
      <c r="N33" s="335" t="s">
        <v>805</v>
      </c>
      <c r="O33" s="336" t="s">
        <v>806</v>
      </c>
      <c r="P33" s="170" t="s">
        <v>618</v>
      </c>
      <c r="Q33" s="170"/>
    </row>
    <row r="34" customFormat="false" ht="15" hidden="false" customHeight="false" outlineLevel="0" collapsed="false">
      <c r="A34" s="89" t="n">
        <v>5</v>
      </c>
      <c r="B34" s="337" t="s">
        <v>620</v>
      </c>
      <c r="C34" s="39" t="s">
        <v>807</v>
      </c>
      <c r="D34" s="264" t="s">
        <v>212</v>
      </c>
      <c r="E34" s="171" t="n">
        <v>48.92</v>
      </c>
      <c r="F34" s="275" t="s">
        <v>521</v>
      </c>
      <c r="G34" s="39" t="n">
        <v>25</v>
      </c>
      <c r="H34" s="222" t="n">
        <f aca="false">IF(E34="", "", G34 * E34)</f>
        <v>1223</v>
      </c>
      <c r="I34" s="168" t="n">
        <v>46115</v>
      </c>
      <c r="J34" s="20"/>
      <c r="K34" s="269" t="n">
        <f aca="false">IF( F34="EUR", H34 * $K$1, H34)</f>
        <v>1223</v>
      </c>
      <c r="L34" s="20"/>
      <c r="M34" s="334" t="s">
        <v>512</v>
      </c>
      <c r="N34" s="335" t="s">
        <v>808</v>
      </c>
      <c r="O34" s="336" t="s">
        <v>806</v>
      </c>
      <c r="P34" s="170" t="s">
        <v>618</v>
      </c>
      <c r="Q34" s="170" t="s">
        <v>809</v>
      </c>
    </row>
    <row r="35" customFormat="false" ht="15" hidden="false" customHeight="false" outlineLevel="0" collapsed="false">
      <c r="A35" s="89" t="n">
        <v>6</v>
      </c>
      <c r="B35" s="337" t="s">
        <v>810</v>
      </c>
      <c r="C35" s="39" t="s">
        <v>23</v>
      </c>
      <c r="D35" s="264" t="s">
        <v>212</v>
      </c>
      <c r="E35" s="171" t="n">
        <v>35.15</v>
      </c>
      <c r="F35" s="275" t="s">
        <v>521</v>
      </c>
      <c r="G35" s="39" t="n">
        <v>25</v>
      </c>
      <c r="H35" s="222" t="n">
        <f aca="false">IF(E35="", "", G35 * E35)</f>
        <v>878.75</v>
      </c>
      <c r="I35" s="168" t="n">
        <v>46115</v>
      </c>
      <c r="J35" s="20"/>
      <c r="K35" s="269" t="n">
        <f aca="false">IF( F35="EUR", H35 * $K$1, H35)</f>
        <v>878.75</v>
      </c>
      <c r="L35" s="20"/>
      <c r="M35" s="334" t="s">
        <v>512</v>
      </c>
      <c r="N35" s="335" t="s">
        <v>811</v>
      </c>
      <c r="O35" s="336" t="s">
        <v>812</v>
      </c>
      <c r="P35" s="170" t="s">
        <v>618</v>
      </c>
      <c r="Q35" s="170"/>
    </row>
    <row r="36" customFormat="false" ht="15" hidden="false" customHeight="false" outlineLevel="0" collapsed="false">
      <c r="A36" s="89" t="n">
        <v>7</v>
      </c>
      <c r="B36" s="332" t="s">
        <v>813</v>
      </c>
      <c r="C36" s="39" t="s">
        <v>23</v>
      </c>
      <c r="D36" s="333" t="s">
        <v>306</v>
      </c>
      <c r="E36" s="171" t="n">
        <v>27.8</v>
      </c>
      <c r="F36" s="275" t="s">
        <v>521</v>
      </c>
      <c r="G36" s="39" t="n">
        <v>24.5</v>
      </c>
      <c r="H36" s="222" t="n">
        <f aca="false">IF(E36="", "", G36 * E36)</f>
        <v>681.1</v>
      </c>
      <c r="I36" s="168" t="n">
        <v>46115</v>
      </c>
      <c r="J36" s="20"/>
      <c r="K36" s="269" t="n">
        <f aca="false">IF( F36="EUR", H36 * $K$1, H36)</f>
        <v>681.1</v>
      </c>
      <c r="L36" s="20"/>
      <c r="M36" s="334" t="s">
        <v>512</v>
      </c>
      <c r="N36" s="335" t="s">
        <v>814</v>
      </c>
      <c r="O36" s="336" t="s">
        <v>815</v>
      </c>
      <c r="P36" s="170" t="s">
        <v>514</v>
      </c>
      <c r="Q36" s="170"/>
    </row>
    <row r="37" customFormat="false" ht="15" hidden="false" customHeight="false" outlineLevel="0" collapsed="false">
      <c r="A37" s="89" t="n">
        <v>8</v>
      </c>
      <c r="B37" s="337" t="s">
        <v>620</v>
      </c>
      <c r="C37" s="39" t="s">
        <v>807</v>
      </c>
      <c r="D37" s="264" t="s">
        <v>212</v>
      </c>
      <c r="E37" s="171" t="n">
        <v>48.92</v>
      </c>
      <c r="F37" s="275" t="s">
        <v>521</v>
      </c>
      <c r="G37" s="39" t="n">
        <v>29.1</v>
      </c>
      <c r="H37" s="222" t="n">
        <f aca="false">IF(E37="", "", G37 * E37)</f>
        <v>1423.572</v>
      </c>
      <c r="I37" s="168" t="n">
        <v>46127</v>
      </c>
      <c r="J37" s="20"/>
      <c r="K37" s="269" t="n">
        <f aca="false">IF( F37="EUR", H37 * $K$1, H37)</f>
        <v>1423.572</v>
      </c>
      <c r="L37" s="20"/>
      <c r="M37" s="334" t="s">
        <v>512</v>
      </c>
      <c r="N37" s="335" t="s">
        <v>808</v>
      </c>
      <c r="O37" s="336" t="s">
        <v>816</v>
      </c>
      <c r="P37" s="170" t="s">
        <v>618</v>
      </c>
      <c r="Q37" s="339" t="s">
        <v>817</v>
      </c>
    </row>
    <row r="38" customFormat="false" ht="15" hidden="false" customHeight="false" outlineLevel="0" collapsed="false">
      <c r="A38" s="89" t="n">
        <v>9</v>
      </c>
      <c r="B38" s="337" t="s">
        <v>635</v>
      </c>
      <c r="C38" s="39" t="s">
        <v>23</v>
      </c>
      <c r="D38" s="264" t="s">
        <v>212</v>
      </c>
      <c r="E38" s="171" t="n">
        <v>34.88</v>
      </c>
      <c r="F38" s="275" t="s">
        <v>521</v>
      </c>
      <c r="G38" s="39" t="n">
        <v>25</v>
      </c>
      <c r="H38" s="222" t="n">
        <f aca="false">IF(E38="", "", G38 * E38)</f>
        <v>872</v>
      </c>
      <c r="I38" s="322" t="s">
        <v>818</v>
      </c>
      <c r="J38" s="20"/>
      <c r="K38" s="269" t="n">
        <f aca="false">IF( F38="EUR", H38 * $K$1, H38)</f>
        <v>872</v>
      </c>
      <c r="L38" s="20"/>
      <c r="M38" s="334" t="s">
        <v>512</v>
      </c>
      <c r="N38" s="335" t="s">
        <v>808</v>
      </c>
      <c r="O38" s="336" t="s">
        <v>819</v>
      </c>
      <c r="P38" s="170" t="s">
        <v>618</v>
      </c>
      <c r="Q38" s="170"/>
    </row>
    <row r="39" customFormat="false" ht="15" hidden="false" customHeight="false" outlineLevel="0" collapsed="false">
      <c r="A39" s="89" t="n">
        <v>10</v>
      </c>
      <c r="B39" s="332" t="s">
        <v>615</v>
      </c>
      <c r="C39" s="39" t="s">
        <v>23</v>
      </c>
      <c r="D39" s="333" t="s">
        <v>306</v>
      </c>
      <c r="E39" s="171" t="n">
        <v>47</v>
      </c>
      <c r="F39" s="275" t="s">
        <v>521</v>
      </c>
      <c r="G39" s="39" t="n">
        <v>120</v>
      </c>
      <c r="H39" s="222" t="n">
        <f aca="false">IF(E39="", "", G39 * E39)</f>
        <v>5640</v>
      </c>
      <c r="I39" s="168" t="n">
        <v>46120</v>
      </c>
      <c r="J39" s="20"/>
      <c r="K39" s="269" t="n">
        <f aca="false">IF( F39="EUR", H39 * $K$1, H39)</f>
        <v>5640</v>
      </c>
      <c r="L39" s="20"/>
      <c r="M39" s="334" t="s">
        <v>512</v>
      </c>
      <c r="N39" s="335" t="s">
        <v>798</v>
      </c>
      <c r="O39" s="336" t="s">
        <v>820</v>
      </c>
      <c r="P39" s="170" t="s">
        <v>514</v>
      </c>
      <c r="Q39" s="170" t="s">
        <v>821</v>
      </c>
    </row>
    <row r="40" customFormat="false" ht="15" hidden="false" customHeight="false" outlineLevel="0" collapsed="false">
      <c r="A40" s="89" t="n">
        <v>11</v>
      </c>
      <c r="B40" s="332" t="s">
        <v>822</v>
      </c>
      <c r="C40" s="39" t="s">
        <v>23</v>
      </c>
      <c r="D40" s="333" t="s">
        <v>306</v>
      </c>
      <c r="E40" s="171" t="n">
        <v>57.1</v>
      </c>
      <c r="F40" s="275" t="s">
        <v>521</v>
      </c>
      <c r="G40" s="39" t="n">
        <v>29</v>
      </c>
      <c r="H40" s="222" t="n">
        <f aca="false">IF(E40="", "", G40 * E40)</f>
        <v>1655.9</v>
      </c>
      <c r="I40" s="168" t="n">
        <v>46120</v>
      </c>
      <c r="J40" s="20"/>
      <c r="K40" s="269" t="n">
        <f aca="false">IF( F40="EUR", H40 * $K$1, H40)</f>
        <v>1655.9</v>
      </c>
      <c r="L40" s="20"/>
      <c r="M40" s="334" t="s">
        <v>512</v>
      </c>
      <c r="N40" s="335" t="s">
        <v>798</v>
      </c>
      <c r="O40" s="336" t="s">
        <v>823</v>
      </c>
      <c r="P40" s="170" t="s">
        <v>514</v>
      </c>
      <c r="Q40" s="170"/>
    </row>
    <row r="41" customFormat="false" ht="15" hidden="false" customHeight="false" outlineLevel="0" collapsed="false">
      <c r="A41" s="89" t="n">
        <v>12</v>
      </c>
      <c r="B41" s="332" t="s">
        <v>615</v>
      </c>
      <c r="C41" s="39" t="s">
        <v>23</v>
      </c>
      <c r="D41" s="333" t="s">
        <v>306</v>
      </c>
      <c r="E41" s="171" t="n">
        <v>47</v>
      </c>
      <c r="F41" s="275" t="s">
        <v>521</v>
      </c>
      <c r="G41" s="39" t="n">
        <v>60</v>
      </c>
      <c r="H41" s="222" t="n">
        <f aca="false">IF(E41="", "", G41 * E41)</f>
        <v>2820</v>
      </c>
      <c r="I41" s="168" t="n">
        <v>46120</v>
      </c>
      <c r="J41" s="20"/>
      <c r="K41" s="269" t="n">
        <f aca="false">IF( F41="EUR", H41 * $K$1, H41)</f>
        <v>2820</v>
      </c>
      <c r="L41" s="20"/>
      <c r="M41" s="334" t="s">
        <v>512</v>
      </c>
      <c r="N41" s="335" t="s">
        <v>824</v>
      </c>
      <c r="O41" s="314" t="s">
        <v>820</v>
      </c>
      <c r="P41" s="170" t="s">
        <v>514</v>
      </c>
      <c r="Q41" s="170"/>
    </row>
    <row r="42" customFormat="false" ht="15" hidden="false" customHeight="false" outlineLevel="0" collapsed="false">
      <c r="A42" s="89" t="n">
        <v>13</v>
      </c>
      <c r="B42" s="337" t="s">
        <v>733</v>
      </c>
      <c r="C42" s="39" t="s">
        <v>41</v>
      </c>
      <c r="D42" s="264" t="s">
        <v>212</v>
      </c>
      <c r="E42" s="171" t="n">
        <v>13.89</v>
      </c>
      <c r="F42" s="275" t="s">
        <v>521</v>
      </c>
      <c r="G42" s="39" t="n">
        <v>25</v>
      </c>
      <c r="H42" s="222" t="n">
        <f aca="false">IF(E42="", "", G42 * E42)</f>
        <v>347.25</v>
      </c>
      <c r="I42" s="168" t="n">
        <v>46125</v>
      </c>
      <c r="J42" s="20"/>
      <c r="K42" s="269" t="n">
        <f aca="false">IF( F42="EUR", H42 * $K$1, H42)</f>
        <v>347.25</v>
      </c>
      <c r="L42" s="20"/>
      <c r="M42" s="334" t="s">
        <v>512</v>
      </c>
      <c r="N42" s="339" t="s">
        <v>825</v>
      </c>
      <c r="O42" s="336" t="s">
        <v>826</v>
      </c>
      <c r="P42" s="170" t="s">
        <v>618</v>
      </c>
      <c r="Q42" s="170"/>
    </row>
    <row r="43" customFormat="false" ht="15" hidden="false" customHeight="false" outlineLevel="0" collapsed="false">
      <c r="A43" s="89" t="n">
        <v>14</v>
      </c>
      <c r="B43" s="337" t="s">
        <v>736</v>
      </c>
      <c r="C43" s="39" t="s">
        <v>41</v>
      </c>
      <c r="D43" s="264" t="s">
        <v>212</v>
      </c>
      <c r="E43" s="171" t="n">
        <v>32.3</v>
      </c>
      <c r="F43" s="275" t="s">
        <v>521</v>
      </c>
      <c r="G43" s="39" t="n">
        <v>25</v>
      </c>
      <c r="H43" s="222" t="n">
        <f aca="false">IF(E43="", "", G43 * E43)</f>
        <v>807.5</v>
      </c>
      <c r="I43" s="168" t="n">
        <v>46125</v>
      </c>
      <c r="J43" s="20"/>
      <c r="K43" s="269" t="n">
        <f aca="false">IF( F43="EUR", H43 * $K$1, H43)</f>
        <v>807.5</v>
      </c>
      <c r="L43" s="20"/>
      <c r="M43" s="334" t="s">
        <v>512</v>
      </c>
      <c r="N43" s="339" t="s">
        <v>825</v>
      </c>
      <c r="O43" s="336" t="s">
        <v>827</v>
      </c>
      <c r="P43" s="170" t="s">
        <v>618</v>
      </c>
      <c r="Q43" s="170"/>
    </row>
    <row r="44" customFormat="false" ht="15" hidden="false" customHeight="false" outlineLevel="0" collapsed="false">
      <c r="A44" s="89" t="n">
        <v>15</v>
      </c>
      <c r="B44" s="309" t="s">
        <v>737</v>
      </c>
      <c r="C44" s="39" t="s">
        <v>41</v>
      </c>
      <c r="D44" s="264" t="s">
        <v>212</v>
      </c>
      <c r="E44" s="171" t="n">
        <v>29.93</v>
      </c>
      <c r="F44" s="275" t="s">
        <v>521</v>
      </c>
      <c r="G44" s="39" t="n">
        <v>25</v>
      </c>
      <c r="H44" s="222" t="n">
        <f aca="false">IF(E44="", "", G44 * E44)</f>
        <v>748.25</v>
      </c>
      <c r="I44" s="168" t="n">
        <v>46127</v>
      </c>
      <c r="J44" s="20"/>
      <c r="K44" s="269" t="n">
        <f aca="false">IF( F44="EUR", H44 * $K$1, H44)</f>
        <v>748.25</v>
      </c>
      <c r="L44" s="20"/>
      <c r="M44" s="334" t="s">
        <v>512</v>
      </c>
      <c r="N44" s="339" t="s">
        <v>825</v>
      </c>
      <c r="O44" s="336" t="s">
        <v>828</v>
      </c>
      <c r="P44" s="170" t="s">
        <v>618</v>
      </c>
      <c r="Q44" s="339"/>
    </row>
    <row r="45" customFormat="false" ht="15" hidden="false" customHeight="false" outlineLevel="0" collapsed="false">
      <c r="A45" s="89" t="n">
        <v>16</v>
      </c>
      <c r="B45" s="337" t="s">
        <v>829</v>
      </c>
      <c r="C45" s="39" t="s">
        <v>23</v>
      </c>
      <c r="D45" s="264" t="s">
        <v>306</v>
      </c>
      <c r="E45" s="171" t="n">
        <v>26.5</v>
      </c>
      <c r="F45" s="275" t="s">
        <v>521</v>
      </c>
      <c r="G45" s="39" t="n">
        <v>51.5</v>
      </c>
      <c r="H45" s="222" t="n">
        <f aca="false">IF(E45="", "", G45 * E45)</f>
        <v>1364.75</v>
      </c>
      <c r="I45" s="168" t="n">
        <v>46128</v>
      </c>
      <c r="J45" s="20"/>
      <c r="K45" s="269" t="n">
        <f aca="false">IF( F45="EUR", H45 * $K$1, H45)</f>
        <v>1364.75</v>
      </c>
      <c r="L45" s="20"/>
      <c r="M45" s="334" t="s">
        <v>512</v>
      </c>
      <c r="N45" s="335" t="s">
        <v>830</v>
      </c>
      <c r="O45" s="336" t="s">
        <v>831</v>
      </c>
      <c r="P45" s="170" t="s">
        <v>514</v>
      </c>
      <c r="Q45" s="170"/>
    </row>
    <row r="46" customFormat="false" ht="15" hidden="false" customHeight="false" outlineLevel="0" collapsed="false">
      <c r="A46" s="89" t="n">
        <v>17</v>
      </c>
      <c r="B46" s="317" t="s">
        <v>627</v>
      </c>
      <c r="C46" s="39" t="s">
        <v>23</v>
      </c>
      <c r="D46" s="333" t="s">
        <v>306</v>
      </c>
      <c r="E46" s="171" t="n">
        <v>30</v>
      </c>
      <c r="F46" s="275" t="s">
        <v>521</v>
      </c>
      <c r="G46" s="39" t="n">
        <v>25</v>
      </c>
      <c r="H46" s="222" t="n">
        <f aca="false">IF(E46="", "", G46 * E46)</f>
        <v>750</v>
      </c>
      <c r="I46" s="168" t="n">
        <v>46128</v>
      </c>
      <c r="J46" s="20"/>
      <c r="K46" s="269" t="n">
        <f aca="false">IF( F46="EUR", H46 * $K$1, H46)</f>
        <v>750</v>
      </c>
      <c r="L46" s="20"/>
      <c r="M46" s="334" t="s">
        <v>512</v>
      </c>
      <c r="N46" s="335" t="s">
        <v>832</v>
      </c>
      <c r="O46" s="336" t="s">
        <v>833</v>
      </c>
      <c r="P46" s="170" t="s">
        <v>514</v>
      </c>
      <c r="Q46" s="170"/>
    </row>
    <row r="47" customFormat="false" ht="15" hidden="false" customHeight="false" outlineLevel="0" collapsed="false">
      <c r="A47" s="89" t="n">
        <v>18</v>
      </c>
      <c r="B47" s="337" t="s">
        <v>630</v>
      </c>
      <c r="C47" s="39" t="s">
        <v>23</v>
      </c>
      <c r="D47" s="333" t="s">
        <v>306</v>
      </c>
      <c r="E47" s="171" t="n">
        <v>21.55</v>
      </c>
      <c r="F47" s="275" t="s">
        <v>521</v>
      </c>
      <c r="G47" s="39" t="n">
        <v>25</v>
      </c>
      <c r="H47" s="222" t="n">
        <f aca="false">IF(E47="", "", G47 * E47)</f>
        <v>538.75</v>
      </c>
      <c r="I47" s="168" t="n">
        <v>46128</v>
      </c>
      <c r="J47" s="20"/>
      <c r="K47" s="269" t="n">
        <f aca="false">IF( F47="EUR", H47 * $K$1, H47)</f>
        <v>538.75</v>
      </c>
      <c r="L47" s="20"/>
      <c r="M47" s="334" t="s">
        <v>512</v>
      </c>
      <c r="N47" s="335" t="s">
        <v>832</v>
      </c>
      <c r="O47" s="336" t="s">
        <v>833</v>
      </c>
      <c r="P47" s="170" t="s">
        <v>514</v>
      </c>
      <c r="Q47" s="170"/>
    </row>
    <row r="48" customFormat="false" ht="15" hidden="false" customHeight="false" outlineLevel="0" collapsed="false">
      <c r="A48" s="89" t="n">
        <v>19</v>
      </c>
      <c r="B48" s="309" t="s">
        <v>834</v>
      </c>
      <c r="C48" s="39" t="s">
        <v>23</v>
      </c>
      <c r="D48" s="333" t="s">
        <v>306</v>
      </c>
      <c r="E48" s="171" t="n">
        <v>37.5</v>
      </c>
      <c r="F48" s="275" t="s">
        <v>521</v>
      </c>
      <c r="G48" s="39" t="n">
        <v>25</v>
      </c>
      <c r="H48" s="222" t="n">
        <f aca="false">IF(E48="", "", G48 * E48)</f>
        <v>937.5</v>
      </c>
      <c r="I48" s="168" t="n">
        <v>46128</v>
      </c>
      <c r="J48" s="20"/>
      <c r="K48" s="269" t="n">
        <f aca="false">IF( F48="EUR", H48 * $K$1, H48)</f>
        <v>937.5</v>
      </c>
      <c r="L48" s="20"/>
      <c r="M48" s="334" t="s">
        <v>512</v>
      </c>
      <c r="N48" s="335" t="s">
        <v>832</v>
      </c>
      <c r="O48" s="336" t="s">
        <v>833</v>
      </c>
      <c r="P48" s="170" t="s">
        <v>514</v>
      </c>
      <c r="Q48" s="170"/>
    </row>
    <row r="49" customFormat="false" ht="15" hidden="false" customHeight="false" outlineLevel="0" collapsed="false">
      <c r="A49" s="89" t="n">
        <v>20</v>
      </c>
      <c r="B49" s="317" t="s">
        <v>627</v>
      </c>
      <c r="C49" s="39" t="s">
        <v>23</v>
      </c>
      <c r="D49" s="333" t="s">
        <v>306</v>
      </c>
      <c r="E49" s="171" t="n">
        <v>30</v>
      </c>
      <c r="F49" s="275" t="s">
        <v>521</v>
      </c>
      <c r="G49" s="39" t="n">
        <v>50</v>
      </c>
      <c r="H49" s="222" t="n">
        <f aca="false">IF(E49="", "", G49 * E49)</f>
        <v>1500</v>
      </c>
      <c r="I49" s="168" t="n">
        <v>46128</v>
      </c>
      <c r="J49" s="20"/>
      <c r="K49" s="269" t="n">
        <f aca="false">IF( F49="EUR", H49 * $K$1, H49)</f>
        <v>1500</v>
      </c>
      <c r="L49" s="20"/>
      <c r="M49" s="334" t="s">
        <v>512</v>
      </c>
      <c r="N49" s="339" t="s">
        <v>835</v>
      </c>
      <c r="O49" s="336" t="s">
        <v>833</v>
      </c>
      <c r="P49" s="170" t="s">
        <v>514</v>
      </c>
      <c r="Q49" s="170"/>
    </row>
    <row r="50" customFormat="false" ht="15" hidden="false" customHeight="false" outlineLevel="0" collapsed="false">
      <c r="A50" s="89" t="n">
        <v>21</v>
      </c>
      <c r="B50" s="337" t="s">
        <v>630</v>
      </c>
      <c r="C50" s="39" t="s">
        <v>23</v>
      </c>
      <c r="D50" s="333" t="s">
        <v>306</v>
      </c>
      <c r="E50" s="171" t="n">
        <v>21.55</v>
      </c>
      <c r="F50" s="275" t="s">
        <v>521</v>
      </c>
      <c r="G50" s="39" t="n">
        <v>50</v>
      </c>
      <c r="H50" s="222" t="n">
        <f aca="false">IF(E50="", "", G50 * E50)</f>
        <v>1077.5</v>
      </c>
      <c r="I50" s="168" t="n">
        <v>46128</v>
      </c>
      <c r="J50" s="20"/>
      <c r="K50" s="269" t="n">
        <f aca="false">IF( F50="EUR", H50 * $K$1, H50)</f>
        <v>1077.5</v>
      </c>
      <c r="L50" s="20"/>
      <c r="M50" s="334" t="s">
        <v>512</v>
      </c>
      <c r="N50" s="339" t="s">
        <v>835</v>
      </c>
      <c r="O50" s="336" t="s">
        <v>833</v>
      </c>
      <c r="P50" s="170" t="s">
        <v>514</v>
      </c>
      <c r="Q50" s="170"/>
    </row>
    <row r="51" customFormat="false" ht="15" hidden="false" customHeight="false" outlineLevel="0" collapsed="false">
      <c r="A51" s="89" t="n">
        <v>22</v>
      </c>
      <c r="B51" s="309" t="s">
        <v>836</v>
      </c>
      <c r="C51" s="39" t="s">
        <v>23</v>
      </c>
      <c r="D51" s="333" t="s">
        <v>306</v>
      </c>
      <c r="E51" s="171" t="n">
        <v>30.1</v>
      </c>
      <c r="F51" s="275" t="s">
        <v>521</v>
      </c>
      <c r="G51" s="39" t="n">
        <v>25</v>
      </c>
      <c r="H51" s="222" t="n">
        <f aca="false">IF(E51="", "", G51 * E51)</f>
        <v>752.5</v>
      </c>
      <c r="I51" s="168" t="n">
        <v>46133</v>
      </c>
      <c r="J51" s="20"/>
      <c r="K51" s="269" t="n">
        <f aca="false">IF( F51="EUR", H51 * $K$1, H51)</f>
        <v>752.5</v>
      </c>
      <c r="L51" s="20"/>
      <c r="M51" s="334" t="s">
        <v>512</v>
      </c>
      <c r="N51" s="339" t="s">
        <v>835</v>
      </c>
      <c r="O51" s="336" t="s">
        <v>837</v>
      </c>
      <c r="P51" s="170" t="s">
        <v>514</v>
      </c>
      <c r="Q51" s="170"/>
    </row>
    <row r="52" customFormat="false" ht="15" hidden="false" customHeight="false" outlineLevel="0" collapsed="false">
      <c r="A52" s="89" t="n">
        <v>23</v>
      </c>
      <c r="B52" s="337" t="s">
        <v>838</v>
      </c>
      <c r="C52" s="39" t="s">
        <v>839</v>
      </c>
      <c r="D52" s="264" t="s">
        <v>212</v>
      </c>
      <c r="E52" s="171" t="n">
        <v>41.5</v>
      </c>
      <c r="F52" s="275" t="s">
        <v>521</v>
      </c>
      <c r="G52" s="39" t="n">
        <v>10</v>
      </c>
      <c r="H52" s="222" t="n">
        <f aca="false">IF(E52="", "", G52 * E52)</f>
        <v>415</v>
      </c>
      <c r="I52" s="168" t="n">
        <v>46139</v>
      </c>
      <c r="J52" s="20"/>
      <c r="K52" s="269" t="n">
        <f aca="false">IF( F52="EUR", H52 * $K$1, H52)</f>
        <v>415</v>
      </c>
      <c r="L52" s="20"/>
      <c r="M52" s="270" t="s">
        <v>512</v>
      </c>
      <c r="N52" s="339" t="s">
        <v>840</v>
      </c>
      <c r="O52" s="336" t="s">
        <v>841</v>
      </c>
      <c r="P52" s="170" t="s">
        <v>514</v>
      </c>
      <c r="Q52" s="170"/>
    </row>
    <row r="53" customFormat="false" ht="15" hidden="false" customHeight="false" outlineLevel="0" collapsed="false">
      <c r="A53" s="89" t="n">
        <v>24</v>
      </c>
      <c r="B53" s="332" t="s">
        <v>822</v>
      </c>
      <c r="C53" s="39" t="s">
        <v>23</v>
      </c>
      <c r="D53" s="333" t="s">
        <v>306</v>
      </c>
      <c r="E53" s="171" t="n">
        <v>57.1</v>
      </c>
      <c r="F53" s="275" t="s">
        <v>521</v>
      </c>
      <c r="G53" s="39" t="n">
        <v>25</v>
      </c>
      <c r="H53" s="222" t="n">
        <f aca="false">IF(E53="", "", G53 * E53)</f>
        <v>1427.5</v>
      </c>
      <c r="I53" s="168" t="n">
        <v>46139</v>
      </c>
      <c r="J53" s="20"/>
      <c r="K53" s="269" t="n">
        <f aca="false">IF( F53="EUR", H53 * $K$1, H53)</f>
        <v>1427.5</v>
      </c>
      <c r="L53" s="20"/>
      <c r="M53" s="270" t="s">
        <v>512</v>
      </c>
      <c r="N53" s="335" t="s">
        <v>842</v>
      </c>
      <c r="O53" s="336" t="s">
        <v>843</v>
      </c>
      <c r="P53" s="170" t="s">
        <v>514</v>
      </c>
      <c r="Q53" s="170"/>
    </row>
    <row r="54" customFormat="false" ht="15" hidden="false" customHeight="false" outlineLevel="0" collapsed="false">
      <c r="A54" s="89" t="n">
        <v>25</v>
      </c>
      <c r="B54" s="340" t="s">
        <v>813</v>
      </c>
      <c r="C54" s="341" t="s">
        <v>23</v>
      </c>
      <c r="D54" s="342" t="s">
        <v>306</v>
      </c>
      <c r="E54" s="343" t="n">
        <v>27.8</v>
      </c>
      <c r="F54" s="344" t="s">
        <v>521</v>
      </c>
      <c r="G54" s="341" t="n">
        <v>25</v>
      </c>
      <c r="H54" s="345" t="n">
        <f aca="false">IF(E54="", "", G54 * E54)</f>
        <v>695</v>
      </c>
      <c r="I54" s="346" t="n">
        <v>46139</v>
      </c>
      <c r="J54" s="20"/>
      <c r="K54" s="324" t="n">
        <f aca="false">IF( F54="EUR", H54 * $K$1, H54)</f>
        <v>695</v>
      </c>
      <c r="L54" s="20"/>
      <c r="M54" s="270" t="s">
        <v>512</v>
      </c>
      <c r="N54" s="335" t="s">
        <v>842</v>
      </c>
      <c r="O54" s="336" t="s">
        <v>843</v>
      </c>
      <c r="P54" s="170" t="s">
        <v>514</v>
      </c>
      <c r="Q54" s="170"/>
    </row>
    <row r="55" customFormat="false" ht="15" hidden="false" customHeight="false" outlineLevel="0" collapsed="false">
      <c r="A55" s="89" t="n">
        <v>26</v>
      </c>
      <c r="B55" s="332" t="s">
        <v>844</v>
      </c>
      <c r="C55" s="39" t="s">
        <v>12</v>
      </c>
      <c r="D55" s="333" t="s">
        <v>212</v>
      </c>
      <c r="E55" s="171" t="n">
        <v>35.63</v>
      </c>
      <c r="F55" s="275" t="s">
        <v>521</v>
      </c>
      <c r="G55" s="39" t="n">
        <v>25</v>
      </c>
      <c r="H55" s="222" t="n">
        <f aca="false">IF(E55="", "", G55 * E55)</f>
        <v>890.75</v>
      </c>
      <c r="I55" s="168" t="n">
        <v>46141</v>
      </c>
      <c r="J55" s="170"/>
      <c r="K55" s="269" t="n">
        <f aca="false">IF( F55="EUR", H55 * $K$1, H55)</f>
        <v>890.75</v>
      </c>
      <c r="L55" s="20"/>
      <c r="M55" s="270" t="s">
        <v>512</v>
      </c>
      <c r="N55" s="335" t="s">
        <v>845</v>
      </c>
      <c r="O55" s="336" t="s">
        <v>846</v>
      </c>
      <c r="P55" s="170" t="s">
        <v>514</v>
      </c>
      <c r="Q55" s="170"/>
    </row>
    <row r="56" customFormat="false" ht="15" hidden="false" customHeight="false" outlineLevel="0" collapsed="false">
      <c r="A56" s="89" t="n">
        <v>27</v>
      </c>
      <c r="B56" s="332" t="s">
        <v>847</v>
      </c>
      <c r="C56" s="39" t="s">
        <v>12</v>
      </c>
      <c r="D56" s="333" t="s">
        <v>212</v>
      </c>
      <c r="E56" s="171" t="n">
        <v>49.97</v>
      </c>
      <c r="F56" s="275" t="s">
        <v>521</v>
      </c>
      <c r="G56" s="39" t="n">
        <v>25</v>
      </c>
      <c r="H56" s="222" t="n">
        <f aca="false">IF(E56="", "", G56 * E56)</f>
        <v>1249.25</v>
      </c>
      <c r="I56" s="168" t="n">
        <v>46141</v>
      </c>
      <c r="J56" s="170"/>
      <c r="K56" s="269" t="n">
        <f aca="false">IF( F56="EUR", H56 * $K$1, H56)</f>
        <v>1249.25</v>
      </c>
      <c r="L56" s="20"/>
      <c r="M56" s="270" t="s">
        <v>512</v>
      </c>
      <c r="N56" s="335" t="s">
        <v>845</v>
      </c>
      <c r="O56" s="336" t="s">
        <v>848</v>
      </c>
      <c r="P56" s="170" t="s">
        <v>514</v>
      </c>
      <c r="Q56" s="170"/>
    </row>
    <row r="57" customFormat="false" ht="15" hidden="false" customHeight="false" outlineLevel="0" collapsed="false">
      <c r="A57" s="89" t="n">
        <v>28</v>
      </c>
      <c r="B57" s="337" t="s">
        <v>849</v>
      </c>
      <c r="C57" s="39"/>
      <c r="D57" s="264" t="s">
        <v>212</v>
      </c>
      <c r="E57" s="171" t="n">
        <v>34.41</v>
      </c>
      <c r="F57" s="275" t="s">
        <v>521</v>
      </c>
      <c r="G57" s="39" t="n">
        <v>50</v>
      </c>
      <c r="H57" s="222" t="n">
        <f aca="false">IF(E57="", "", G57 * E57)</f>
        <v>1720.5</v>
      </c>
      <c r="I57" s="168" t="n">
        <v>46142</v>
      </c>
      <c r="J57" s="170"/>
      <c r="K57" s="269" t="n">
        <f aca="false">IF( F57="EUR", H57 * $K$1, H57)</f>
        <v>1720.5</v>
      </c>
      <c r="L57" s="20"/>
      <c r="M57" s="270" t="s">
        <v>512</v>
      </c>
      <c r="N57" s="339" t="s">
        <v>850</v>
      </c>
      <c r="O57" s="336" t="s">
        <v>851</v>
      </c>
      <c r="P57" s="170" t="s">
        <v>514</v>
      </c>
      <c r="Q57" s="170"/>
    </row>
    <row r="58" customFormat="false" ht="15.75" hidden="false" customHeight="false" outlineLevel="0" collapsed="false">
      <c r="K58" s="347" t="n">
        <f aca="false">SUM(K30:K57)</f>
        <v>39194.816</v>
      </c>
    </row>
    <row r="60" customFormat="false" ht="28.5" hidden="false" customHeight="false" outlineLevel="0" collapsed="false">
      <c r="A60" s="237" t="s">
        <v>575</v>
      </c>
      <c r="B60" s="237"/>
      <c r="C60" s="237"/>
      <c r="D60" s="237"/>
      <c r="E60" s="237"/>
      <c r="F60" s="237"/>
      <c r="G60" s="237"/>
      <c r="H60" s="237"/>
      <c r="I60" s="237"/>
    </row>
    <row r="61" customFormat="false" ht="45" hidden="false" customHeight="false" outlineLevel="0" collapsed="false">
      <c r="A61" s="238" t="s">
        <v>1</v>
      </c>
      <c r="B61" s="238" t="s">
        <v>2</v>
      </c>
      <c r="C61" s="238" t="s">
        <v>3</v>
      </c>
      <c r="D61" s="238" t="s">
        <v>4</v>
      </c>
      <c r="E61" s="238" t="s">
        <v>5</v>
      </c>
      <c r="F61" s="238" t="s">
        <v>505</v>
      </c>
      <c r="G61" s="238" t="s">
        <v>6</v>
      </c>
      <c r="H61" s="238" t="s">
        <v>506</v>
      </c>
      <c r="I61" s="238" t="s">
        <v>8</v>
      </c>
      <c r="K61" s="186" t="s">
        <v>507</v>
      </c>
      <c r="M61" s="187" t="s">
        <v>190</v>
      </c>
      <c r="N61" s="139" t="s">
        <v>576</v>
      </c>
      <c r="O61" s="139" t="s">
        <v>191</v>
      </c>
      <c r="P61" s="139" t="s">
        <v>509</v>
      </c>
      <c r="Q61" s="139" t="s">
        <v>211</v>
      </c>
    </row>
    <row r="62" customFormat="false" ht="15" hidden="false" customHeight="false" outlineLevel="0" collapsed="false">
      <c r="A62" s="119" t="s">
        <v>10</v>
      </c>
      <c r="B62" s="119" t="s">
        <v>852</v>
      </c>
      <c r="C62" s="239" t="s">
        <v>23</v>
      </c>
      <c r="D62" s="0" t="s">
        <v>95</v>
      </c>
      <c r="E62" s="241"/>
      <c r="F62" s="242"/>
      <c r="G62" s="119"/>
      <c r="H62" s="243"/>
      <c r="I62" s="244"/>
      <c r="K62" s="223"/>
      <c r="M62" s="270" t="s">
        <v>512</v>
      </c>
      <c r="N62" s="227"/>
      <c r="O62" s="227"/>
      <c r="P62" s="119" t="s">
        <v>514</v>
      </c>
      <c r="Q62" s="119"/>
    </row>
    <row r="63" customFormat="false" ht="15" hidden="false" customHeight="false" outlineLevel="0" collapsed="false">
      <c r="A63" s="119" t="s">
        <v>14</v>
      </c>
      <c r="B63" s="119"/>
      <c r="C63" s="119"/>
      <c r="D63" s="119"/>
      <c r="E63" s="119"/>
      <c r="F63" s="119"/>
      <c r="G63" s="119"/>
      <c r="H63" s="119"/>
      <c r="I63" s="244"/>
      <c r="K63" s="223"/>
      <c r="M63" s="17"/>
      <c r="N63" s="121"/>
      <c r="O63" s="121"/>
      <c r="P63" s="119"/>
      <c r="Q63" s="119"/>
    </row>
    <row r="64" customFormat="false" ht="15" hidden="false" customHeight="false" outlineLevel="0" collapsed="false">
      <c r="A64" s="119" t="s">
        <v>18</v>
      </c>
      <c r="B64" s="119"/>
      <c r="C64" s="119"/>
      <c r="D64" s="119"/>
      <c r="E64" s="119"/>
      <c r="F64" s="242"/>
      <c r="G64" s="119"/>
      <c r="H64" s="119"/>
      <c r="I64" s="244"/>
      <c r="K64" s="223"/>
      <c r="M64" s="17"/>
      <c r="N64" s="121"/>
      <c r="O64" s="121"/>
      <c r="P64" s="119"/>
      <c r="Q64" s="119"/>
    </row>
    <row r="65" customFormat="false" ht="15" hidden="false" customHeight="false" outlineLevel="0" collapsed="false">
      <c r="A65" s="119" t="s">
        <v>21</v>
      </c>
      <c r="B65" s="119"/>
      <c r="C65" s="119"/>
      <c r="D65" s="119"/>
      <c r="E65" s="119"/>
      <c r="F65" s="242"/>
      <c r="G65" s="119"/>
      <c r="H65" s="243"/>
      <c r="I65" s="244"/>
      <c r="K65" s="223"/>
      <c r="M65" s="17"/>
      <c r="N65" s="121"/>
      <c r="O65" s="121"/>
      <c r="P65" s="119"/>
      <c r="Q65" s="119"/>
    </row>
    <row r="66" customFormat="false" ht="15" hidden="false" customHeight="false" outlineLevel="0" collapsed="false">
      <c r="A66" s="119" t="s">
        <v>25</v>
      </c>
      <c r="B66" s="119"/>
      <c r="C66" s="119"/>
      <c r="D66" s="119"/>
      <c r="E66" s="242"/>
      <c r="F66" s="242"/>
      <c r="G66" s="119"/>
      <c r="H66" s="243"/>
      <c r="I66" s="244"/>
      <c r="K66" s="223"/>
      <c r="M66" s="17"/>
      <c r="N66" s="121"/>
      <c r="O66" s="121"/>
      <c r="P66" s="119"/>
      <c r="Q66" s="119"/>
    </row>
    <row r="67" customFormat="false" ht="15" hidden="false" customHeight="false" outlineLevel="0" collapsed="false">
      <c r="A67" s="119" t="s">
        <v>30</v>
      </c>
      <c r="B67" s="119"/>
      <c r="C67" s="119"/>
      <c r="D67" s="119"/>
      <c r="E67" s="245"/>
      <c r="F67" s="242"/>
      <c r="G67" s="119"/>
      <c r="H67" s="243"/>
      <c r="I67" s="244"/>
      <c r="K67" s="223"/>
      <c r="M67" s="17"/>
      <c r="N67" s="121"/>
      <c r="O67" s="121"/>
      <c r="P67" s="119"/>
      <c r="Q67" s="119"/>
    </row>
    <row r="68" customFormat="false" ht="15" hidden="false" customHeight="false" outlineLevel="0" collapsed="false">
      <c r="A68" s="119" t="s">
        <v>34</v>
      </c>
      <c r="B68" s="119"/>
      <c r="C68" s="119"/>
      <c r="D68" s="119"/>
      <c r="E68" s="242"/>
      <c r="F68" s="242"/>
      <c r="G68" s="119"/>
      <c r="H68" s="243"/>
      <c r="I68" s="244"/>
      <c r="K68" s="223"/>
      <c r="M68" s="17"/>
      <c r="N68" s="121"/>
      <c r="O68" s="121"/>
      <c r="P68" s="119"/>
      <c r="Q68" s="119"/>
    </row>
    <row r="69" customFormat="false" ht="15" hidden="false" customHeight="false" outlineLevel="0" collapsed="false">
      <c r="A69" s="119" t="s">
        <v>39</v>
      </c>
      <c r="B69" s="119"/>
      <c r="C69" s="119"/>
      <c r="D69" s="119"/>
      <c r="E69" s="245"/>
      <c r="F69" s="242"/>
      <c r="G69" s="119"/>
      <c r="H69" s="243"/>
      <c r="I69" s="244"/>
      <c r="K69" s="223"/>
      <c r="M69" s="17"/>
      <c r="N69" s="121"/>
      <c r="O69" s="121"/>
      <c r="P69" s="119"/>
      <c r="Q69" s="119"/>
    </row>
    <row r="70" customFormat="false" ht="15" hidden="false" customHeight="false" outlineLevel="0" collapsed="false">
      <c r="A70" s="119" t="s">
        <v>43</v>
      </c>
      <c r="B70" s="119"/>
      <c r="C70" s="119"/>
      <c r="D70" s="119"/>
      <c r="E70" s="242"/>
      <c r="F70" s="242"/>
      <c r="G70" s="119"/>
      <c r="H70" s="243"/>
      <c r="I70" s="244"/>
      <c r="K70" s="223" t="n">
        <f aca="false">IF( F70="EUR", H70 * $K$1, H70)</f>
        <v>0</v>
      </c>
      <c r="M70" s="17"/>
      <c r="N70" s="121"/>
      <c r="O70" s="121"/>
      <c r="P70" s="119"/>
      <c r="Q70" s="119"/>
    </row>
    <row r="71" customFormat="false" ht="15" hidden="false" customHeight="false" outlineLevel="0" collapsed="false">
      <c r="A71" s="119" t="s">
        <v>45</v>
      </c>
      <c r="B71" s="119"/>
      <c r="C71" s="119"/>
      <c r="D71" s="119"/>
      <c r="E71" s="245"/>
      <c r="F71" s="242"/>
      <c r="G71" s="119"/>
      <c r="H71" s="243"/>
      <c r="I71" s="244"/>
      <c r="K71" s="223" t="n">
        <f aca="false">IF( F71="EUR", H71 * $K$1, H71)</f>
        <v>0</v>
      </c>
      <c r="M71" s="17"/>
      <c r="N71" s="121"/>
      <c r="O71" s="121"/>
      <c r="P71" s="119"/>
      <c r="Q71" s="119"/>
    </row>
    <row r="72" customFormat="false" ht="15" hidden="false" customHeight="false" outlineLevel="0" collapsed="false">
      <c r="A72" s="119" t="s">
        <v>48</v>
      </c>
      <c r="B72" s="119"/>
      <c r="C72" s="119"/>
      <c r="D72" s="119"/>
      <c r="E72" s="245"/>
      <c r="F72" s="242"/>
      <c r="G72" s="119"/>
      <c r="H72" s="243"/>
      <c r="I72" s="244"/>
      <c r="K72" s="223" t="n">
        <f aca="false">IF( F72="EUR", H72 * $K$1, H72)</f>
        <v>0</v>
      </c>
      <c r="M72" s="17"/>
      <c r="N72" s="121"/>
      <c r="O72" s="121"/>
      <c r="P72" s="119"/>
      <c r="Q72" s="119"/>
    </row>
    <row r="73" customFormat="false" ht="15.75" hidden="false" customHeight="false" outlineLevel="0" collapsed="false">
      <c r="A73" s="119" t="s">
        <v>51</v>
      </c>
      <c r="B73" s="119"/>
      <c r="C73" s="119"/>
      <c r="D73" s="119"/>
      <c r="E73" s="242"/>
      <c r="F73" s="242"/>
      <c r="G73" s="119"/>
      <c r="H73" s="243"/>
      <c r="I73" s="244"/>
      <c r="K73" s="235" t="n">
        <f aca="false">IF( F73="EUR", H73 * $K$1, H73)</f>
        <v>0</v>
      </c>
    </row>
    <row r="74" customFormat="false" ht="15.75" hidden="false" customHeight="false" outlineLevel="0" collapsed="false">
      <c r="K74" s="236" t="n">
        <f aca="false">SUM(K62:K73)</f>
        <v>0</v>
      </c>
    </row>
  </sheetData>
  <autoFilter ref="A3:Q25"/>
  <mergeCells count="4">
    <mergeCell ref="A1:I1"/>
    <mergeCell ref="A2:I2"/>
    <mergeCell ref="A28:I28"/>
    <mergeCell ref="A60:I60"/>
  </mergeCells>
  <conditionalFormatting sqref="M4:M25 M30:M57">
    <cfRule type="expression" priority="2" aboveAverage="0" equalAverage="0" bottom="0" percent="0" rank="0" text="" dxfId="25">
      <formula>$M4="TAK"</formula>
    </cfRule>
    <cfRule type="expression" priority="3" aboveAverage="0" equalAverage="0" bottom="0" percent="0" rank="0" text="" dxfId="26">
      <formula>$M4="NIE"</formula>
    </cfRule>
  </conditionalFormatting>
  <conditionalFormatting sqref="M62">
    <cfRule type="expression" priority="4" aboveAverage="0" equalAverage="0" bottom="0" percent="0" rank="0" text="" dxfId="27">
      <formula>$M62="TAK"</formula>
    </cfRule>
    <cfRule type="expression" priority="5" aboveAverage="0" equalAverage="0" bottom="0" percent="0" rank="0" text="" dxfId="28">
      <formula>$M62="NIE"</formula>
    </cfRule>
  </conditionalFormatting>
  <dataValidations count="3">
    <dataValidation allowBlank="true" errorStyle="stop" operator="between" prompt="&#10;Określić na dany miesiąc&#10;" promptTitle="KURS EURO" showDropDown="false" showErrorMessage="true" showInputMessage="true" sqref="K1" type="none">
      <formula1>0</formula1>
      <formula2>0</formula2>
    </dataValidation>
    <dataValidation allowBlank="true" errorStyle="stop" operator="between" showDropDown="false" showErrorMessage="true" showInputMessage="true" sqref="F5:F19 F21:F25 F30:F57" type="list">
      <formula1>"PLN,EUR"</formula1>
      <formula2>0</formula2>
    </dataValidation>
    <dataValidation allowBlank="true" errorStyle="stop" operator="between" showDropDown="false" showErrorMessage="true" showInputMessage="true" sqref="M4:M25 M30:M57 M62" type="list">
      <formula1>"TAK,NIE"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38.57"/>
    <col collapsed="false" customWidth="true" hidden="false" outlineLevel="0" max="3" min="3" style="0" width="14.43"/>
    <col collapsed="false" customWidth="true" hidden="false" outlineLevel="0" max="4" min="4" style="0" width="16.57"/>
    <col collapsed="false" customWidth="true" hidden="false" outlineLevel="0" max="6" min="5" style="0" width="9.85"/>
    <col collapsed="false" customWidth="true" hidden="false" outlineLevel="0" max="8" min="8" style="0" width="12"/>
    <col collapsed="false" customWidth="true" hidden="false" outlineLevel="0" max="9" min="9" style="0" width="9.43"/>
    <col collapsed="false" customWidth="true" hidden="false" outlineLevel="0" max="10" min="10" style="0" width="6.57"/>
    <col collapsed="false" customWidth="true" hidden="false" outlineLevel="0" max="11" min="11" style="0" width="16.71"/>
    <col collapsed="false" customWidth="true" hidden="false" outlineLevel="0" max="12" min="12" style="0" width="6.14"/>
    <col collapsed="false" customWidth="true" hidden="false" outlineLevel="0" max="13" min="13" style="0" width="11.71"/>
    <col collapsed="false" customWidth="true" hidden="false" outlineLevel="0" max="15" min="14" style="0" width="20.14"/>
    <col collapsed="false" customWidth="true" hidden="false" outlineLevel="0" max="16" min="16" style="0" width="19.14"/>
    <col collapsed="false" customWidth="true" hidden="false" outlineLevel="0" max="17" min="17" style="0" width="42.28"/>
  </cols>
  <sheetData>
    <row r="1" customFormat="false" ht="39.75" hidden="false" customHeight="true" outlineLevel="0" collapsed="false">
      <c r="A1" s="262" t="s">
        <v>853</v>
      </c>
      <c r="B1" s="262"/>
      <c r="C1" s="262"/>
      <c r="D1" s="262"/>
      <c r="E1" s="262"/>
      <c r="F1" s="262"/>
      <c r="G1" s="262"/>
      <c r="H1" s="262"/>
      <c r="I1" s="262"/>
      <c r="K1" s="184" t="n">
        <v>4.35</v>
      </c>
    </row>
    <row r="2" customFormat="false" ht="26.25" hidden="false" customHeight="true" outlineLevel="0" collapsed="false">
      <c r="A2" s="262" t="s">
        <v>189</v>
      </c>
      <c r="B2" s="262"/>
      <c r="C2" s="262"/>
      <c r="D2" s="262"/>
      <c r="E2" s="262"/>
      <c r="F2" s="262"/>
      <c r="G2" s="262"/>
      <c r="H2" s="262"/>
      <c r="I2" s="262"/>
    </row>
    <row r="3" customFormat="false" ht="45" hidden="false" customHeight="false" outlineLevel="0" collapsed="false">
      <c r="A3" s="306" t="s">
        <v>1</v>
      </c>
      <c r="B3" s="306" t="s">
        <v>2</v>
      </c>
      <c r="C3" s="306" t="s">
        <v>3</v>
      </c>
      <c r="D3" s="306" t="s">
        <v>4</v>
      </c>
      <c r="E3" s="306" t="s">
        <v>5</v>
      </c>
      <c r="F3" s="306" t="s">
        <v>505</v>
      </c>
      <c r="G3" s="306" t="s">
        <v>6</v>
      </c>
      <c r="H3" s="306" t="s">
        <v>506</v>
      </c>
      <c r="I3" s="306" t="s">
        <v>8</v>
      </c>
      <c r="K3" s="306" t="s">
        <v>507</v>
      </c>
      <c r="M3" s="307" t="s">
        <v>190</v>
      </c>
      <c r="N3" s="308" t="s">
        <v>508</v>
      </c>
      <c r="O3" s="308" t="s">
        <v>191</v>
      </c>
      <c r="P3" s="308" t="s">
        <v>509</v>
      </c>
      <c r="Q3" s="308" t="s">
        <v>211</v>
      </c>
    </row>
    <row r="4" customFormat="false" ht="15" hidden="false" customHeight="false" outlineLevel="0" collapsed="false">
      <c r="A4" s="89" t="n">
        <v>1</v>
      </c>
      <c r="B4" s="309" t="s">
        <v>763</v>
      </c>
      <c r="C4" s="89" t="s">
        <v>23</v>
      </c>
      <c r="D4" s="264" t="s">
        <v>95</v>
      </c>
      <c r="E4" s="265" t="n">
        <v>2.97</v>
      </c>
      <c r="F4" s="175" t="s">
        <v>511</v>
      </c>
      <c r="G4" s="266" t="n">
        <v>4000</v>
      </c>
      <c r="H4" s="222" t="n">
        <f aca="false">IF(E4="","",G4*E4)</f>
        <v>11880</v>
      </c>
      <c r="I4" s="267" t="n">
        <v>46147</v>
      </c>
      <c r="J4" s="268"/>
      <c r="K4" s="269" t="n">
        <f aca="false">IF( F4="EUR", H4 * $K$1, H4)</f>
        <v>51678</v>
      </c>
      <c r="L4" s="20"/>
      <c r="M4" s="270" t="s">
        <v>512</v>
      </c>
      <c r="N4" s="271" t="s">
        <v>786</v>
      </c>
      <c r="O4" s="280" t="s">
        <v>854</v>
      </c>
      <c r="P4" s="273" t="s">
        <v>514</v>
      </c>
      <c r="Q4" s="311" t="s">
        <v>855</v>
      </c>
    </row>
    <row r="5" customFormat="false" ht="15" hidden="false" customHeight="false" outlineLevel="0" collapsed="false">
      <c r="A5" s="89" t="n">
        <v>2</v>
      </c>
      <c r="B5" s="309" t="s">
        <v>856</v>
      </c>
      <c r="C5" s="89" t="s">
        <v>857</v>
      </c>
      <c r="D5" s="264" t="s">
        <v>37</v>
      </c>
      <c r="E5" s="265" t="n">
        <v>3.6</v>
      </c>
      <c r="F5" s="89" t="s">
        <v>521</v>
      </c>
      <c r="G5" s="266" t="n">
        <v>3000</v>
      </c>
      <c r="H5" s="222" t="n">
        <f aca="false">IF(E5="","",G5*E5)</f>
        <v>10800</v>
      </c>
      <c r="I5" s="267" t="n">
        <v>46148</v>
      </c>
      <c r="J5" s="38"/>
      <c r="K5" s="269" t="n">
        <f aca="false">IF( F5="EUR", H5 * $K$1, H5)</f>
        <v>10800</v>
      </c>
      <c r="L5" s="38"/>
      <c r="M5" s="270" t="s">
        <v>512</v>
      </c>
      <c r="N5" s="311" t="s">
        <v>784</v>
      </c>
      <c r="O5" s="312" t="s">
        <v>858</v>
      </c>
      <c r="P5" s="311" t="s">
        <v>514</v>
      </c>
      <c r="Q5" s="321" t="s">
        <v>859</v>
      </c>
    </row>
    <row r="6" customFormat="false" ht="15" hidden="false" customHeight="false" outlineLevel="0" collapsed="false">
      <c r="A6" s="89" t="n">
        <v>3</v>
      </c>
      <c r="B6" s="313" t="s">
        <v>860</v>
      </c>
      <c r="C6" s="89" t="s">
        <v>101</v>
      </c>
      <c r="D6" s="264" t="s">
        <v>37</v>
      </c>
      <c r="E6" s="265" t="n">
        <v>4.2</v>
      </c>
      <c r="F6" s="275" t="s">
        <v>521</v>
      </c>
      <c r="G6" s="266" t="n">
        <v>4000</v>
      </c>
      <c r="H6" s="222" t="n">
        <f aca="false">IF(E6="","",G6*E6)</f>
        <v>16800</v>
      </c>
      <c r="I6" s="267" t="n">
        <v>46149</v>
      </c>
      <c r="J6" s="268"/>
      <c r="K6" s="269" t="n">
        <f aca="false">IF( F6="EUR", H6 * $K$1, H6)</f>
        <v>16800</v>
      </c>
      <c r="L6" s="20"/>
      <c r="M6" s="270" t="s">
        <v>512</v>
      </c>
      <c r="N6" s="271" t="s">
        <v>861</v>
      </c>
      <c r="O6" s="272" t="s">
        <v>862</v>
      </c>
      <c r="P6" s="273" t="s">
        <v>514</v>
      </c>
      <c r="Q6" s="311"/>
    </row>
    <row r="7" customFormat="false" ht="13.5" hidden="false" customHeight="true" outlineLevel="0" collapsed="false">
      <c r="A7" s="89" t="n">
        <v>4</v>
      </c>
      <c r="B7" s="313" t="s">
        <v>863</v>
      </c>
      <c r="C7" s="89" t="s">
        <v>85</v>
      </c>
      <c r="D7" s="264" t="s">
        <v>86</v>
      </c>
      <c r="E7" s="265" t="n">
        <v>4.6</v>
      </c>
      <c r="F7" s="175" t="s">
        <v>521</v>
      </c>
      <c r="G7" s="315" t="n">
        <v>2000</v>
      </c>
      <c r="H7" s="222" t="n">
        <f aca="false">IF(E7="","",G7*E7)</f>
        <v>9200</v>
      </c>
      <c r="I7" s="267" t="n">
        <v>46149</v>
      </c>
      <c r="J7" s="268"/>
      <c r="K7" s="269" t="n">
        <f aca="false">IF( F7="EUR", H7 * $K$1, H7)</f>
        <v>9200</v>
      </c>
      <c r="L7" s="20"/>
      <c r="M7" s="270" t="s">
        <v>512</v>
      </c>
      <c r="N7" s="271" t="s">
        <v>864</v>
      </c>
      <c r="O7" s="272" t="s">
        <v>865</v>
      </c>
      <c r="P7" s="273" t="s">
        <v>514</v>
      </c>
      <c r="Q7" s="170"/>
    </row>
    <row r="8" customFormat="false" ht="15" hidden="false" customHeight="false" outlineLevel="0" collapsed="false">
      <c r="A8" s="89" t="n">
        <v>5</v>
      </c>
      <c r="B8" s="337" t="s">
        <v>866</v>
      </c>
      <c r="C8" s="89" t="s">
        <v>168</v>
      </c>
      <c r="D8" s="264" t="s">
        <v>13</v>
      </c>
      <c r="E8" s="265" t="n">
        <v>3.05</v>
      </c>
      <c r="F8" s="275" t="s">
        <v>511</v>
      </c>
      <c r="G8" s="266" t="n">
        <v>500</v>
      </c>
      <c r="H8" s="222" t="n">
        <f aca="false">IF(E8="","",G8*E8)</f>
        <v>1525</v>
      </c>
      <c r="I8" s="267" t="n">
        <v>46157</v>
      </c>
      <c r="J8" s="268"/>
      <c r="K8" s="269" t="n">
        <f aca="false">IF( F8="EUR", H8 * $K$1, H8)</f>
        <v>6633.75</v>
      </c>
      <c r="L8" s="20"/>
      <c r="M8" s="270" t="s">
        <v>512</v>
      </c>
      <c r="N8" s="271" t="s">
        <v>867</v>
      </c>
      <c r="O8" s="272" t="s">
        <v>868</v>
      </c>
      <c r="P8" s="273" t="s">
        <v>514</v>
      </c>
      <c r="Q8" s="311"/>
    </row>
    <row r="9" customFormat="false" ht="15" hidden="false" customHeight="false" outlineLevel="0" collapsed="false">
      <c r="A9" s="89" t="n">
        <v>6</v>
      </c>
      <c r="B9" s="313" t="s">
        <v>869</v>
      </c>
      <c r="C9" s="89" t="s">
        <v>23</v>
      </c>
      <c r="D9" s="264" t="s">
        <v>24</v>
      </c>
      <c r="E9" s="265" t="n">
        <v>4.01</v>
      </c>
      <c r="F9" s="175" t="s">
        <v>511</v>
      </c>
      <c r="G9" s="266" t="n">
        <v>3420</v>
      </c>
      <c r="H9" s="222" t="n">
        <f aca="false">IF(E9="","",G9*E9)</f>
        <v>13714.2</v>
      </c>
      <c r="I9" s="267" t="n">
        <v>46161</v>
      </c>
      <c r="J9" s="268"/>
      <c r="K9" s="269" t="n">
        <f aca="false">IF( F9="EUR", H9 * $K$1, H9)</f>
        <v>59656.77</v>
      </c>
      <c r="L9" s="20"/>
      <c r="M9" s="270" t="s">
        <v>512</v>
      </c>
      <c r="N9" s="271" t="s">
        <v>870</v>
      </c>
      <c r="O9" s="272" t="s">
        <v>871</v>
      </c>
      <c r="P9" s="273" t="s">
        <v>514</v>
      </c>
      <c r="Q9" s="170"/>
    </row>
    <row r="10" customFormat="false" ht="15" hidden="false" customHeight="false" outlineLevel="0" collapsed="false">
      <c r="A10" s="89" t="n">
        <v>7</v>
      </c>
      <c r="B10" s="313" t="s">
        <v>22</v>
      </c>
      <c r="C10" s="151" t="s">
        <v>23</v>
      </c>
      <c r="D10" s="264" t="s">
        <v>24</v>
      </c>
      <c r="E10" s="265" t="n">
        <v>3.93</v>
      </c>
      <c r="F10" s="275" t="s">
        <v>511</v>
      </c>
      <c r="G10" s="266" t="n">
        <v>15840</v>
      </c>
      <c r="H10" s="222" t="n">
        <f aca="false">IF(E10="","",G10*E10)</f>
        <v>62251.2</v>
      </c>
      <c r="I10" s="267" t="n">
        <v>46161</v>
      </c>
      <c r="J10" s="268"/>
      <c r="K10" s="269" t="n">
        <f aca="false">IF( F10="EUR", H10 * $K$1, H10)</f>
        <v>270792.72</v>
      </c>
      <c r="L10" s="20"/>
      <c r="M10" s="270" t="s">
        <v>512</v>
      </c>
      <c r="N10" s="271" t="s">
        <v>872</v>
      </c>
      <c r="O10" s="280" t="n">
        <v>91191168</v>
      </c>
      <c r="P10" s="273" t="s">
        <v>514</v>
      </c>
      <c r="Q10" s="170"/>
    </row>
    <row r="11" customFormat="false" ht="13.5" hidden="false" customHeight="true" outlineLevel="0" collapsed="false">
      <c r="A11" s="89" t="n">
        <v>8</v>
      </c>
      <c r="B11" s="313" t="s">
        <v>873</v>
      </c>
      <c r="C11" s="89" t="s">
        <v>874</v>
      </c>
      <c r="D11" s="264" t="s">
        <v>137</v>
      </c>
      <c r="E11" s="265" t="n">
        <v>6</v>
      </c>
      <c r="F11" s="175" t="s">
        <v>521</v>
      </c>
      <c r="G11" s="315" t="n">
        <v>2000</v>
      </c>
      <c r="H11" s="222" t="n">
        <f aca="false">IF(E11="","",G11*E11)</f>
        <v>12000</v>
      </c>
      <c r="I11" s="267" t="n">
        <v>46162</v>
      </c>
      <c r="J11" s="268"/>
      <c r="K11" s="269" t="n">
        <f aca="false">IF( F11="EUR", H11 * $K$1, H11)</f>
        <v>12000</v>
      </c>
      <c r="L11" s="20"/>
      <c r="M11" s="270" t="s">
        <v>512</v>
      </c>
      <c r="N11" s="271" t="s">
        <v>875</v>
      </c>
      <c r="O11" s="272" t="s">
        <v>876</v>
      </c>
      <c r="P11" s="273" t="s">
        <v>514</v>
      </c>
      <c r="Q11" s="170"/>
    </row>
    <row r="12" s="15" customFormat="true" ht="28.5" hidden="false" customHeight="true" outlineLevel="0" collapsed="false">
      <c r="A12" s="89" t="n">
        <v>9</v>
      </c>
      <c r="B12" s="323" t="s">
        <v>877</v>
      </c>
      <c r="C12" s="89" t="s">
        <v>136</v>
      </c>
      <c r="D12" s="264" t="s">
        <v>37</v>
      </c>
      <c r="E12" s="265" t="n">
        <v>5.2</v>
      </c>
      <c r="F12" s="284" t="s">
        <v>521</v>
      </c>
      <c r="G12" s="266" t="n">
        <v>4000</v>
      </c>
      <c r="H12" s="222" t="n">
        <f aca="false">IF(E12="","",G12*E12)</f>
        <v>20800</v>
      </c>
      <c r="I12" s="267" t="n">
        <v>46171</v>
      </c>
      <c r="J12" s="38"/>
      <c r="K12" s="269" t="n">
        <f aca="false">IF( F12="EUR", H12 * $K$1, H12)</f>
        <v>20800</v>
      </c>
      <c r="L12" s="38"/>
      <c r="M12" s="89" t="s">
        <v>512</v>
      </c>
      <c r="N12" s="311" t="s">
        <v>878</v>
      </c>
      <c r="O12" s="89" t="s">
        <v>879</v>
      </c>
      <c r="P12" s="311" t="s">
        <v>514</v>
      </c>
      <c r="Q12" s="89" t="s">
        <v>880</v>
      </c>
    </row>
    <row r="13" customFormat="false" ht="16.5" hidden="false" customHeight="false" outlineLevel="0" collapsed="false">
      <c r="A13" s="21"/>
      <c r="B13" s="295"/>
      <c r="C13" s="292"/>
      <c r="D13" s="292"/>
      <c r="E13" s="293"/>
      <c r="F13" s="294"/>
      <c r="G13" s="295"/>
      <c r="H13" s="296"/>
      <c r="I13" s="297"/>
      <c r="J13" s="51"/>
      <c r="K13" s="298"/>
      <c r="M13" s="299"/>
      <c r="N13" s="300"/>
      <c r="O13" s="19"/>
      <c r="P13" s="300"/>
    </row>
    <row r="14" customFormat="false" ht="19.5" hidden="false" customHeight="false" outlineLevel="0" collapsed="false">
      <c r="B14" s="19"/>
      <c r="C14" s="19"/>
      <c r="D14" s="19"/>
      <c r="E14" s="19"/>
      <c r="F14" s="19"/>
      <c r="G14" s="19"/>
      <c r="H14" s="19"/>
      <c r="I14" s="19"/>
      <c r="K14" s="256" t="n">
        <f aca="false">SUM(K4:K13)</f>
        <v>458361.24</v>
      </c>
    </row>
    <row r="15" customFormat="false" ht="15" hidden="false" customHeight="false" outlineLevel="0" collapsed="false">
      <c r="K15" s="18"/>
    </row>
    <row r="16" customFormat="false" ht="26.25" hidden="false" customHeight="true" outlineLevel="0" collapsed="false">
      <c r="A16" s="262" t="s">
        <v>210</v>
      </c>
      <c r="B16" s="262"/>
      <c r="C16" s="262"/>
      <c r="D16" s="262"/>
      <c r="E16" s="262"/>
      <c r="F16" s="262"/>
      <c r="G16" s="262"/>
      <c r="H16" s="262"/>
      <c r="I16" s="262"/>
    </row>
    <row r="17" customFormat="false" ht="45" hidden="false" customHeight="false" outlineLevel="0" collapsed="false">
      <c r="A17" s="185" t="s">
        <v>1</v>
      </c>
      <c r="B17" s="185" t="s">
        <v>2</v>
      </c>
      <c r="C17" s="185" t="s">
        <v>3</v>
      </c>
      <c r="D17" s="185" t="s">
        <v>4</v>
      </c>
      <c r="E17" s="185" t="s">
        <v>5</v>
      </c>
      <c r="F17" s="185" t="s">
        <v>505</v>
      </c>
      <c r="G17" s="185" t="s">
        <v>6</v>
      </c>
      <c r="H17" s="185" t="s">
        <v>506</v>
      </c>
      <c r="I17" s="185" t="s">
        <v>8</v>
      </c>
      <c r="K17" s="186" t="s">
        <v>507</v>
      </c>
      <c r="M17" s="187" t="s">
        <v>190</v>
      </c>
      <c r="N17" s="139" t="s">
        <v>558</v>
      </c>
      <c r="O17" s="139" t="s">
        <v>191</v>
      </c>
      <c r="P17" s="139" t="s">
        <v>509</v>
      </c>
      <c r="Q17" s="139" t="s">
        <v>211</v>
      </c>
    </row>
    <row r="18" customFormat="false" ht="15" hidden="false" customHeight="false" outlineLevel="0" collapsed="false">
      <c r="A18" s="12" t="n">
        <v>1</v>
      </c>
      <c r="B18" s="337" t="s">
        <v>881</v>
      </c>
      <c r="C18" s="39" t="s">
        <v>23</v>
      </c>
      <c r="D18" s="333" t="s">
        <v>306</v>
      </c>
      <c r="E18" s="171" t="n">
        <v>26.1</v>
      </c>
      <c r="F18" s="275" t="s">
        <v>521</v>
      </c>
      <c r="G18" s="39" t="n">
        <v>50</v>
      </c>
      <c r="H18" s="222" t="n">
        <f aca="false">IF(E18="", "", G18 * E18)</f>
        <v>1305</v>
      </c>
      <c r="I18" s="168" t="n">
        <v>46147</v>
      </c>
      <c r="J18" s="20"/>
      <c r="K18" s="269" t="n">
        <f aca="false">IF( F18="EUR", H18 * $K$1, H18)</f>
        <v>1305</v>
      </c>
      <c r="L18" s="20"/>
      <c r="M18" s="270" t="s">
        <v>512</v>
      </c>
      <c r="N18" s="287" t="s">
        <v>882</v>
      </c>
      <c r="O18" s="270" t="s">
        <v>883</v>
      </c>
      <c r="P18" s="170" t="s">
        <v>514</v>
      </c>
      <c r="Q18" s="119"/>
    </row>
    <row r="19" customFormat="false" ht="15" hidden="false" customHeight="false" outlineLevel="0" collapsed="false">
      <c r="A19" s="12" t="n">
        <v>2</v>
      </c>
      <c r="B19" s="337" t="s">
        <v>728</v>
      </c>
      <c r="C19" s="39" t="s">
        <v>23</v>
      </c>
      <c r="D19" s="264" t="s">
        <v>212</v>
      </c>
      <c r="E19" s="171" t="n">
        <v>33.54</v>
      </c>
      <c r="F19" s="275" t="s">
        <v>521</v>
      </c>
      <c r="G19" s="39" t="n">
        <v>25</v>
      </c>
      <c r="H19" s="222" t="n">
        <f aca="false">IF(E19="", "", G19 * E19)</f>
        <v>838.5</v>
      </c>
      <c r="I19" s="168" t="n">
        <v>46148</v>
      </c>
      <c r="J19" s="20"/>
      <c r="K19" s="269" t="n">
        <f aca="false">IF( F19="EUR", H19 * $K$1, H19)</f>
        <v>838.5</v>
      </c>
      <c r="L19" s="20"/>
      <c r="M19" s="270" t="s">
        <v>512</v>
      </c>
      <c r="N19" s="287" t="s">
        <v>884</v>
      </c>
      <c r="O19" s="270" t="s">
        <v>885</v>
      </c>
      <c r="P19" s="170" t="s">
        <v>514</v>
      </c>
      <c r="Q19" s="119"/>
    </row>
    <row r="20" customFormat="false" ht="15" hidden="false" customHeight="false" outlineLevel="0" collapsed="false">
      <c r="A20" s="12" t="n">
        <v>3</v>
      </c>
      <c r="B20" s="337" t="s">
        <v>886</v>
      </c>
      <c r="C20" s="151"/>
      <c r="D20" s="333" t="s">
        <v>299</v>
      </c>
      <c r="E20" s="171" t="n">
        <v>16</v>
      </c>
      <c r="F20" s="275" t="s">
        <v>521</v>
      </c>
      <c r="G20" s="89" t="n">
        <v>25</v>
      </c>
      <c r="H20" s="222" t="n">
        <f aca="false">IF(E20="", "", G20 * E20)</f>
        <v>400</v>
      </c>
      <c r="I20" s="348" t="n">
        <v>46146</v>
      </c>
      <c r="J20" s="20"/>
      <c r="K20" s="269" t="n">
        <f aca="false">IF( F20="EUR", H20 * $K$1, H20)</f>
        <v>400</v>
      </c>
      <c r="L20" s="20"/>
      <c r="M20" s="270" t="s">
        <v>512</v>
      </c>
      <c r="N20" s="339" t="s">
        <v>887</v>
      </c>
      <c r="O20" s="336" t="n">
        <v>90261177</v>
      </c>
      <c r="P20" s="170" t="s">
        <v>514</v>
      </c>
      <c r="Q20" s="119"/>
    </row>
    <row r="21" customFormat="false" ht="15" hidden="false" customHeight="false" outlineLevel="0" collapsed="false">
      <c r="A21" s="12" t="n">
        <v>4</v>
      </c>
      <c r="B21" s="332" t="s">
        <v>716</v>
      </c>
      <c r="C21" s="151" t="s">
        <v>23</v>
      </c>
      <c r="D21" s="333" t="s">
        <v>306</v>
      </c>
      <c r="E21" s="171" t="n">
        <v>76.1</v>
      </c>
      <c r="F21" s="275" t="s">
        <v>521</v>
      </c>
      <c r="G21" s="89" t="n">
        <v>50</v>
      </c>
      <c r="H21" s="222" t="n">
        <f aca="false">IF(E21="", "", G21 * E21)</f>
        <v>3805</v>
      </c>
      <c r="I21" s="348" t="n">
        <v>46149</v>
      </c>
      <c r="J21" s="20"/>
      <c r="K21" s="269" t="n">
        <f aca="false">IF( F21="EUR", H21 * $K$1, H21)</f>
        <v>3805</v>
      </c>
      <c r="L21" s="20"/>
      <c r="M21" s="270" t="s">
        <v>512</v>
      </c>
      <c r="N21" s="283" t="s">
        <v>842</v>
      </c>
      <c r="O21" s="336" t="s">
        <v>888</v>
      </c>
      <c r="P21" s="170" t="s">
        <v>514</v>
      </c>
      <c r="Q21" s="119"/>
    </row>
    <row r="22" customFormat="false" ht="15" hidden="false" customHeight="false" outlineLevel="0" collapsed="false">
      <c r="A22" s="12" t="n">
        <v>5</v>
      </c>
      <c r="B22" s="309" t="s">
        <v>889</v>
      </c>
      <c r="C22" s="39" t="s">
        <v>168</v>
      </c>
      <c r="D22" s="333" t="s">
        <v>212</v>
      </c>
      <c r="E22" s="171" t="n">
        <v>35.63</v>
      </c>
      <c r="F22" s="275" t="s">
        <v>521</v>
      </c>
      <c r="G22" s="39" t="n">
        <v>25</v>
      </c>
      <c r="H22" s="222" t="n">
        <f aca="false">IF(E22="", "", G22 * E22)</f>
        <v>890.75</v>
      </c>
      <c r="I22" s="168" t="n">
        <v>46146</v>
      </c>
      <c r="J22" s="20"/>
      <c r="K22" s="269" t="n">
        <f aca="false">IF( F22="EUR", H22 * $K$1, H22)</f>
        <v>890.75</v>
      </c>
      <c r="L22" s="20"/>
      <c r="M22" s="270" t="s">
        <v>512</v>
      </c>
      <c r="N22" s="339" t="s">
        <v>890</v>
      </c>
      <c r="O22" s="336" t="s">
        <v>891</v>
      </c>
      <c r="P22" s="170" t="s">
        <v>514</v>
      </c>
      <c r="Q22" s="170"/>
    </row>
    <row r="23" customFormat="false" ht="15" hidden="false" customHeight="false" outlineLevel="0" collapsed="false">
      <c r="A23" s="12" t="n">
        <v>6</v>
      </c>
      <c r="B23" s="337" t="s">
        <v>731</v>
      </c>
      <c r="C23" s="39" t="s">
        <v>23</v>
      </c>
      <c r="D23" s="264" t="s">
        <v>212</v>
      </c>
      <c r="E23" s="171" t="n">
        <v>29.76</v>
      </c>
      <c r="F23" s="275" t="s">
        <v>521</v>
      </c>
      <c r="G23" s="39" t="n">
        <v>50</v>
      </c>
      <c r="H23" s="222" t="n">
        <f aca="false">IF(E23="", "", G23 * E23)</f>
        <v>1488</v>
      </c>
      <c r="I23" s="168" t="n">
        <v>46150</v>
      </c>
      <c r="J23" s="20"/>
      <c r="K23" s="269" t="n">
        <f aca="false">IF( F23="EUR", H23 * $K$1, H23)</f>
        <v>1488</v>
      </c>
      <c r="L23" s="20"/>
      <c r="M23" s="270" t="s">
        <v>512</v>
      </c>
      <c r="N23" s="339" t="s">
        <v>892</v>
      </c>
      <c r="O23" s="336" t="s">
        <v>893</v>
      </c>
      <c r="P23" s="170" t="s">
        <v>514</v>
      </c>
      <c r="Q23" s="170"/>
    </row>
    <row r="24" customFormat="false" ht="15" hidden="false" customHeight="false" outlineLevel="0" collapsed="false">
      <c r="A24" s="12" t="n">
        <v>7</v>
      </c>
      <c r="B24" s="338" t="s">
        <v>894</v>
      </c>
      <c r="C24" s="349" t="s">
        <v>23</v>
      </c>
      <c r="D24" s="264" t="s">
        <v>299</v>
      </c>
      <c r="E24" s="171" t="n">
        <v>73.63</v>
      </c>
      <c r="F24" s="275" t="s">
        <v>521</v>
      </c>
      <c r="G24" s="39" t="n">
        <v>50</v>
      </c>
      <c r="H24" s="222" t="n">
        <f aca="false">IF(E24="", "", G24 * E24)</f>
        <v>3681.5</v>
      </c>
      <c r="I24" s="350" t="n">
        <v>46170</v>
      </c>
      <c r="J24" s="20"/>
      <c r="K24" s="269" t="n">
        <f aca="false">IF( F24="EUR", H24 * $K$1, H24)</f>
        <v>3681.5</v>
      </c>
      <c r="L24" s="20"/>
      <c r="M24" s="270" t="s">
        <v>512</v>
      </c>
      <c r="N24" s="339" t="s">
        <v>895</v>
      </c>
      <c r="O24" s="336" t="n">
        <v>90261318</v>
      </c>
      <c r="P24" s="170" t="s">
        <v>514</v>
      </c>
      <c r="Q24" s="119"/>
    </row>
    <row r="25" customFormat="false" ht="15.75" hidden="false" customHeight="false" outlineLevel="0" collapsed="false">
      <c r="A25" s="12" t="n">
        <v>2</v>
      </c>
      <c r="B25" s="332" t="s">
        <v>896</v>
      </c>
      <c r="C25" s="39" t="s">
        <v>23</v>
      </c>
      <c r="D25" s="333" t="s">
        <v>306</v>
      </c>
      <c r="E25" s="171" t="n">
        <v>29.13</v>
      </c>
      <c r="F25" s="275" t="s">
        <v>521</v>
      </c>
      <c r="G25" s="39" t="n">
        <v>25</v>
      </c>
      <c r="H25" s="222" t="n">
        <f aca="false">IF(E25="", "", G25 * E25)</f>
        <v>728.25</v>
      </c>
      <c r="I25" s="168" t="n">
        <v>46175</v>
      </c>
      <c r="J25" s="20"/>
      <c r="K25" s="269" t="n">
        <f aca="false">IF( F25="EUR", H25 * $K$1, H25)</f>
        <v>728.25</v>
      </c>
      <c r="L25" s="20"/>
      <c r="M25" s="270" t="s">
        <v>512</v>
      </c>
      <c r="N25" s="339" t="s">
        <v>897</v>
      </c>
      <c r="O25" s="270" t="s">
        <v>898</v>
      </c>
      <c r="P25" s="273" t="s">
        <v>514</v>
      </c>
      <c r="Q25" s="119"/>
    </row>
    <row r="26" customFormat="false" ht="15.75" hidden="false" customHeight="false" outlineLevel="0" collapsed="false">
      <c r="K26" s="236" t="n">
        <f aca="false">SUM(K18:K25)</f>
        <v>13137</v>
      </c>
    </row>
    <row r="28" customFormat="false" ht="28.5" hidden="false" customHeight="false" outlineLevel="0" collapsed="false">
      <c r="A28" s="237" t="s">
        <v>575</v>
      </c>
      <c r="B28" s="237"/>
      <c r="C28" s="237"/>
      <c r="D28" s="237"/>
      <c r="E28" s="237"/>
      <c r="F28" s="237"/>
      <c r="G28" s="237"/>
      <c r="H28" s="237"/>
      <c r="I28" s="237"/>
    </row>
    <row r="29" customFormat="false" ht="45" hidden="false" customHeight="false" outlineLevel="0" collapsed="false">
      <c r="A29" s="185" t="s">
        <v>1</v>
      </c>
      <c r="B29" s="185" t="s">
        <v>2</v>
      </c>
      <c r="C29" s="185" t="s">
        <v>3</v>
      </c>
      <c r="D29" s="185" t="s">
        <v>4</v>
      </c>
      <c r="E29" s="185" t="s">
        <v>5</v>
      </c>
      <c r="F29" s="185" t="s">
        <v>505</v>
      </c>
      <c r="G29" s="185" t="s">
        <v>6</v>
      </c>
      <c r="H29" s="185" t="s">
        <v>506</v>
      </c>
      <c r="I29" s="185" t="s">
        <v>8</v>
      </c>
      <c r="K29" s="186" t="s">
        <v>507</v>
      </c>
      <c r="M29" s="187" t="s">
        <v>190</v>
      </c>
      <c r="N29" s="139" t="s">
        <v>576</v>
      </c>
      <c r="O29" s="139" t="s">
        <v>191</v>
      </c>
      <c r="P29" s="139" t="s">
        <v>509</v>
      </c>
      <c r="Q29" s="139" t="s">
        <v>211</v>
      </c>
    </row>
    <row r="30" customFormat="false" ht="15.75" hidden="false" customHeight="false" outlineLevel="0" collapsed="false">
      <c r="A30" s="119" t="s">
        <v>10</v>
      </c>
      <c r="B30" s="351" t="s">
        <v>899</v>
      </c>
      <c r="C30" s="239"/>
      <c r="D30" s="119" t="s">
        <v>607</v>
      </c>
      <c r="E30" s="241" t="n">
        <v>73.5</v>
      </c>
      <c r="F30" s="275" t="s">
        <v>511</v>
      </c>
      <c r="G30" s="119" t="n">
        <v>25</v>
      </c>
      <c r="H30" s="301" t="n">
        <v>73.75</v>
      </c>
      <c r="I30" s="244" t="n">
        <v>46160</v>
      </c>
      <c r="K30" s="269" t="n">
        <f aca="false">IF( F30="EUR", H30 * $K$1, H30)</f>
        <v>320.8125</v>
      </c>
      <c r="M30" s="224" t="s">
        <v>512</v>
      </c>
      <c r="N30" s="227"/>
      <c r="O30" s="227"/>
      <c r="P30" s="229"/>
      <c r="Q30" s="119"/>
    </row>
    <row r="31" customFormat="false" ht="15" hidden="false" customHeight="false" outlineLevel="0" collapsed="false">
      <c r="A31" s="119" t="s">
        <v>14</v>
      </c>
      <c r="B31" s="240"/>
      <c r="C31" s="119"/>
      <c r="D31" s="119"/>
      <c r="E31" s="119"/>
      <c r="F31" s="119"/>
      <c r="G31" s="119"/>
      <c r="H31" s="119"/>
      <c r="I31" s="244"/>
      <c r="K31" s="223"/>
      <c r="M31" s="17"/>
      <c r="N31" s="121"/>
      <c r="O31" s="121"/>
      <c r="P31" s="119"/>
      <c r="Q31" s="119"/>
    </row>
    <row r="32" customFormat="false" ht="15" hidden="false" customHeight="false" outlineLevel="0" collapsed="false">
      <c r="A32" s="119" t="s">
        <v>18</v>
      </c>
      <c r="B32" s="240"/>
      <c r="C32" s="119"/>
      <c r="D32" s="119"/>
      <c r="E32" s="119"/>
      <c r="F32" s="242"/>
      <c r="G32" s="119"/>
      <c r="H32" s="119"/>
      <c r="I32" s="244"/>
      <c r="K32" s="223"/>
      <c r="M32" s="17"/>
      <c r="N32" s="121"/>
      <c r="O32" s="121"/>
      <c r="P32" s="119"/>
      <c r="Q32" s="119"/>
    </row>
    <row r="33" customFormat="false" ht="15" hidden="false" customHeight="false" outlineLevel="0" collapsed="false">
      <c r="A33" s="119" t="s">
        <v>21</v>
      </c>
      <c r="B33" s="240"/>
      <c r="C33" s="119"/>
      <c r="D33" s="119"/>
      <c r="E33" s="119"/>
      <c r="F33" s="242"/>
      <c r="G33" s="119"/>
      <c r="H33" s="243"/>
      <c r="I33" s="244"/>
      <c r="K33" s="223"/>
      <c r="M33" s="17"/>
      <c r="N33" s="121"/>
      <c r="O33" s="121"/>
      <c r="P33" s="119"/>
      <c r="Q33" s="119"/>
    </row>
    <row r="34" customFormat="false" ht="15.75" hidden="false" customHeight="false" outlineLevel="0" collapsed="false">
      <c r="A34" s="119" t="s">
        <v>25</v>
      </c>
      <c r="B34" s="240"/>
      <c r="C34" s="119"/>
      <c r="D34" s="119"/>
      <c r="E34" s="242"/>
      <c r="F34" s="242"/>
      <c r="G34" s="119"/>
      <c r="H34" s="243"/>
      <c r="I34" s="244"/>
      <c r="K34" s="223"/>
      <c r="M34" s="17"/>
      <c r="N34" s="121"/>
      <c r="O34" s="121"/>
      <c r="P34" s="119"/>
      <c r="Q34" s="119"/>
    </row>
    <row r="35" customFormat="false" ht="15.75" hidden="false" customHeight="false" outlineLevel="0" collapsed="false">
      <c r="K35" s="236" t="n">
        <f aca="false">SUM(K30:K34)</f>
        <v>320.8125</v>
      </c>
    </row>
  </sheetData>
  <autoFilter ref="A3:I12"/>
  <mergeCells count="4">
    <mergeCell ref="A1:I1"/>
    <mergeCell ref="A2:I2"/>
    <mergeCell ref="A16:I16"/>
    <mergeCell ref="A28:I28"/>
  </mergeCells>
  <conditionalFormatting sqref="M4:M13 M18:M25">
    <cfRule type="expression" priority="2" aboveAverage="0" equalAverage="0" bottom="0" percent="0" rank="0" text="" dxfId="29">
      <formula>$M4="TAK"</formula>
    </cfRule>
    <cfRule type="expression" priority="3" aboveAverage="0" equalAverage="0" bottom="0" percent="0" rank="0" text="" dxfId="30">
      <formula>$M4="NIE"</formula>
    </cfRule>
  </conditionalFormatting>
  <conditionalFormatting sqref="M30">
    <cfRule type="expression" priority="4" aboveAverage="0" equalAverage="0" bottom="0" percent="0" rank="0" text="" dxfId="31">
      <formula>$M30="TAK"</formula>
    </cfRule>
    <cfRule type="expression" priority="5" aboveAverage="0" equalAverage="0" bottom="0" percent="0" rank="0" text="" dxfId="32">
      <formula>$M30="NIE"</formula>
    </cfRule>
  </conditionalFormatting>
  <dataValidations count="3">
    <dataValidation allowBlank="true" errorStyle="stop" operator="between" prompt="&#10;Określić na dany miesiąc&#10;" promptTitle="KURS EURO" showDropDown="false" showErrorMessage="true" showInputMessage="true" sqref="K1" type="none">
      <formula1>0</formula1>
      <formula2>0</formula2>
    </dataValidation>
    <dataValidation allowBlank="true" errorStyle="stop" operator="between" showDropDown="false" showErrorMessage="true" showInputMessage="true" sqref="F4 F6:F13 F18:F25 F30" type="list">
      <formula1>"PLN,EUR"</formula1>
      <formula2>0</formula2>
    </dataValidation>
    <dataValidation allowBlank="true" errorStyle="stop" operator="between" showDropDown="false" showErrorMessage="true" showInputMessage="true" sqref="M4:M11 M13 M18:M25 M30" type="list">
      <formula1>"TAK,NIE"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33.28"/>
    <col collapsed="false" customWidth="true" hidden="false" outlineLevel="0" max="3" min="3" style="0" width="14.43"/>
    <col collapsed="false" customWidth="true" hidden="false" outlineLevel="0" max="4" min="4" style="0" width="16.57"/>
    <col collapsed="false" customWidth="true" hidden="false" outlineLevel="0" max="6" min="5" style="0" width="9.85"/>
    <col collapsed="false" customWidth="true" hidden="false" outlineLevel="0" max="8" min="8" style="0" width="12"/>
    <col collapsed="false" customWidth="true" hidden="false" outlineLevel="0" max="9" min="9" style="0" width="9.43"/>
    <col collapsed="false" customWidth="true" hidden="false" outlineLevel="0" max="10" min="10" style="0" width="6.57"/>
    <col collapsed="false" customWidth="true" hidden="false" outlineLevel="0" max="11" min="11" style="0" width="16.71"/>
    <col collapsed="false" customWidth="true" hidden="false" outlineLevel="0" max="12" min="12" style="0" width="6.14"/>
    <col collapsed="false" customWidth="true" hidden="false" outlineLevel="0" max="14" min="13" style="0" width="11.71"/>
    <col collapsed="false" customWidth="true" hidden="false" outlineLevel="0" max="15" min="15" style="0" width="20.14"/>
    <col collapsed="false" customWidth="true" hidden="false" outlineLevel="0" max="16" min="16" style="0" width="17.71"/>
    <col collapsed="false" customWidth="true" hidden="false" outlineLevel="0" max="17" min="17" style="0" width="19.14"/>
    <col collapsed="false" customWidth="true" hidden="false" outlineLevel="0" max="18" min="18" style="0" width="35.43"/>
  </cols>
  <sheetData>
    <row r="1" customFormat="false" ht="39.75" hidden="false" customHeight="true" outlineLevel="0" collapsed="false">
      <c r="A1" s="262" t="s">
        <v>900</v>
      </c>
      <c r="B1" s="262"/>
      <c r="C1" s="262"/>
      <c r="D1" s="262"/>
      <c r="E1" s="262"/>
      <c r="F1" s="262"/>
      <c r="G1" s="262"/>
      <c r="H1" s="262"/>
      <c r="I1" s="262"/>
      <c r="K1" s="184" t="n">
        <v>4.35</v>
      </c>
    </row>
    <row r="2" customFormat="false" ht="26.25" hidden="false" customHeight="true" outlineLevel="0" collapsed="false">
      <c r="A2" s="262" t="s">
        <v>189</v>
      </c>
      <c r="B2" s="262"/>
      <c r="C2" s="262"/>
      <c r="D2" s="262"/>
      <c r="E2" s="262"/>
      <c r="F2" s="262"/>
      <c r="G2" s="262"/>
      <c r="H2" s="262"/>
      <c r="I2" s="262"/>
    </row>
    <row r="3" customFormat="false" ht="54" hidden="false" customHeight="false" outlineLevel="0" collapsed="false">
      <c r="A3" s="185" t="s">
        <v>1</v>
      </c>
      <c r="B3" s="185" t="s">
        <v>2</v>
      </c>
      <c r="C3" s="185" t="s">
        <v>3</v>
      </c>
      <c r="D3" s="185" t="s">
        <v>4</v>
      </c>
      <c r="E3" s="185" t="s">
        <v>5</v>
      </c>
      <c r="F3" s="185" t="s">
        <v>505</v>
      </c>
      <c r="G3" s="185" t="s">
        <v>6</v>
      </c>
      <c r="H3" s="185" t="s">
        <v>506</v>
      </c>
      <c r="I3" s="185" t="s">
        <v>8</v>
      </c>
      <c r="K3" s="186" t="s">
        <v>507</v>
      </c>
      <c r="M3" s="187" t="s">
        <v>190</v>
      </c>
      <c r="N3" s="187" t="s">
        <v>901</v>
      </c>
      <c r="O3" s="139" t="s">
        <v>508</v>
      </c>
      <c r="P3" s="139" t="s">
        <v>191</v>
      </c>
      <c r="Q3" s="139" t="s">
        <v>509</v>
      </c>
      <c r="R3" s="139" t="s">
        <v>211</v>
      </c>
    </row>
    <row r="4" s="20" customFormat="true" ht="15" hidden="false" customHeight="false" outlineLevel="0" collapsed="false">
      <c r="A4" s="352" t="n">
        <v>1</v>
      </c>
      <c r="B4" s="353" t="s">
        <v>902</v>
      </c>
      <c r="C4" s="310" t="s">
        <v>903</v>
      </c>
      <c r="D4" s="264" t="s">
        <v>20</v>
      </c>
      <c r="E4" s="265" t="n">
        <v>9.2</v>
      </c>
      <c r="F4" s="284" t="s">
        <v>521</v>
      </c>
      <c r="G4" s="266" t="n">
        <v>500</v>
      </c>
      <c r="H4" s="354" t="n">
        <f aca="false">IF(E4="","",G4*E4)</f>
        <v>4600</v>
      </c>
      <c r="I4" s="267" t="n">
        <v>46189</v>
      </c>
      <c r="J4" s="60"/>
      <c r="K4" s="269" t="n">
        <f aca="false">IF( F4="EUR", H4 * $K$1, H4)</f>
        <v>4600</v>
      </c>
      <c r="M4" s="270" t="s">
        <v>512</v>
      </c>
      <c r="N4" s="355"/>
      <c r="O4" s="271" t="s">
        <v>904</v>
      </c>
      <c r="P4" s="272" t="s">
        <v>905</v>
      </c>
      <c r="Q4" s="287" t="s">
        <v>514</v>
      </c>
      <c r="R4" s="170"/>
    </row>
    <row r="5" s="20" customFormat="true" ht="15" hidden="false" customHeight="false" outlineLevel="0" collapsed="false">
      <c r="A5" s="352" t="n">
        <v>2</v>
      </c>
      <c r="B5" s="356" t="s">
        <v>877</v>
      </c>
      <c r="C5" s="89" t="s">
        <v>136</v>
      </c>
      <c r="D5" s="264" t="s">
        <v>37</v>
      </c>
      <c r="E5" s="265" t="n">
        <v>5.2</v>
      </c>
      <c r="F5" s="175" t="s">
        <v>521</v>
      </c>
      <c r="G5" s="266" t="n">
        <v>632</v>
      </c>
      <c r="H5" s="222" t="n">
        <f aca="false">IF(E5="","",G5*E5)</f>
        <v>3286.4</v>
      </c>
      <c r="I5" s="267" t="n">
        <v>46190</v>
      </c>
      <c r="J5" s="268"/>
      <c r="K5" s="269" t="n">
        <f aca="false">IF( F5="EUR", H5 * $K$1, H5)</f>
        <v>3286.4</v>
      </c>
      <c r="M5" s="270" t="s">
        <v>512</v>
      </c>
      <c r="N5" s="355"/>
      <c r="O5" s="277" t="s">
        <v>906</v>
      </c>
      <c r="P5" s="357" t="s">
        <v>907</v>
      </c>
      <c r="Q5" s="273" t="s">
        <v>514</v>
      </c>
      <c r="R5" s="125" t="s">
        <v>908</v>
      </c>
    </row>
    <row r="6" s="20" customFormat="true" ht="15" hidden="false" customHeight="false" outlineLevel="0" collapsed="false">
      <c r="A6" s="352" t="n">
        <v>3</v>
      </c>
      <c r="B6" s="356" t="s">
        <v>877</v>
      </c>
      <c r="C6" s="89" t="s">
        <v>136</v>
      </c>
      <c r="D6" s="264" t="s">
        <v>37</v>
      </c>
      <c r="E6" s="265" t="n">
        <v>5.6</v>
      </c>
      <c r="F6" s="175" t="s">
        <v>521</v>
      </c>
      <c r="G6" s="266" t="n">
        <v>2015</v>
      </c>
      <c r="H6" s="222" t="n">
        <f aca="false">IF(E6="","",G6*E6)</f>
        <v>11284</v>
      </c>
      <c r="I6" s="267" t="n">
        <v>46190</v>
      </c>
      <c r="J6" s="268"/>
      <c r="K6" s="269" t="n">
        <f aca="false">IF( F6="EUR", H6 * $K$1, H6)</f>
        <v>11284</v>
      </c>
      <c r="M6" s="270" t="s">
        <v>512</v>
      </c>
      <c r="N6" s="355"/>
      <c r="O6" s="277" t="s">
        <v>906</v>
      </c>
      <c r="P6" s="357" t="s">
        <v>907</v>
      </c>
      <c r="Q6" s="273" t="s">
        <v>514</v>
      </c>
      <c r="R6" s="89" t="s">
        <v>909</v>
      </c>
    </row>
    <row r="7" s="20" customFormat="true" ht="15" hidden="false" customHeight="false" outlineLevel="0" collapsed="false">
      <c r="A7" s="352" t="n">
        <v>4</v>
      </c>
      <c r="B7" s="356" t="s">
        <v>877</v>
      </c>
      <c r="C7" s="89" t="s">
        <v>136</v>
      </c>
      <c r="D7" s="264" t="s">
        <v>37</v>
      </c>
      <c r="E7" s="265" t="n">
        <v>5.6</v>
      </c>
      <c r="F7" s="175" t="s">
        <v>521</v>
      </c>
      <c r="G7" s="266" t="n">
        <v>3017</v>
      </c>
      <c r="H7" s="222" t="n">
        <f aca="false">IF(E7="","",G7*E7)</f>
        <v>16895.2</v>
      </c>
      <c r="I7" s="267" t="n">
        <v>46192</v>
      </c>
      <c r="J7" s="268"/>
      <c r="K7" s="269" t="n">
        <f aca="false">IF( F7="EUR", H7 * $K$1, H7)</f>
        <v>16895.2</v>
      </c>
      <c r="M7" s="270" t="s">
        <v>512</v>
      </c>
      <c r="N7" s="355"/>
      <c r="O7" s="277" t="s">
        <v>906</v>
      </c>
      <c r="P7" s="357" t="s">
        <v>910</v>
      </c>
      <c r="Q7" s="273" t="s">
        <v>514</v>
      </c>
      <c r="R7" s="89" t="s">
        <v>911</v>
      </c>
    </row>
    <row r="8" s="20" customFormat="true" ht="15" hidden="false" customHeight="false" outlineLevel="0" collapsed="false">
      <c r="A8" s="352" t="n">
        <v>5</v>
      </c>
      <c r="B8" s="313" t="s">
        <v>860</v>
      </c>
      <c r="C8" s="310" t="s">
        <v>101</v>
      </c>
      <c r="D8" s="264" t="s">
        <v>37</v>
      </c>
      <c r="E8" s="265" t="n">
        <v>4.2</v>
      </c>
      <c r="F8" s="275" t="s">
        <v>521</v>
      </c>
      <c r="G8" s="266" t="n">
        <v>1803</v>
      </c>
      <c r="H8" s="222" t="n">
        <f aca="false">IF(E8="","",G8*E8)</f>
        <v>7572.6</v>
      </c>
      <c r="I8" s="267" t="s">
        <v>912</v>
      </c>
      <c r="J8" s="268"/>
      <c r="K8" s="269" t="n">
        <f aca="false">IF( F8="EUR", H8 * $K$1, H8)</f>
        <v>7572.6</v>
      </c>
      <c r="M8" s="270" t="s">
        <v>512</v>
      </c>
      <c r="N8" s="355"/>
      <c r="O8" s="277" t="s">
        <v>913</v>
      </c>
      <c r="P8" s="357" t="s">
        <v>914</v>
      </c>
      <c r="Q8" s="273" t="s">
        <v>514</v>
      </c>
      <c r="R8" s="339"/>
    </row>
    <row r="9" s="20" customFormat="true" ht="15" hidden="false" customHeight="false" outlineLevel="0" collapsed="false">
      <c r="A9" s="352" t="n">
        <v>6</v>
      </c>
      <c r="B9" s="313" t="s">
        <v>100</v>
      </c>
      <c r="C9" s="310" t="s">
        <v>101</v>
      </c>
      <c r="D9" s="264" t="s">
        <v>746</v>
      </c>
      <c r="E9" s="265" t="n">
        <v>3.8</v>
      </c>
      <c r="F9" s="175" t="s">
        <v>521</v>
      </c>
      <c r="G9" s="315" t="n">
        <v>3000</v>
      </c>
      <c r="H9" s="222" t="n">
        <f aca="false">IF(E9="","",G9*E9)</f>
        <v>11400</v>
      </c>
      <c r="I9" s="267" t="n">
        <v>46198</v>
      </c>
      <c r="J9" s="38"/>
      <c r="K9" s="269" t="n">
        <f aca="false">IF( F9="EUR", H9 * $K$1, H9)</f>
        <v>11400</v>
      </c>
      <c r="L9" s="38"/>
      <c r="M9" s="270" t="s">
        <v>512</v>
      </c>
      <c r="N9" s="355" t="s">
        <v>915</v>
      </c>
      <c r="O9" s="271" t="s">
        <v>916</v>
      </c>
      <c r="P9" s="312" t="s">
        <v>917</v>
      </c>
      <c r="Q9" s="273" t="s">
        <v>514</v>
      </c>
      <c r="R9" s="89"/>
    </row>
    <row r="10" s="20" customFormat="true" ht="15" hidden="false" customHeight="false" outlineLevel="0" collapsed="false">
      <c r="A10" s="89" t="n">
        <v>7</v>
      </c>
      <c r="B10" s="358" t="s">
        <v>918</v>
      </c>
      <c r="C10" s="89" t="s">
        <v>23</v>
      </c>
      <c r="D10" s="264" t="s">
        <v>919</v>
      </c>
      <c r="E10" s="265" t="n">
        <v>3.45</v>
      </c>
      <c r="F10" s="275" t="s">
        <v>511</v>
      </c>
      <c r="G10" s="266" t="n">
        <v>4200</v>
      </c>
      <c r="H10" s="354" t="n">
        <f aca="false">IF(E10="","",G10*E10)</f>
        <v>14490</v>
      </c>
      <c r="I10" s="267" t="s">
        <v>920</v>
      </c>
      <c r="J10" s="268"/>
      <c r="K10" s="269" t="n">
        <f aca="false">IF( F10="EUR", H10 * $K$1, H10)</f>
        <v>63031.5</v>
      </c>
      <c r="M10" s="270" t="s">
        <v>783</v>
      </c>
      <c r="N10" s="355"/>
      <c r="O10" s="283" t="s">
        <v>921</v>
      </c>
      <c r="P10" s="357" t="s">
        <v>922</v>
      </c>
      <c r="Q10" s="273" t="s">
        <v>514</v>
      </c>
      <c r="R10" s="287" t="s">
        <v>923</v>
      </c>
    </row>
    <row r="11" s="20" customFormat="true" ht="15" hidden="false" customHeight="false" outlineLevel="0" collapsed="false">
      <c r="A11" s="89" t="n">
        <v>8</v>
      </c>
      <c r="B11" s="359" t="s">
        <v>924</v>
      </c>
      <c r="C11" s="89" t="s">
        <v>23</v>
      </c>
      <c r="D11" s="264" t="s">
        <v>611</v>
      </c>
      <c r="E11" s="265" t="n">
        <v>3.6</v>
      </c>
      <c r="F11" s="275" t="s">
        <v>511</v>
      </c>
      <c r="G11" s="266" t="n">
        <v>4000</v>
      </c>
      <c r="H11" s="354" t="n">
        <f aca="false">IF(E11="","",G11*E11)</f>
        <v>14400</v>
      </c>
      <c r="I11" s="267" t="n">
        <v>46199</v>
      </c>
      <c r="J11" s="37"/>
      <c r="K11" s="269" t="n">
        <f aca="false">IF( F11="EUR", H11 * $K$1, H11)</f>
        <v>62640</v>
      </c>
      <c r="M11" s="270" t="s">
        <v>512</v>
      </c>
      <c r="N11" s="355" t="s">
        <v>915</v>
      </c>
      <c r="O11" s="271" t="s">
        <v>925</v>
      </c>
      <c r="P11" s="272" t="s">
        <v>926</v>
      </c>
      <c r="Q11" s="273" t="s">
        <v>514</v>
      </c>
      <c r="R11" s="170" t="s">
        <v>927</v>
      </c>
    </row>
    <row r="12" customFormat="false" ht="16.5" hidden="false" customHeight="false" outlineLevel="0" collapsed="false">
      <c r="A12" s="21"/>
      <c r="B12" s="291"/>
      <c r="C12" s="292"/>
      <c r="D12" s="292"/>
      <c r="E12" s="293"/>
      <c r="F12" s="294"/>
      <c r="G12" s="295"/>
      <c r="H12" s="296"/>
      <c r="I12" s="297"/>
      <c r="J12" s="51"/>
      <c r="K12" s="298"/>
      <c r="M12" s="299"/>
      <c r="N12" s="299"/>
      <c r="O12" s="300"/>
      <c r="P12" s="19"/>
      <c r="Q12" s="300"/>
    </row>
    <row r="13" customFormat="false" ht="19.5" hidden="false" customHeight="false" outlineLevel="0" collapsed="false">
      <c r="B13" s="19"/>
      <c r="C13" s="19"/>
      <c r="D13" s="19"/>
      <c r="E13" s="19"/>
      <c r="F13" s="19"/>
      <c r="G13" s="19"/>
      <c r="H13" s="19"/>
      <c r="I13" s="19"/>
      <c r="K13" s="256" t="n">
        <f aca="false">SUM(K4:K12)</f>
        <v>180709.7</v>
      </c>
    </row>
    <row r="14" customFormat="false" ht="15" hidden="false" customHeight="false" outlineLevel="0" collapsed="false">
      <c r="K14" s="18"/>
    </row>
    <row r="15" customFormat="false" ht="26.25" hidden="false" customHeight="true" outlineLevel="0" collapsed="false">
      <c r="A15" s="262" t="s">
        <v>210</v>
      </c>
      <c r="B15" s="262"/>
      <c r="C15" s="262"/>
      <c r="D15" s="262"/>
      <c r="E15" s="262"/>
      <c r="F15" s="262"/>
      <c r="G15" s="262"/>
      <c r="H15" s="262"/>
      <c r="I15" s="262"/>
    </row>
    <row r="16" customFormat="false" ht="54" hidden="false" customHeight="false" outlineLevel="0" collapsed="false">
      <c r="A16" s="185" t="s">
        <v>1</v>
      </c>
      <c r="B16" s="185" t="s">
        <v>2</v>
      </c>
      <c r="C16" s="185" t="s">
        <v>3</v>
      </c>
      <c r="D16" s="185" t="s">
        <v>4</v>
      </c>
      <c r="E16" s="185" t="s">
        <v>5</v>
      </c>
      <c r="F16" s="185" t="s">
        <v>505</v>
      </c>
      <c r="G16" s="185" t="s">
        <v>6</v>
      </c>
      <c r="H16" s="185" t="s">
        <v>506</v>
      </c>
      <c r="I16" s="185" t="s">
        <v>8</v>
      </c>
      <c r="K16" s="186" t="s">
        <v>507</v>
      </c>
      <c r="M16" s="187" t="s">
        <v>190</v>
      </c>
      <c r="N16" s="187" t="s">
        <v>901</v>
      </c>
      <c r="O16" s="139" t="s">
        <v>558</v>
      </c>
      <c r="P16" s="139" t="s">
        <v>191</v>
      </c>
      <c r="Q16" s="139" t="s">
        <v>509</v>
      </c>
      <c r="R16" s="139" t="s">
        <v>211</v>
      </c>
    </row>
    <row r="17" customFormat="false" ht="15" hidden="false" customHeight="false" outlineLevel="0" collapsed="false">
      <c r="A17" s="12" t="n">
        <v>1</v>
      </c>
      <c r="B17" s="332" t="s">
        <v>410</v>
      </c>
      <c r="C17" s="39" t="s">
        <v>65</v>
      </c>
      <c r="D17" s="333" t="s">
        <v>212</v>
      </c>
      <c r="E17" s="171" t="n">
        <v>32.5</v>
      </c>
      <c r="F17" s="275" t="s">
        <v>521</v>
      </c>
      <c r="G17" s="39" t="n">
        <v>20</v>
      </c>
      <c r="H17" s="222" t="n">
        <f aca="false">IF(E17="", "", G17 * E17)</f>
        <v>650</v>
      </c>
      <c r="I17" s="168" t="n">
        <v>46175</v>
      </c>
      <c r="K17" s="269" t="n">
        <f aca="false">IF( F17="EUR", H17 * $K$1, H17)</f>
        <v>650</v>
      </c>
      <c r="M17" s="270" t="s">
        <v>512</v>
      </c>
      <c r="N17" s="360"/>
      <c r="O17" s="339" t="s">
        <v>928</v>
      </c>
      <c r="P17" s="270" t="s">
        <v>929</v>
      </c>
      <c r="Q17" s="273" t="s">
        <v>514</v>
      </c>
      <c r="R17" s="170"/>
    </row>
    <row r="18" customFormat="false" ht="15" hidden="false" customHeight="false" outlineLevel="0" collapsed="false">
      <c r="A18" s="12" t="n">
        <v>2</v>
      </c>
      <c r="B18" s="332" t="s">
        <v>930</v>
      </c>
      <c r="C18" s="39" t="s">
        <v>23</v>
      </c>
      <c r="D18" s="333" t="s">
        <v>212</v>
      </c>
      <c r="E18" s="171" t="n">
        <v>35.72</v>
      </c>
      <c r="F18" s="275" t="s">
        <v>521</v>
      </c>
      <c r="G18" s="39" t="n">
        <v>25</v>
      </c>
      <c r="H18" s="222" t="n">
        <f aca="false">IF(E18="", "", G18 * E18)</f>
        <v>893</v>
      </c>
      <c r="I18" s="168" t="n">
        <v>46176</v>
      </c>
      <c r="K18" s="269" t="n">
        <f aca="false">IF( F18="EUR", H18 * $K$1, H18)</f>
        <v>893</v>
      </c>
      <c r="M18" s="270" t="s">
        <v>512</v>
      </c>
      <c r="N18" s="360"/>
      <c r="O18" s="339" t="s">
        <v>931</v>
      </c>
      <c r="P18" s="270" t="s">
        <v>932</v>
      </c>
      <c r="Q18" s="273" t="s">
        <v>514</v>
      </c>
      <c r="R18" s="170"/>
    </row>
    <row r="19" customFormat="false" ht="15" hidden="false" customHeight="false" outlineLevel="0" collapsed="false">
      <c r="A19" s="12" t="n">
        <v>3</v>
      </c>
      <c r="B19" s="337" t="s">
        <v>933</v>
      </c>
      <c r="C19" s="39" t="s">
        <v>23</v>
      </c>
      <c r="D19" s="333" t="s">
        <v>212</v>
      </c>
      <c r="E19" s="171" t="n">
        <v>32.49</v>
      </c>
      <c r="F19" s="275" t="s">
        <v>521</v>
      </c>
      <c r="G19" s="39" t="n">
        <v>25</v>
      </c>
      <c r="H19" s="222" t="n">
        <f aca="false">IF(E19="", "", G19 * E19)</f>
        <v>812.25</v>
      </c>
      <c r="I19" s="350" t="n">
        <v>46183</v>
      </c>
      <c r="K19" s="269" t="n">
        <f aca="false">IF( F19="EUR", H19 * $K$1, H19)</f>
        <v>812.25</v>
      </c>
      <c r="M19" s="270" t="s">
        <v>512</v>
      </c>
      <c r="N19" s="360"/>
      <c r="O19" s="339" t="s">
        <v>931</v>
      </c>
      <c r="P19" s="270" t="s">
        <v>934</v>
      </c>
      <c r="Q19" s="273" t="s">
        <v>514</v>
      </c>
      <c r="R19" s="170"/>
    </row>
    <row r="20" customFormat="false" ht="15" hidden="false" customHeight="false" outlineLevel="0" collapsed="false">
      <c r="A20" s="12" t="n">
        <v>4</v>
      </c>
      <c r="B20" s="337" t="s">
        <v>838</v>
      </c>
      <c r="C20" s="39" t="s">
        <v>23</v>
      </c>
      <c r="D20" s="333" t="s">
        <v>212</v>
      </c>
      <c r="E20" s="171" t="n">
        <v>39.43</v>
      </c>
      <c r="F20" s="275" t="s">
        <v>521</v>
      </c>
      <c r="G20" s="39" t="n">
        <v>25</v>
      </c>
      <c r="H20" s="222" t="n">
        <f aca="false">IF(E20="", "", G20 * E20)</f>
        <v>985.75</v>
      </c>
      <c r="I20" s="350" t="n">
        <v>46185</v>
      </c>
      <c r="K20" s="269" t="n">
        <f aca="false">IF( F20="EUR", H20 * $K$1, H20)</f>
        <v>985.75</v>
      </c>
      <c r="M20" s="270" t="s">
        <v>512</v>
      </c>
      <c r="N20" s="360"/>
      <c r="O20" s="339" t="s">
        <v>935</v>
      </c>
      <c r="P20" s="336" t="s">
        <v>936</v>
      </c>
      <c r="Q20" s="273" t="s">
        <v>514</v>
      </c>
      <c r="R20" s="170"/>
    </row>
    <row r="21" customFormat="false" ht="15" hidden="false" customHeight="false" outlineLevel="0" collapsed="false">
      <c r="A21" s="12" t="n">
        <v>5</v>
      </c>
      <c r="B21" s="351" t="s">
        <v>937</v>
      </c>
      <c r="C21" s="39" t="s">
        <v>23</v>
      </c>
      <c r="D21" s="333" t="s">
        <v>212</v>
      </c>
      <c r="E21" s="171" t="n">
        <v>36.58</v>
      </c>
      <c r="F21" s="275" t="s">
        <v>521</v>
      </c>
      <c r="G21" s="39" t="n">
        <v>25</v>
      </c>
      <c r="H21" s="222" t="n">
        <f aca="false">IF(E21="", "", G21 * E21)</f>
        <v>914.5</v>
      </c>
      <c r="I21" s="350" t="n">
        <v>46185</v>
      </c>
      <c r="K21" s="269" t="n">
        <f aca="false">IF( F21="EUR", H21 * $K$1, H21)</f>
        <v>914.5</v>
      </c>
      <c r="M21" s="270" t="s">
        <v>512</v>
      </c>
      <c r="N21" s="360"/>
      <c r="O21" s="339" t="s">
        <v>935</v>
      </c>
      <c r="P21" s="336" t="s">
        <v>936</v>
      </c>
      <c r="Q21" s="273" t="s">
        <v>514</v>
      </c>
      <c r="R21" s="170"/>
    </row>
    <row r="22" customFormat="false" ht="15" hidden="false" customHeight="false" outlineLevel="0" collapsed="false">
      <c r="A22" s="12" t="n">
        <v>6</v>
      </c>
      <c r="B22" s="332" t="s">
        <v>615</v>
      </c>
      <c r="C22" s="39" t="s">
        <v>23</v>
      </c>
      <c r="D22" s="333" t="s">
        <v>306</v>
      </c>
      <c r="E22" s="171" t="n">
        <v>47</v>
      </c>
      <c r="F22" s="275" t="s">
        <v>521</v>
      </c>
      <c r="G22" s="39" t="n">
        <v>60</v>
      </c>
      <c r="H22" s="222" t="n">
        <f aca="false">IF(E22="", "", G22 * E22)</f>
        <v>2820</v>
      </c>
      <c r="I22" s="168" t="n">
        <v>46188</v>
      </c>
      <c r="K22" s="269" t="n">
        <f aca="false">IF( F22="EUR", H22 * $K$1, H22)</f>
        <v>2820</v>
      </c>
      <c r="M22" s="270" t="s">
        <v>512</v>
      </c>
      <c r="N22" s="360"/>
      <c r="O22" s="339" t="s">
        <v>938</v>
      </c>
      <c r="P22" s="270" t="s">
        <v>939</v>
      </c>
      <c r="Q22" s="273" t="s">
        <v>514</v>
      </c>
      <c r="R22" s="170"/>
    </row>
    <row r="23" customFormat="false" ht="15" hidden="false" customHeight="false" outlineLevel="0" collapsed="false">
      <c r="A23" s="12" t="n">
        <v>7</v>
      </c>
      <c r="B23" s="337" t="s">
        <v>736</v>
      </c>
      <c r="C23" s="39" t="s">
        <v>41</v>
      </c>
      <c r="D23" s="264" t="s">
        <v>212</v>
      </c>
      <c r="E23" s="171" t="n">
        <v>32.3</v>
      </c>
      <c r="F23" s="275" t="s">
        <v>521</v>
      </c>
      <c r="G23" s="39" t="n">
        <v>25</v>
      </c>
      <c r="H23" s="222" t="n">
        <f aca="false">IF(E23="", "", G23 * E23)</f>
        <v>807.5</v>
      </c>
      <c r="I23" s="168" t="n">
        <v>46188</v>
      </c>
      <c r="J23" s="20"/>
      <c r="K23" s="269" t="n">
        <f aca="false">IF( F23="EUR", H23 * $K$1, H23)</f>
        <v>807.5</v>
      </c>
      <c r="L23" s="20"/>
      <c r="M23" s="270" t="s">
        <v>512</v>
      </c>
      <c r="N23" s="360"/>
      <c r="O23" s="339" t="s">
        <v>940</v>
      </c>
      <c r="P23" s="336" t="s">
        <v>941</v>
      </c>
      <c r="Q23" s="273" t="s">
        <v>514</v>
      </c>
      <c r="R23" s="170"/>
    </row>
    <row r="24" customFormat="false" ht="15" hidden="false" customHeight="false" outlineLevel="0" collapsed="false">
      <c r="A24" s="12" t="n">
        <v>8</v>
      </c>
      <c r="B24" s="309" t="s">
        <v>737</v>
      </c>
      <c r="C24" s="39" t="s">
        <v>41</v>
      </c>
      <c r="D24" s="264" t="s">
        <v>212</v>
      </c>
      <c r="E24" s="171" t="n">
        <v>29.93</v>
      </c>
      <c r="F24" s="275" t="s">
        <v>521</v>
      </c>
      <c r="G24" s="39" t="n">
        <v>50</v>
      </c>
      <c r="H24" s="222" t="n">
        <f aca="false">IF(E24="", "", G24 * E24)</f>
        <v>1496.5</v>
      </c>
      <c r="I24" s="168" t="n">
        <v>46188</v>
      </c>
      <c r="J24" s="20"/>
      <c r="K24" s="269" t="n">
        <f aca="false">IF( F24="EUR", H24 * $K$1, H24)</f>
        <v>1496.5</v>
      </c>
      <c r="L24" s="20"/>
      <c r="M24" s="270" t="s">
        <v>512</v>
      </c>
      <c r="N24" s="360"/>
      <c r="O24" s="339" t="s">
        <v>940</v>
      </c>
      <c r="P24" s="336" t="s">
        <v>941</v>
      </c>
      <c r="Q24" s="273" t="s">
        <v>514</v>
      </c>
      <c r="R24" s="339"/>
    </row>
    <row r="25" customFormat="false" ht="15" hidden="false" customHeight="false" outlineLevel="0" collapsed="false">
      <c r="A25" s="12" t="n">
        <v>9</v>
      </c>
      <c r="B25" s="309" t="s">
        <v>942</v>
      </c>
      <c r="C25" s="39" t="s">
        <v>943</v>
      </c>
      <c r="D25" s="264" t="s">
        <v>944</v>
      </c>
      <c r="E25" s="171" t="n">
        <v>29.9</v>
      </c>
      <c r="F25" s="275" t="s">
        <v>521</v>
      </c>
      <c r="G25" s="39" t="n">
        <v>25</v>
      </c>
      <c r="H25" s="222" t="n">
        <f aca="false">IF(E25="", "", G25 * E25)</f>
        <v>747.5</v>
      </c>
      <c r="I25" s="168" t="n">
        <v>46206</v>
      </c>
      <c r="J25" s="20"/>
      <c r="K25" s="269" t="n">
        <f aca="false">IF( F25="EUR", H25 * $K$1, H25)</f>
        <v>747.5</v>
      </c>
      <c r="L25" s="20"/>
      <c r="M25" s="270" t="s">
        <v>512</v>
      </c>
      <c r="N25" s="360" t="s">
        <v>915</v>
      </c>
      <c r="O25" s="339" t="s">
        <v>945</v>
      </c>
      <c r="P25" s="336" t="s">
        <v>946</v>
      </c>
      <c r="Q25" s="273" t="s">
        <v>514</v>
      </c>
      <c r="R25" s="339" t="s">
        <v>947</v>
      </c>
    </row>
    <row r="26" customFormat="false" ht="15" hidden="false" customHeight="false" outlineLevel="0" collapsed="false">
      <c r="A26" s="12" t="n">
        <v>10</v>
      </c>
      <c r="B26" s="309" t="s">
        <v>948</v>
      </c>
      <c r="C26" s="39" t="s">
        <v>943</v>
      </c>
      <c r="D26" s="264" t="s">
        <v>944</v>
      </c>
      <c r="E26" s="171" t="n">
        <v>29.9</v>
      </c>
      <c r="F26" s="275" t="s">
        <v>521</v>
      </c>
      <c r="G26" s="39" t="n">
        <v>25</v>
      </c>
      <c r="H26" s="222" t="n">
        <f aca="false">IF(E26="", "", G26 * E26)</f>
        <v>747.5</v>
      </c>
      <c r="I26" s="168" t="n">
        <v>46196</v>
      </c>
      <c r="J26" s="20"/>
      <c r="K26" s="269" t="n">
        <f aca="false">IF( F26="EUR", H26 * $K$1, H26)</f>
        <v>747.5</v>
      </c>
      <c r="L26" s="20"/>
      <c r="M26" s="270" t="s">
        <v>512</v>
      </c>
      <c r="N26" s="360" t="s">
        <v>915</v>
      </c>
      <c r="O26" s="339" t="s">
        <v>945</v>
      </c>
      <c r="P26" s="336" t="s">
        <v>949</v>
      </c>
      <c r="Q26" s="273" t="s">
        <v>514</v>
      </c>
      <c r="R26" s="339" t="s">
        <v>947</v>
      </c>
    </row>
    <row r="27" customFormat="false" ht="15" hidden="false" customHeight="false" outlineLevel="0" collapsed="false">
      <c r="A27" s="12" t="n">
        <v>11</v>
      </c>
      <c r="B27" s="309" t="s">
        <v>565</v>
      </c>
      <c r="C27" s="39" t="s">
        <v>566</v>
      </c>
      <c r="D27" s="264" t="s">
        <v>299</v>
      </c>
      <c r="E27" s="171" t="n">
        <v>55</v>
      </c>
      <c r="F27" s="275" t="s">
        <v>521</v>
      </c>
      <c r="G27" s="39" t="n">
        <v>15</v>
      </c>
      <c r="H27" s="222" t="n">
        <f aca="false">IF(E27="", "", G27 * E27)</f>
        <v>825</v>
      </c>
      <c r="I27" s="168" t="n">
        <v>46191</v>
      </c>
      <c r="J27" s="20"/>
      <c r="K27" s="269" t="n">
        <f aca="false">IF( F27="EUR", H27 * $K$1, H27)</f>
        <v>825</v>
      </c>
      <c r="L27" s="20"/>
      <c r="M27" s="270" t="s">
        <v>512</v>
      </c>
      <c r="N27" s="360"/>
      <c r="O27" s="339" t="s">
        <v>950</v>
      </c>
      <c r="P27" s="336" t="n">
        <v>90261586</v>
      </c>
      <c r="Q27" s="170" t="s">
        <v>514</v>
      </c>
      <c r="R27" s="339"/>
    </row>
    <row r="28" customFormat="false" ht="15" hidden="false" customHeight="false" outlineLevel="0" collapsed="false">
      <c r="A28" s="12" t="n">
        <v>12</v>
      </c>
      <c r="B28" s="309" t="s">
        <v>951</v>
      </c>
      <c r="C28" s="39" t="s">
        <v>12</v>
      </c>
      <c r="D28" s="264" t="s">
        <v>299</v>
      </c>
      <c r="E28" s="171" t="n">
        <v>16</v>
      </c>
      <c r="F28" s="275" t="s">
        <v>521</v>
      </c>
      <c r="G28" s="39" t="n">
        <v>50</v>
      </c>
      <c r="H28" s="222" t="n">
        <f aca="false">IF(E28="", "", G28 * E28)</f>
        <v>800</v>
      </c>
      <c r="I28" s="168" t="n">
        <v>46192</v>
      </c>
      <c r="J28" s="20"/>
      <c r="K28" s="269" t="n">
        <f aca="false">IF( F28="EUR", H28 * $K$1, H28)</f>
        <v>800</v>
      </c>
      <c r="L28" s="20"/>
      <c r="M28" s="270" t="s">
        <v>512</v>
      </c>
      <c r="N28" s="360"/>
      <c r="O28" s="339" t="s">
        <v>952</v>
      </c>
      <c r="P28" s="336" t="n">
        <v>90261600</v>
      </c>
      <c r="Q28" s="170" t="s">
        <v>514</v>
      </c>
      <c r="R28" s="339"/>
    </row>
    <row r="29" customFormat="false" ht="15" hidden="false" customHeight="false" outlineLevel="0" collapsed="false">
      <c r="A29" s="12" t="n">
        <v>13</v>
      </c>
      <c r="B29" s="337" t="s">
        <v>953</v>
      </c>
      <c r="C29" s="39" t="s">
        <v>23</v>
      </c>
      <c r="D29" s="333" t="s">
        <v>306</v>
      </c>
      <c r="E29" s="171" t="n">
        <v>22.5</v>
      </c>
      <c r="F29" s="275" t="s">
        <v>521</v>
      </c>
      <c r="G29" s="39" t="n">
        <v>50</v>
      </c>
      <c r="H29" s="222" t="n">
        <f aca="false">IF(E29="", "", G29 * E29)</f>
        <v>1125</v>
      </c>
      <c r="I29" s="350" t="n">
        <v>46197</v>
      </c>
      <c r="K29" s="269" t="n">
        <f aca="false">IF( F29="EUR", H29 * $K$1, H29)</f>
        <v>1125</v>
      </c>
      <c r="M29" s="270" t="s">
        <v>512</v>
      </c>
      <c r="N29" s="360"/>
      <c r="O29" s="339" t="s">
        <v>954</v>
      </c>
      <c r="P29" s="336" t="s">
        <v>955</v>
      </c>
      <c r="Q29" s="273" t="s">
        <v>514</v>
      </c>
      <c r="R29" s="170"/>
    </row>
    <row r="30" customFormat="false" ht="15" hidden="false" customHeight="false" outlineLevel="0" collapsed="false">
      <c r="A30" s="12" t="n">
        <v>14</v>
      </c>
      <c r="B30" s="337" t="s">
        <v>956</v>
      </c>
      <c r="C30" s="39" t="s">
        <v>23</v>
      </c>
      <c r="D30" s="333" t="s">
        <v>306</v>
      </c>
      <c r="E30" s="171" t="n">
        <v>27.1</v>
      </c>
      <c r="F30" s="275" t="s">
        <v>521</v>
      </c>
      <c r="G30" s="39" t="n">
        <v>25</v>
      </c>
      <c r="H30" s="222" t="n">
        <f aca="false">IF(E30="", "", G30 * E30)</f>
        <v>677.5</v>
      </c>
      <c r="I30" s="350" t="n">
        <v>46197</v>
      </c>
      <c r="K30" s="269" t="n">
        <f aca="false">IF( F30="EUR", H30 * $K$1, H30)</f>
        <v>677.5</v>
      </c>
      <c r="M30" s="270" t="s">
        <v>512</v>
      </c>
      <c r="N30" s="360"/>
      <c r="O30" s="339" t="s">
        <v>954</v>
      </c>
      <c r="P30" s="336" t="s">
        <v>955</v>
      </c>
      <c r="Q30" s="273" t="s">
        <v>514</v>
      </c>
      <c r="R30" s="170"/>
    </row>
    <row r="31" customFormat="false" ht="15" hidden="false" customHeight="false" outlineLevel="0" collapsed="false">
      <c r="A31" s="12" t="n">
        <v>15</v>
      </c>
      <c r="B31" s="337" t="s">
        <v>834</v>
      </c>
      <c r="C31" s="39" t="s">
        <v>23</v>
      </c>
      <c r="D31" s="333" t="s">
        <v>306</v>
      </c>
      <c r="E31" s="171" t="n">
        <v>32.2</v>
      </c>
      <c r="F31" s="275" t="s">
        <v>521</v>
      </c>
      <c r="G31" s="39" t="n">
        <v>50</v>
      </c>
      <c r="H31" s="222" t="n">
        <f aca="false">IF(E31="", "", G31 * E31)</f>
        <v>1610</v>
      </c>
      <c r="I31" s="350" t="n">
        <v>46197</v>
      </c>
      <c r="K31" s="269" t="n">
        <f aca="false">IF( F31="EUR", H31 * $K$1, H31)</f>
        <v>1610</v>
      </c>
      <c r="M31" s="270" t="s">
        <v>512</v>
      </c>
      <c r="N31" s="360"/>
      <c r="O31" s="339" t="s">
        <v>954</v>
      </c>
      <c r="P31" s="336" t="s">
        <v>955</v>
      </c>
      <c r="Q31" s="273" t="s">
        <v>514</v>
      </c>
      <c r="R31" s="170"/>
    </row>
    <row r="32" customFormat="false" ht="15" hidden="false" customHeight="false" outlineLevel="0" collapsed="false">
      <c r="A32" s="12" t="n">
        <v>16</v>
      </c>
      <c r="B32" s="337" t="s">
        <v>829</v>
      </c>
      <c r="C32" s="39" t="s">
        <v>23</v>
      </c>
      <c r="D32" s="333" t="s">
        <v>306</v>
      </c>
      <c r="E32" s="171" t="n">
        <v>26.5</v>
      </c>
      <c r="F32" s="275" t="s">
        <v>521</v>
      </c>
      <c r="G32" s="39" t="n">
        <v>50</v>
      </c>
      <c r="H32" s="222" t="n">
        <f aca="false">IF(E32="", "", G32 * E32)</f>
        <v>1325</v>
      </c>
      <c r="I32" s="350" t="n">
        <v>46197</v>
      </c>
      <c r="K32" s="269" t="n">
        <f aca="false">IF( F32="EUR", H32 * $K$1, H32)</f>
        <v>1325</v>
      </c>
      <c r="M32" s="270" t="s">
        <v>512</v>
      </c>
      <c r="N32" s="360"/>
      <c r="O32" s="339" t="s">
        <v>954</v>
      </c>
      <c r="P32" s="336" t="s">
        <v>955</v>
      </c>
      <c r="Q32" s="273" t="s">
        <v>514</v>
      </c>
      <c r="R32" s="170"/>
    </row>
    <row r="33" customFormat="false" ht="15" hidden="false" customHeight="false" outlineLevel="0" collapsed="false">
      <c r="A33" s="12" t="n">
        <v>17</v>
      </c>
      <c r="B33" s="337" t="s">
        <v>957</v>
      </c>
      <c r="C33" s="39" t="s">
        <v>12</v>
      </c>
      <c r="D33" s="264" t="s">
        <v>212</v>
      </c>
      <c r="E33" s="171" t="n">
        <v>23.75</v>
      </c>
      <c r="F33" s="275" t="s">
        <v>521</v>
      </c>
      <c r="G33" s="39" t="n">
        <v>25</v>
      </c>
      <c r="H33" s="222" t="n">
        <f aca="false">IF(E33="", "", G33 * E33)</f>
        <v>593.75</v>
      </c>
      <c r="I33" s="350" t="n">
        <v>46195</v>
      </c>
      <c r="K33" s="269" t="n">
        <f aca="false">IF( F33="EUR", H33 * $K$1, H33)</f>
        <v>593.75</v>
      </c>
      <c r="M33" s="270" t="s">
        <v>512</v>
      </c>
      <c r="N33" s="360"/>
      <c r="O33" s="339" t="s">
        <v>958</v>
      </c>
      <c r="P33" s="336" t="s">
        <v>959</v>
      </c>
      <c r="Q33" s="273" t="s">
        <v>514</v>
      </c>
      <c r="R33" s="170"/>
    </row>
    <row r="34" customFormat="false" ht="15" hidden="false" customHeight="false" outlineLevel="0" collapsed="false">
      <c r="A34" s="12" t="n">
        <v>18</v>
      </c>
      <c r="B34" s="337" t="s">
        <v>960</v>
      </c>
      <c r="C34" s="39" t="s">
        <v>32</v>
      </c>
      <c r="D34" s="264" t="s">
        <v>157</v>
      </c>
      <c r="E34" s="171" t="n">
        <v>14.64</v>
      </c>
      <c r="F34" s="275" t="s">
        <v>511</v>
      </c>
      <c r="G34" s="39" t="n">
        <v>250</v>
      </c>
      <c r="H34" s="222" t="n">
        <f aca="false">IF(E34="", "", G34 * E34)</f>
        <v>3660</v>
      </c>
      <c r="I34" s="350" t="s">
        <v>961</v>
      </c>
      <c r="K34" s="269" t="n">
        <f aca="false">IF( F34="EUR", H34 * $K$1, H34)</f>
        <v>15921</v>
      </c>
      <c r="M34" s="270" t="s">
        <v>512</v>
      </c>
      <c r="N34" s="360"/>
      <c r="O34" s="339" t="s">
        <v>962</v>
      </c>
      <c r="P34" s="336" t="s">
        <v>963</v>
      </c>
      <c r="Q34" s="273" t="s">
        <v>514</v>
      </c>
      <c r="R34" s="170"/>
    </row>
    <row r="35" customFormat="false" ht="15" hidden="false" customHeight="false" outlineLevel="0" collapsed="false">
      <c r="A35" s="12" t="n">
        <v>19</v>
      </c>
      <c r="B35" s="337" t="s">
        <v>708</v>
      </c>
      <c r="C35" s="39" t="s">
        <v>12</v>
      </c>
      <c r="D35" s="264" t="s">
        <v>306</v>
      </c>
      <c r="E35" s="171" t="n">
        <v>13.79</v>
      </c>
      <c r="F35" s="275" t="s">
        <v>521</v>
      </c>
      <c r="G35" s="39" t="n">
        <v>50</v>
      </c>
      <c r="H35" s="222" t="n">
        <f aca="false">IF(E35="", "", G35 * E35)</f>
        <v>689.5</v>
      </c>
      <c r="I35" s="350" t="n">
        <v>46197</v>
      </c>
      <c r="K35" s="269" t="n">
        <f aca="false">IF( F35="EUR", H35 * $K$1, H35)</f>
        <v>689.5</v>
      </c>
      <c r="M35" s="270" t="s">
        <v>512</v>
      </c>
      <c r="N35" s="360"/>
      <c r="O35" s="339"/>
      <c r="P35" s="336" t="s">
        <v>964</v>
      </c>
      <c r="Q35" s="170" t="s">
        <v>514</v>
      </c>
      <c r="R35" s="170"/>
    </row>
    <row r="36" customFormat="false" ht="15" hidden="false" customHeight="false" outlineLevel="0" collapsed="false">
      <c r="A36" s="12" t="n">
        <v>20</v>
      </c>
      <c r="B36" s="337" t="s">
        <v>965</v>
      </c>
      <c r="C36" s="39" t="s">
        <v>966</v>
      </c>
      <c r="D36" s="264" t="s">
        <v>967</v>
      </c>
      <c r="E36" s="171" t="n">
        <v>13.5</v>
      </c>
      <c r="F36" s="275" t="s">
        <v>521</v>
      </c>
      <c r="G36" s="39" t="n">
        <v>25</v>
      </c>
      <c r="H36" s="222" t="n">
        <f aca="false">IF(E36="", "", G36 * E36)</f>
        <v>337.5</v>
      </c>
      <c r="I36" s="350" t="n">
        <v>46197</v>
      </c>
      <c r="K36" s="269" t="n">
        <f aca="false">IF( F36="EUR", H36 * $K$1, H36)</f>
        <v>337.5</v>
      </c>
      <c r="M36" s="270" t="s">
        <v>512</v>
      </c>
      <c r="N36" s="360"/>
      <c r="O36" s="339" t="s">
        <v>968</v>
      </c>
      <c r="P36" s="336" t="s">
        <v>969</v>
      </c>
      <c r="Q36" s="170" t="s">
        <v>514</v>
      </c>
      <c r="R36" s="170"/>
    </row>
    <row r="37" s="15" customFormat="true" ht="15" hidden="false" customHeight="false" outlineLevel="0" collapsed="false">
      <c r="A37" s="12" t="n">
        <v>21</v>
      </c>
      <c r="B37" s="337" t="s">
        <v>970</v>
      </c>
      <c r="C37" s="89" t="s">
        <v>106</v>
      </c>
      <c r="D37" s="264" t="s">
        <v>157</v>
      </c>
      <c r="E37" s="361" t="n">
        <v>14.99</v>
      </c>
      <c r="F37" s="275" t="s">
        <v>511</v>
      </c>
      <c r="G37" s="89" t="n">
        <v>25.4</v>
      </c>
      <c r="H37" s="362" t="n">
        <f aca="false">IF(E37="", "", G37 * E37)</f>
        <v>380.746</v>
      </c>
      <c r="I37" s="348" t="n">
        <v>46203</v>
      </c>
      <c r="K37" s="363" t="n">
        <f aca="false">IF( F37="EUR", H37 * $K$1, H37)</f>
        <v>1656.2451</v>
      </c>
      <c r="M37" s="270" t="s">
        <v>512</v>
      </c>
      <c r="N37" s="360"/>
      <c r="O37" s="339" t="s">
        <v>971</v>
      </c>
      <c r="P37" s="336" t="s">
        <v>972</v>
      </c>
      <c r="Q37" s="170" t="s">
        <v>514</v>
      </c>
      <c r="R37" s="339"/>
    </row>
    <row r="38" s="15" customFormat="true" ht="15" hidden="false" customHeight="false" outlineLevel="0" collapsed="false">
      <c r="A38" s="12" t="n">
        <v>22</v>
      </c>
      <c r="B38" s="337" t="s">
        <v>728</v>
      </c>
      <c r="C38" s="89" t="s">
        <v>23</v>
      </c>
      <c r="D38" s="264" t="s">
        <v>212</v>
      </c>
      <c r="E38" s="361" t="n">
        <v>33.54</v>
      </c>
      <c r="F38" s="275" t="s">
        <v>521</v>
      </c>
      <c r="G38" s="89" t="n">
        <v>13.2</v>
      </c>
      <c r="H38" s="362" t="n">
        <f aca="false">IF(E38="", "", G38 * E38)</f>
        <v>442.728</v>
      </c>
      <c r="I38" s="348" t="n">
        <v>46198</v>
      </c>
      <c r="K38" s="363" t="n">
        <f aca="false">IF( F38="EUR", H38 * $K$1, H38)</f>
        <v>442.728</v>
      </c>
      <c r="M38" s="270" t="s">
        <v>512</v>
      </c>
      <c r="N38" s="360" t="s">
        <v>915</v>
      </c>
      <c r="O38" s="121" t="s">
        <v>973</v>
      </c>
      <c r="P38" s="336" t="s">
        <v>974</v>
      </c>
      <c r="Q38" s="170" t="s">
        <v>514</v>
      </c>
      <c r="R38" s="339" t="s">
        <v>975</v>
      </c>
    </row>
    <row r="39" s="15" customFormat="true" ht="15" hidden="false" customHeight="false" outlineLevel="0" collapsed="false">
      <c r="A39" s="12" t="n">
        <v>23</v>
      </c>
      <c r="B39" s="337" t="s">
        <v>976</v>
      </c>
      <c r="C39" s="89" t="s">
        <v>23</v>
      </c>
      <c r="D39" s="264" t="s">
        <v>212</v>
      </c>
      <c r="E39" s="361" t="n">
        <v>35.63</v>
      </c>
      <c r="F39" s="275" t="s">
        <v>521</v>
      </c>
      <c r="G39" s="89" t="n">
        <v>25</v>
      </c>
      <c r="H39" s="362" t="n">
        <f aca="false">IF(E39="", "", G39 * E39)</f>
        <v>890.75</v>
      </c>
      <c r="I39" s="348" t="n">
        <v>46198</v>
      </c>
      <c r="K39" s="363" t="n">
        <f aca="false">IF( F39="EUR", H39 * $K$1, H39)</f>
        <v>890.75</v>
      </c>
      <c r="M39" s="270" t="s">
        <v>512</v>
      </c>
      <c r="N39" s="360" t="s">
        <v>915</v>
      </c>
      <c r="O39" s="121" t="s">
        <v>977</v>
      </c>
      <c r="P39" s="336" t="s">
        <v>978</v>
      </c>
      <c r="Q39" s="170" t="s">
        <v>514</v>
      </c>
      <c r="R39" s="339"/>
    </row>
    <row r="40" customFormat="false" ht="15.75" hidden="false" customHeight="false" outlineLevel="0" collapsed="false"/>
    <row r="41" customFormat="false" ht="16.5" hidden="false" customHeight="false" outlineLevel="0" collapsed="false">
      <c r="K41" s="364" t="n">
        <f aca="false">SUM(K17:K39)</f>
        <v>37768.4731</v>
      </c>
    </row>
    <row r="42" customFormat="false" ht="28.5" hidden="false" customHeight="false" outlineLevel="0" collapsed="false">
      <c r="A42" s="237" t="s">
        <v>575</v>
      </c>
      <c r="B42" s="237"/>
      <c r="C42" s="237"/>
      <c r="D42" s="237"/>
      <c r="E42" s="237"/>
      <c r="F42" s="237"/>
      <c r="G42" s="237"/>
      <c r="H42" s="237"/>
      <c r="I42" s="237"/>
    </row>
    <row r="43" customFormat="false" ht="54" hidden="false" customHeight="false" outlineLevel="0" collapsed="false">
      <c r="A43" s="238" t="s">
        <v>1</v>
      </c>
      <c r="B43" s="238" t="s">
        <v>2</v>
      </c>
      <c r="C43" s="238" t="s">
        <v>3</v>
      </c>
      <c r="D43" s="238" t="s">
        <v>4</v>
      </c>
      <c r="E43" s="238" t="s">
        <v>5</v>
      </c>
      <c r="F43" s="238" t="s">
        <v>505</v>
      </c>
      <c r="G43" s="238" t="s">
        <v>6</v>
      </c>
      <c r="H43" s="238" t="s">
        <v>506</v>
      </c>
      <c r="I43" s="365" t="s">
        <v>8</v>
      </c>
      <c r="K43" s="186" t="s">
        <v>507</v>
      </c>
      <c r="M43" s="187" t="s">
        <v>190</v>
      </c>
      <c r="N43" s="187" t="s">
        <v>901</v>
      </c>
      <c r="O43" s="139" t="s">
        <v>576</v>
      </c>
      <c r="P43" s="139" t="s">
        <v>191</v>
      </c>
      <c r="Q43" s="139" t="s">
        <v>509</v>
      </c>
      <c r="R43" s="139" t="s">
        <v>211</v>
      </c>
    </row>
    <row r="44" customFormat="false" ht="15.75" hidden="false" customHeight="false" outlineLevel="0" collapsed="false">
      <c r="A44" s="119" t="s">
        <v>10</v>
      </c>
      <c r="B44" s="119" t="s">
        <v>979</v>
      </c>
      <c r="C44" s="239" t="s">
        <v>136</v>
      </c>
      <c r="D44" s="0" t="s">
        <v>980</v>
      </c>
      <c r="E44" s="241" t="n">
        <v>5.3</v>
      </c>
      <c r="F44" s="275" t="s">
        <v>521</v>
      </c>
      <c r="G44" s="119" t="n">
        <v>10</v>
      </c>
      <c r="H44" s="222" t="n">
        <f aca="false">IF(E44="", "", G44 * E44)</f>
        <v>53</v>
      </c>
      <c r="I44" s="244"/>
      <c r="K44" s="223"/>
      <c r="M44" s="224" t="s">
        <v>512</v>
      </c>
      <c r="N44" s="355"/>
      <c r="O44" s="227"/>
      <c r="P44" s="227"/>
      <c r="Q44" s="229" t="s">
        <v>514</v>
      </c>
      <c r="R44" s="119" t="s">
        <v>981</v>
      </c>
    </row>
    <row r="45" customFormat="false" ht="16.5" hidden="false" customHeight="false" outlineLevel="0" collapsed="false">
      <c r="A45" s="119" t="s">
        <v>14</v>
      </c>
      <c r="B45" s="119" t="s">
        <v>982</v>
      </c>
      <c r="C45" s="239" t="s">
        <v>136</v>
      </c>
      <c r="D45" s="119" t="s">
        <v>54</v>
      </c>
      <c r="E45" s="241" t="n">
        <v>5.5</v>
      </c>
      <c r="F45" s="275" t="s">
        <v>521</v>
      </c>
      <c r="G45" s="119" t="n">
        <v>10</v>
      </c>
      <c r="H45" s="222" t="n">
        <f aca="false">IF(E45="", "", G45 * E45)</f>
        <v>55</v>
      </c>
      <c r="I45" s="244"/>
      <c r="K45" s="223"/>
      <c r="M45" s="224" t="s">
        <v>783</v>
      </c>
      <c r="N45" s="355"/>
      <c r="O45" s="121"/>
      <c r="P45" s="121"/>
      <c r="Q45" s="229" t="s">
        <v>514</v>
      </c>
      <c r="R45" s="119"/>
    </row>
    <row r="46" customFormat="false" ht="15.75" hidden="false" customHeight="false" outlineLevel="0" collapsed="false">
      <c r="K46" s="236" t="n">
        <f aca="false">SUM(K44:K45)</f>
        <v>0</v>
      </c>
    </row>
  </sheetData>
  <mergeCells count="4">
    <mergeCell ref="A1:I1"/>
    <mergeCell ref="A2:I2"/>
    <mergeCell ref="A15:I15"/>
    <mergeCell ref="A42:I42"/>
  </mergeCells>
  <conditionalFormatting sqref="M4:M11 M12:N12 M17:M39">
    <cfRule type="expression" priority="2" aboveAverage="0" equalAverage="0" bottom="0" percent="0" rank="0" text="" dxfId="33">
      <formula>$M4="TAK"</formula>
    </cfRule>
    <cfRule type="expression" priority="3" aboveAverage="0" equalAverage="0" bottom="0" percent="0" rank="0" text="" dxfId="34">
      <formula>$M4="NIE"</formula>
    </cfRule>
  </conditionalFormatting>
  <conditionalFormatting sqref="M44:M45">
    <cfRule type="expression" priority="4" aboveAverage="0" equalAverage="0" bottom="0" percent="0" rank="0" text="" dxfId="35">
      <formula>$M44="TAK"</formula>
    </cfRule>
    <cfRule type="expression" priority="5" aboveAverage="0" equalAverage="0" bottom="0" percent="0" rank="0" text="" dxfId="36">
      <formula>$M44="NIE"</formula>
    </cfRule>
  </conditionalFormatting>
  <dataValidations count="3">
    <dataValidation allowBlank="true" errorStyle="stop" operator="between" prompt="&#10;Określić na dany miesiąc&#10;" promptTitle="KURS EURO" showDropDown="false" showErrorMessage="true" showInputMessage="true" sqref="K1" type="none">
      <formula1>0</formula1>
      <formula2>0</formula2>
    </dataValidation>
    <dataValidation allowBlank="true" errorStyle="stop" operator="between" showDropDown="false" showErrorMessage="true" showInputMessage="true" sqref="M4:M11 M12:N12 M17:M39 M44:M45" type="list">
      <formula1>"TAK,NIE"</formula1>
      <formula2>0</formula2>
    </dataValidation>
    <dataValidation allowBlank="true" errorStyle="stop" operator="between" showDropDown="false" showErrorMessage="true" showInputMessage="true" sqref="F4:F12 F17:F39 F44:F45" type="list">
      <formula1>"PLN,EUR"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54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M3" activeCellId="0" sqref="M3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27.85"/>
    <col collapsed="false" customWidth="true" hidden="false" outlineLevel="0" max="3" min="3" style="0" width="14.43"/>
    <col collapsed="false" customWidth="true" hidden="false" outlineLevel="0" max="4" min="4" style="0" width="16.57"/>
    <col collapsed="false" customWidth="true" hidden="false" outlineLevel="0" max="6" min="5" style="0" width="9.85"/>
    <col collapsed="false" customWidth="true" hidden="false" outlineLevel="0" max="8" min="8" style="0" width="12"/>
    <col collapsed="false" customWidth="true" hidden="false" outlineLevel="0" max="9" min="9" style="0" width="9.43"/>
    <col collapsed="false" customWidth="true" hidden="false" outlineLevel="0" max="10" min="10" style="0" width="6.57"/>
    <col collapsed="false" customWidth="true" hidden="false" outlineLevel="0" max="11" min="11" style="0" width="16.71"/>
    <col collapsed="false" customWidth="true" hidden="false" outlineLevel="0" max="12" min="12" style="0" width="6.14"/>
    <col collapsed="false" customWidth="true" hidden="false" outlineLevel="0" max="14" min="13" style="0" width="11.71"/>
    <col collapsed="false" customWidth="true" hidden="false" outlineLevel="0" max="15" min="15" style="0" width="20.14"/>
    <col collapsed="false" customWidth="true" hidden="false" outlineLevel="0" max="16" min="16" style="0" width="20.43"/>
    <col collapsed="false" customWidth="true" hidden="false" outlineLevel="0" max="17" min="17" style="0" width="19.14"/>
    <col collapsed="false" customWidth="true" hidden="false" outlineLevel="0" max="18" min="18" style="0" width="42.28"/>
  </cols>
  <sheetData>
    <row r="1" customFormat="false" ht="45" hidden="false" customHeight="true" outlineLevel="0" collapsed="false">
      <c r="A1" s="262" t="s">
        <v>983</v>
      </c>
      <c r="B1" s="262"/>
      <c r="C1" s="262"/>
      <c r="D1" s="262"/>
      <c r="E1" s="262"/>
      <c r="F1" s="262"/>
      <c r="G1" s="262"/>
      <c r="H1" s="262"/>
      <c r="I1" s="262"/>
      <c r="K1" s="184" t="n">
        <v>4.35</v>
      </c>
    </row>
    <row r="2" customFormat="false" ht="26.25" hidden="false" customHeight="true" outlineLevel="0" collapsed="false">
      <c r="A2" s="262" t="s">
        <v>189</v>
      </c>
      <c r="B2" s="262"/>
      <c r="C2" s="262"/>
      <c r="D2" s="262"/>
      <c r="E2" s="262"/>
      <c r="F2" s="262"/>
      <c r="G2" s="262"/>
      <c r="H2" s="262"/>
      <c r="I2" s="262"/>
    </row>
    <row r="3" customFormat="false" ht="54" hidden="false" customHeight="false" outlineLevel="0" collapsed="false">
      <c r="A3" s="306" t="s">
        <v>1</v>
      </c>
      <c r="B3" s="306" t="s">
        <v>2</v>
      </c>
      <c r="C3" s="306" t="s">
        <v>3</v>
      </c>
      <c r="D3" s="306" t="s">
        <v>4</v>
      </c>
      <c r="E3" s="306" t="s">
        <v>5</v>
      </c>
      <c r="F3" s="306" t="s">
        <v>505</v>
      </c>
      <c r="G3" s="306" t="s">
        <v>6</v>
      </c>
      <c r="H3" s="306" t="s">
        <v>506</v>
      </c>
      <c r="I3" s="306" t="s">
        <v>8</v>
      </c>
      <c r="K3" s="306" t="s">
        <v>507</v>
      </c>
      <c r="M3" s="307" t="s">
        <v>190</v>
      </c>
      <c r="N3" s="187" t="s">
        <v>901</v>
      </c>
      <c r="O3" s="308" t="s">
        <v>508</v>
      </c>
      <c r="P3" s="308" t="s">
        <v>191</v>
      </c>
      <c r="Q3" s="308" t="s">
        <v>509</v>
      </c>
      <c r="R3" s="308" t="s">
        <v>211</v>
      </c>
    </row>
    <row r="4" customFormat="false" ht="15" hidden="false" customHeight="false" outlineLevel="0" collapsed="false">
      <c r="A4" s="89" t="n">
        <v>1</v>
      </c>
      <c r="B4" s="313" t="s">
        <v>984</v>
      </c>
      <c r="C4" s="89" t="s">
        <v>41</v>
      </c>
      <c r="D4" s="264" t="s">
        <v>13</v>
      </c>
      <c r="E4" s="265" t="n">
        <v>1.8</v>
      </c>
      <c r="F4" s="275" t="s">
        <v>511</v>
      </c>
      <c r="G4" s="266" t="n">
        <v>5250</v>
      </c>
      <c r="H4" s="222" t="n">
        <f aca="false">IF(E4="","",G4*E4)</f>
        <v>9450</v>
      </c>
      <c r="I4" s="267" t="n">
        <v>46205</v>
      </c>
      <c r="J4" s="268"/>
      <c r="K4" s="269" t="n">
        <f aca="false">IF( F4="EUR", H4 * $K$1, H4)</f>
        <v>41107.5</v>
      </c>
      <c r="L4" s="20"/>
      <c r="M4" s="270" t="s">
        <v>512</v>
      </c>
      <c r="N4" s="355" t="s">
        <v>985</v>
      </c>
      <c r="O4" s="271" t="s">
        <v>986</v>
      </c>
      <c r="P4" s="272" t="s">
        <v>987</v>
      </c>
      <c r="Q4" s="287" t="s">
        <v>514</v>
      </c>
      <c r="R4" s="311" t="s">
        <v>988</v>
      </c>
    </row>
    <row r="5" customFormat="false" ht="15" hidden="false" customHeight="false" outlineLevel="0" collapsed="false">
      <c r="A5" s="89" t="n">
        <v>2</v>
      </c>
      <c r="B5" s="313" t="s">
        <v>984</v>
      </c>
      <c r="C5" s="89" t="s">
        <v>41</v>
      </c>
      <c r="D5" s="264" t="s">
        <v>13</v>
      </c>
      <c r="E5" s="265" t="n">
        <v>1.8</v>
      </c>
      <c r="F5" s="275" t="s">
        <v>511</v>
      </c>
      <c r="G5" s="266" t="n">
        <v>875</v>
      </c>
      <c r="H5" s="222" t="n">
        <f aca="false">IF(E5="","",G5*E5)</f>
        <v>1575</v>
      </c>
      <c r="I5" s="267" t="n">
        <v>46206</v>
      </c>
      <c r="J5" s="268"/>
      <c r="K5" s="269" t="n">
        <f aca="false">IF( F5="EUR", H5 * $K$1, H5)</f>
        <v>6851.25</v>
      </c>
      <c r="L5" s="20"/>
      <c r="M5" s="270" t="s">
        <v>512</v>
      </c>
      <c r="N5" s="355" t="s">
        <v>985</v>
      </c>
      <c r="O5" s="271" t="s">
        <v>986</v>
      </c>
      <c r="P5" s="272" t="s">
        <v>989</v>
      </c>
      <c r="Q5" s="287" t="s">
        <v>514</v>
      </c>
      <c r="R5" s="311" t="s">
        <v>990</v>
      </c>
    </row>
    <row r="6" customFormat="false" ht="15" hidden="false" customHeight="false" outlineLevel="0" collapsed="false">
      <c r="A6" s="89" t="n">
        <v>3</v>
      </c>
      <c r="B6" s="338" t="s">
        <v>877</v>
      </c>
      <c r="C6" s="89" t="s">
        <v>136</v>
      </c>
      <c r="D6" s="264" t="s">
        <v>37</v>
      </c>
      <c r="E6" s="265" t="n">
        <v>5.2</v>
      </c>
      <c r="F6" s="175" t="s">
        <v>521</v>
      </c>
      <c r="G6" s="266" t="n">
        <v>3035</v>
      </c>
      <c r="H6" s="222" t="n">
        <f aca="false">IF(E6="","",G6*E6)</f>
        <v>15782</v>
      </c>
      <c r="I6" s="267" t="n">
        <v>46209</v>
      </c>
      <c r="J6" s="38"/>
      <c r="K6" s="269" t="n">
        <f aca="false">IF( F6="EUR", H6 * $K$1, H6)</f>
        <v>15782</v>
      </c>
      <c r="L6" s="38"/>
      <c r="M6" s="89" t="s">
        <v>512</v>
      </c>
      <c r="N6" s="355" t="s">
        <v>985</v>
      </c>
      <c r="O6" s="277" t="s">
        <v>991</v>
      </c>
      <c r="P6" s="272" t="s">
        <v>992</v>
      </c>
      <c r="Q6" s="311" t="s">
        <v>514</v>
      </c>
      <c r="R6" s="311"/>
    </row>
    <row r="7" customFormat="false" ht="15" hidden="false" customHeight="false" outlineLevel="0" collapsed="false">
      <c r="A7" s="89" t="n">
        <v>4</v>
      </c>
      <c r="B7" s="313" t="s">
        <v>993</v>
      </c>
      <c r="C7" s="310" t="s">
        <v>32</v>
      </c>
      <c r="D7" s="264" t="s">
        <v>54</v>
      </c>
      <c r="E7" s="265" t="n">
        <v>6</v>
      </c>
      <c r="F7" s="175" t="s">
        <v>521</v>
      </c>
      <c r="G7" s="266" t="n">
        <v>4000</v>
      </c>
      <c r="H7" s="222" t="n">
        <f aca="false">IF(E7="","",G7*E7)</f>
        <v>24000</v>
      </c>
      <c r="I7" s="267" t="n">
        <v>46210</v>
      </c>
      <c r="J7" s="268"/>
      <c r="K7" s="269" t="n">
        <f aca="false">IF( F7="EUR", H7 * $K$1, H7)</f>
        <v>24000</v>
      </c>
      <c r="L7" s="20"/>
      <c r="M7" s="270" t="s">
        <v>512</v>
      </c>
      <c r="N7" s="355" t="s">
        <v>985</v>
      </c>
      <c r="O7" s="271" t="s">
        <v>994</v>
      </c>
      <c r="P7" s="272" t="s">
        <v>995</v>
      </c>
      <c r="Q7" s="287" t="s">
        <v>514</v>
      </c>
      <c r="R7" s="339"/>
    </row>
    <row r="8" customFormat="false" ht="15" hidden="false" customHeight="false" outlineLevel="0" collapsed="false">
      <c r="A8" s="89" t="n">
        <v>5</v>
      </c>
      <c r="B8" s="337" t="s">
        <v>996</v>
      </c>
      <c r="C8" s="310" t="s">
        <v>997</v>
      </c>
      <c r="D8" s="264" t="s">
        <v>54</v>
      </c>
      <c r="E8" s="265" t="n">
        <v>6.5</v>
      </c>
      <c r="F8" s="275" t="s">
        <v>521</v>
      </c>
      <c r="G8" s="266" t="n">
        <v>3000</v>
      </c>
      <c r="H8" s="222" t="n">
        <f aca="false">IF(E8="","",G8*E8)</f>
        <v>19500</v>
      </c>
      <c r="I8" s="267" t="n">
        <v>46210</v>
      </c>
      <c r="J8" s="268"/>
      <c r="K8" s="269" t="n">
        <f aca="false">IF( F8="EUR", H8 * $K$1, H8)</f>
        <v>19500</v>
      </c>
      <c r="L8" s="20"/>
      <c r="M8" s="270" t="s">
        <v>512</v>
      </c>
      <c r="N8" s="355" t="s">
        <v>985</v>
      </c>
      <c r="O8" s="339" t="s">
        <v>998</v>
      </c>
      <c r="P8" s="272" t="s">
        <v>995</v>
      </c>
      <c r="Q8" s="287" t="s">
        <v>514</v>
      </c>
      <c r="R8" s="311"/>
    </row>
    <row r="9" customFormat="false" ht="15" hidden="false" customHeight="false" outlineLevel="0" collapsed="false">
      <c r="A9" s="89" t="n">
        <v>6</v>
      </c>
      <c r="B9" s="313" t="s">
        <v>860</v>
      </c>
      <c r="C9" s="310" t="s">
        <v>101</v>
      </c>
      <c r="D9" s="264" t="s">
        <v>37</v>
      </c>
      <c r="E9" s="265" t="n">
        <v>4.2</v>
      </c>
      <c r="F9" s="275" t="s">
        <v>521</v>
      </c>
      <c r="G9" s="266" t="n">
        <v>3000</v>
      </c>
      <c r="H9" s="222" t="n">
        <f aca="false">IF(E9="","",G9*E9)</f>
        <v>12600</v>
      </c>
      <c r="I9" s="267" t="n">
        <v>46210</v>
      </c>
      <c r="J9" s="38"/>
      <c r="K9" s="269" t="n">
        <f aca="false">IF( F9="EUR", H9 * $K$1, H9)</f>
        <v>12600</v>
      </c>
      <c r="L9" s="38"/>
      <c r="M9" s="270" t="s">
        <v>512</v>
      </c>
      <c r="N9" s="355" t="s">
        <v>985</v>
      </c>
      <c r="O9" s="277" t="s">
        <v>913</v>
      </c>
      <c r="P9" s="272" t="s">
        <v>999</v>
      </c>
      <c r="Q9" s="311" t="s">
        <v>514</v>
      </c>
      <c r="R9" s="311"/>
    </row>
    <row r="10" customFormat="false" ht="15" hidden="false" customHeight="false" outlineLevel="0" collapsed="false">
      <c r="A10" s="89" t="n">
        <v>7</v>
      </c>
      <c r="B10" s="313" t="s">
        <v>877</v>
      </c>
      <c r="C10" s="310" t="s">
        <v>136</v>
      </c>
      <c r="D10" s="264" t="s">
        <v>37</v>
      </c>
      <c r="E10" s="265" t="n">
        <v>5.2</v>
      </c>
      <c r="F10" s="275" t="s">
        <v>521</v>
      </c>
      <c r="G10" s="266" t="n">
        <v>982</v>
      </c>
      <c r="H10" s="222" t="n">
        <f aca="false">IF(E10="","",G10*E10)</f>
        <v>5106.4</v>
      </c>
      <c r="I10" s="267" t="n">
        <v>46211</v>
      </c>
      <c r="J10" s="38"/>
      <c r="K10" s="269" t="n">
        <f aca="false">IF( F10="EUR", H10 * $K$1, H10)</f>
        <v>5106.4</v>
      </c>
      <c r="L10" s="38"/>
      <c r="M10" s="270" t="s">
        <v>512</v>
      </c>
      <c r="N10" s="355" t="s">
        <v>985</v>
      </c>
      <c r="O10" s="277" t="s">
        <v>991</v>
      </c>
      <c r="P10" s="272" t="s">
        <v>1000</v>
      </c>
      <c r="Q10" s="311" t="s">
        <v>514</v>
      </c>
      <c r="R10" s="311"/>
    </row>
    <row r="11" customFormat="false" ht="15" hidden="false" customHeight="false" outlineLevel="0" collapsed="false">
      <c r="A11" s="89" t="n">
        <v>8</v>
      </c>
      <c r="B11" s="338" t="s">
        <v>606</v>
      </c>
      <c r="C11" s="89" t="s">
        <v>65</v>
      </c>
      <c r="D11" s="264" t="s">
        <v>607</v>
      </c>
      <c r="E11" s="265" t="n">
        <v>2.95</v>
      </c>
      <c r="F11" s="175" t="s">
        <v>511</v>
      </c>
      <c r="G11" s="266" t="n">
        <v>1000</v>
      </c>
      <c r="H11" s="222" t="n">
        <f aca="false">IF(E11="","",G11*E11)</f>
        <v>2950</v>
      </c>
      <c r="I11" s="267" t="n">
        <v>46212</v>
      </c>
      <c r="J11" s="38"/>
      <c r="K11" s="269" t="n">
        <f aca="false">IF( F11="EUR", H11 * $K$1, H11)</f>
        <v>12832.5</v>
      </c>
      <c r="L11" s="38"/>
      <c r="M11" s="89" t="s">
        <v>512</v>
      </c>
      <c r="N11" s="355" t="s">
        <v>985</v>
      </c>
      <c r="O11" s="277" t="s">
        <v>1001</v>
      </c>
      <c r="P11" s="89" t="n">
        <v>1305627</v>
      </c>
      <c r="Q11" s="311" t="s">
        <v>514</v>
      </c>
      <c r="R11" s="311"/>
    </row>
    <row r="12" customFormat="false" ht="15" hidden="false" customHeight="false" outlineLevel="0" collapsed="false">
      <c r="A12" s="89" t="n">
        <v>9</v>
      </c>
      <c r="B12" s="358" t="s">
        <v>918</v>
      </c>
      <c r="C12" s="89" t="s">
        <v>23</v>
      </c>
      <c r="D12" s="264" t="s">
        <v>919</v>
      </c>
      <c r="E12" s="265" t="n">
        <v>3.45</v>
      </c>
      <c r="F12" s="275" t="s">
        <v>511</v>
      </c>
      <c r="G12" s="266" t="n">
        <v>4000</v>
      </c>
      <c r="H12" s="222" t="n">
        <f aca="false">IF(E12="","",G12*E12)</f>
        <v>13800</v>
      </c>
      <c r="I12" s="267" t="n">
        <v>46217</v>
      </c>
      <c r="J12" s="38"/>
      <c r="K12" s="269" t="n">
        <f aca="false">IF( F12="EUR", H12 * $K$1, H12)</f>
        <v>60030</v>
      </c>
      <c r="L12" s="38"/>
      <c r="M12" s="270" t="s">
        <v>512</v>
      </c>
      <c r="N12" s="355" t="s">
        <v>985</v>
      </c>
      <c r="O12" s="283" t="s">
        <v>921</v>
      </c>
      <c r="P12" s="357" t="s">
        <v>1002</v>
      </c>
      <c r="Q12" s="273" t="s">
        <v>514</v>
      </c>
      <c r="R12" s="366" t="s">
        <v>1003</v>
      </c>
    </row>
    <row r="13" s="20" customFormat="true" ht="18" hidden="false" customHeight="true" outlineLevel="0" collapsed="false">
      <c r="A13" s="89" t="n">
        <v>10</v>
      </c>
      <c r="B13" s="367" t="s">
        <v>1004</v>
      </c>
      <c r="C13" s="89" t="s">
        <v>85</v>
      </c>
      <c r="D13" s="264" t="s">
        <v>1005</v>
      </c>
      <c r="E13" s="265" t="n">
        <v>4.6</v>
      </c>
      <c r="F13" s="284" t="s">
        <v>521</v>
      </c>
      <c r="G13" s="266" t="n">
        <v>5000</v>
      </c>
      <c r="H13" s="354" t="n">
        <f aca="false">IF(E13="","",G13*E13)</f>
        <v>23000</v>
      </c>
      <c r="I13" s="267" t="n">
        <v>46218</v>
      </c>
      <c r="J13" s="37"/>
      <c r="K13" s="269" t="n">
        <f aca="false">IF( F13="EUR", H13 * $K$1, H13)</f>
        <v>23000</v>
      </c>
      <c r="M13" s="270" t="s">
        <v>512</v>
      </c>
      <c r="N13" s="355" t="s">
        <v>985</v>
      </c>
      <c r="O13" s="283" t="s">
        <v>1006</v>
      </c>
      <c r="P13" s="368" t="s">
        <v>1007</v>
      </c>
      <c r="Q13" s="273" t="s">
        <v>514</v>
      </c>
      <c r="R13" s="20" t="s">
        <v>1008</v>
      </c>
      <c r="S13" s="170"/>
    </row>
    <row r="14" customFormat="false" ht="15" hidden="false" customHeight="false" outlineLevel="0" collapsed="false">
      <c r="A14" s="89" t="n">
        <v>11</v>
      </c>
      <c r="B14" s="337" t="s">
        <v>902</v>
      </c>
      <c r="C14" s="310" t="s">
        <v>23</v>
      </c>
      <c r="D14" s="264" t="s">
        <v>20</v>
      </c>
      <c r="E14" s="265" t="n">
        <v>6.4</v>
      </c>
      <c r="F14" s="284" t="s">
        <v>521</v>
      </c>
      <c r="G14" s="266" t="n">
        <v>2750</v>
      </c>
      <c r="H14" s="354" t="n">
        <f aca="false">IF(E14="","",G14*E14)</f>
        <v>17600</v>
      </c>
      <c r="I14" s="267" t="n">
        <v>46223</v>
      </c>
      <c r="J14" s="268"/>
      <c r="K14" s="269" t="n">
        <f aca="false">IF( F14="EUR", H14 * $K$1, H14)</f>
        <v>17600</v>
      </c>
      <c r="L14" s="20"/>
      <c r="M14" s="270" t="s">
        <v>512</v>
      </c>
      <c r="N14" s="355" t="s">
        <v>1009</v>
      </c>
      <c r="O14" s="271" t="s">
        <v>1010</v>
      </c>
      <c r="P14" s="272" t="s">
        <v>1011</v>
      </c>
      <c r="Q14" s="273" t="s">
        <v>514</v>
      </c>
      <c r="R14" s="170" t="s">
        <v>1012</v>
      </c>
    </row>
    <row r="15" customFormat="false" ht="15" hidden="false" customHeight="false" outlineLevel="0" collapsed="false">
      <c r="A15" s="89" t="n">
        <v>12</v>
      </c>
      <c r="B15" s="313" t="s">
        <v>1013</v>
      </c>
      <c r="C15" s="310" t="s">
        <v>966</v>
      </c>
      <c r="D15" s="264" t="s">
        <v>13</v>
      </c>
      <c r="E15" s="265" t="n">
        <v>2.3</v>
      </c>
      <c r="F15" s="284" t="s">
        <v>511</v>
      </c>
      <c r="G15" s="266" t="n">
        <v>1250</v>
      </c>
      <c r="H15" s="354" t="n">
        <f aca="false">IF(E15="","",G15*E15)</f>
        <v>2875</v>
      </c>
      <c r="I15" s="267" t="n">
        <v>46230</v>
      </c>
      <c r="J15" s="38"/>
      <c r="K15" s="269" t="n">
        <f aca="false">IF( F15="EUR", H15 * $K$1, H15)</f>
        <v>12506.25</v>
      </c>
      <c r="L15" s="38"/>
      <c r="M15" s="270" t="s">
        <v>512</v>
      </c>
      <c r="N15" s="355" t="s">
        <v>1009</v>
      </c>
      <c r="O15" s="311" t="s">
        <v>1014</v>
      </c>
      <c r="P15" s="312" t="s">
        <v>1015</v>
      </c>
      <c r="Q15" s="311" t="s">
        <v>514</v>
      </c>
      <c r="R15" s="311"/>
    </row>
    <row r="16" customFormat="false" ht="15" hidden="false" customHeight="false" outlineLevel="0" collapsed="false">
      <c r="A16" s="89" t="n">
        <v>13</v>
      </c>
      <c r="B16" s="353" t="s">
        <v>1016</v>
      </c>
      <c r="C16" s="89" t="s">
        <v>12</v>
      </c>
      <c r="D16" s="264" t="s">
        <v>69</v>
      </c>
      <c r="E16" s="265" t="n">
        <v>5.8</v>
      </c>
      <c r="F16" s="284" t="s">
        <v>521</v>
      </c>
      <c r="G16" s="266" t="n">
        <v>2750</v>
      </c>
      <c r="H16" s="222" t="n">
        <f aca="false">IF(E16="","",G16*E16)</f>
        <v>15950</v>
      </c>
      <c r="I16" s="267" t="n">
        <v>46232</v>
      </c>
      <c r="J16" s="38"/>
      <c r="K16" s="269" t="n">
        <f aca="false">IF( F16="EUR", H16 * $K$1, H16)</f>
        <v>15950</v>
      </c>
      <c r="L16" s="38"/>
      <c r="M16" s="270" t="s">
        <v>512</v>
      </c>
      <c r="N16" s="355" t="s">
        <v>1009</v>
      </c>
      <c r="O16" s="271" t="s">
        <v>1017</v>
      </c>
      <c r="P16" s="89" t="s">
        <v>1018</v>
      </c>
      <c r="Q16" s="311" t="s">
        <v>514</v>
      </c>
      <c r="R16" s="89"/>
    </row>
    <row r="17" customFormat="false" ht="15" hidden="false" customHeight="false" outlineLevel="0" collapsed="false">
      <c r="A17" s="89" t="n">
        <v>14</v>
      </c>
      <c r="B17" s="338" t="s">
        <v>877</v>
      </c>
      <c r="C17" s="89" t="s">
        <v>136</v>
      </c>
      <c r="D17" s="264" t="s">
        <v>37</v>
      </c>
      <c r="E17" s="265" t="n">
        <v>5.6</v>
      </c>
      <c r="F17" s="175" t="s">
        <v>521</v>
      </c>
      <c r="G17" s="266" t="n">
        <v>5000</v>
      </c>
      <c r="H17" s="362" t="n">
        <f aca="false">IF(E17="","",G17*E17)</f>
        <v>28000</v>
      </c>
      <c r="I17" s="267" t="n">
        <v>46234</v>
      </c>
      <c r="J17" s="38"/>
      <c r="K17" s="269" t="n">
        <f aca="false">IF( F17="EUR", H17 * $K$1, H17)</f>
        <v>28000</v>
      </c>
      <c r="L17" s="38"/>
      <c r="M17" s="270" t="s">
        <v>512</v>
      </c>
      <c r="N17" s="355" t="s">
        <v>1009</v>
      </c>
      <c r="O17" s="277" t="s">
        <v>1019</v>
      </c>
      <c r="P17" s="89" t="s">
        <v>1020</v>
      </c>
      <c r="Q17" s="311" t="s">
        <v>514</v>
      </c>
      <c r="R17" s="311"/>
    </row>
    <row r="18" customFormat="false" ht="16.5" hidden="false" customHeight="false" outlineLevel="0" collapsed="false">
      <c r="A18" s="21"/>
      <c r="B18" s="295"/>
      <c r="C18" s="292"/>
      <c r="D18" s="292"/>
      <c r="E18" s="293"/>
      <c r="F18" s="294"/>
      <c r="G18" s="295"/>
      <c r="H18" s="296"/>
      <c r="I18" s="267"/>
      <c r="J18" s="51"/>
      <c r="K18" s="298"/>
      <c r="M18" s="299"/>
      <c r="N18" s="299"/>
      <c r="O18" s="300"/>
      <c r="P18" s="19"/>
      <c r="Q18" s="300"/>
    </row>
    <row r="19" customFormat="false" ht="19.5" hidden="false" customHeight="false" outlineLevel="0" collapsed="false">
      <c r="B19" s="19"/>
      <c r="C19" s="19"/>
      <c r="D19" s="19"/>
      <c r="E19" s="19"/>
      <c r="F19" s="19"/>
      <c r="G19" s="19"/>
      <c r="H19" s="19"/>
      <c r="I19" s="297"/>
      <c r="K19" s="256" t="n">
        <f aca="false">SUM(K4:K18)</f>
        <v>294865.9</v>
      </c>
    </row>
    <row r="20" customFormat="false" ht="15" hidden="false" customHeight="false" outlineLevel="0" collapsed="false">
      <c r="I20" s="19"/>
      <c r="K20" s="18"/>
    </row>
    <row r="21" customFormat="false" ht="26.25" hidden="false" customHeight="true" outlineLevel="0" collapsed="false">
      <c r="A21" s="262" t="s">
        <v>210</v>
      </c>
      <c r="B21" s="262"/>
      <c r="C21" s="262"/>
      <c r="D21" s="262"/>
      <c r="E21" s="262"/>
      <c r="F21" s="262"/>
      <c r="G21" s="262"/>
      <c r="H21" s="262"/>
      <c r="I21" s="262"/>
    </row>
    <row r="22" customFormat="false" ht="54" hidden="false" customHeight="false" outlineLevel="0" collapsed="false">
      <c r="A22" s="185" t="s">
        <v>1</v>
      </c>
      <c r="B22" s="185" t="s">
        <v>2</v>
      </c>
      <c r="C22" s="185" t="s">
        <v>3</v>
      </c>
      <c r="D22" s="185" t="s">
        <v>4</v>
      </c>
      <c r="E22" s="185" t="s">
        <v>5</v>
      </c>
      <c r="F22" s="185" t="s">
        <v>505</v>
      </c>
      <c r="G22" s="185" t="s">
        <v>6</v>
      </c>
      <c r="H22" s="185" t="s">
        <v>506</v>
      </c>
      <c r="I22" s="185" t="s">
        <v>8</v>
      </c>
      <c r="K22" s="186" t="s">
        <v>507</v>
      </c>
      <c r="M22" s="187" t="s">
        <v>190</v>
      </c>
      <c r="N22" s="187" t="s">
        <v>901</v>
      </c>
      <c r="O22" s="139" t="s">
        <v>558</v>
      </c>
      <c r="P22" s="139" t="s">
        <v>191</v>
      </c>
      <c r="Q22" s="139" t="s">
        <v>509</v>
      </c>
      <c r="R22" s="139" t="s">
        <v>211</v>
      </c>
    </row>
    <row r="23" customFormat="false" ht="15" hidden="false" customHeight="false" outlineLevel="0" collapsed="false">
      <c r="A23" s="12" t="n">
        <v>1</v>
      </c>
      <c r="B23" s="337" t="s">
        <v>728</v>
      </c>
      <c r="C23" s="89" t="s">
        <v>23</v>
      </c>
      <c r="D23" s="264" t="s">
        <v>212</v>
      </c>
      <c r="E23" s="361" t="n">
        <v>33.54</v>
      </c>
      <c r="F23" s="275" t="s">
        <v>521</v>
      </c>
      <c r="G23" s="89" t="n">
        <v>25</v>
      </c>
      <c r="H23" s="362" t="n">
        <f aca="false">IF(E23="", "", G23 * E23)</f>
        <v>838.5</v>
      </c>
      <c r="I23" s="348" t="n">
        <v>46204</v>
      </c>
      <c r="K23" s="223" t="n">
        <f aca="false">IF( F23="EUR", H23 * $K$1, H23)</f>
        <v>838.5</v>
      </c>
      <c r="M23" s="270" t="s">
        <v>512</v>
      </c>
      <c r="N23" s="369" t="s">
        <v>915</v>
      </c>
      <c r="O23" s="339" t="s">
        <v>973</v>
      </c>
      <c r="P23" s="89" t="s">
        <v>1021</v>
      </c>
      <c r="Q23" s="170" t="s">
        <v>1022</v>
      </c>
      <c r="R23" s="339" t="s">
        <v>1023</v>
      </c>
    </row>
    <row r="24" customFormat="false" ht="15" hidden="false" customHeight="false" outlineLevel="0" collapsed="false">
      <c r="A24" s="12" t="n">
        <v>2</v>
      </c>
      <c r="B24" s="337" t="s">
        <v>1024</v>
      </c>
      <c r="C24" s="89" t="s">
        <v>23</v>
      </c>
      <c r="D24" s="264" t="s">
        <v>306</v>
      </c>
      <c r="E24" s="361" t="n">
        <v>26.1</v>
      </c>
      <c r="F24" s="275" t="s">
        <v>521</v>
      </c>
      <c r="G24" s="89" t="n">
        <v>51</v>
      </c>
      <c r="H24" s="362" t="n">
        <f aca="false">IF(E24="", "", G24 * E24)</f>
        <v>1331.1</v>
      </c>
      <c r="I24" s="348" t="n">
        <v>46205</v>
      </c>
      <c r="K24" s="223" t="n">
        <f aca="false">IF( F24="EUR", H24 * $K$1, H24)</f>
        <v>1331.1</v>
      </c>
      <c r="M24" s="270" t="s">
        <v>512</v>
      </c>
      <c r="N24" s="369" t="s">
        <v>915</v>
      </c>
      <c r="O24" s="89"/>
      <c r="P24" s="89" t="s">
        <v>1025</v>
      </c>
      <c r="Q24" s="170" t="s">
        <v>1022</v>
      </c>
      <c r="R24" s="339"/>
    </row>
    <row r="25" customFormat="false" ht="15" hidden="false" customHeight="false" outlineLevel="0" collapsed="false">
      <c r="A25" s="12" t="n">
        <v>3</v>
      </c>
      <c r="B25" s="337" t="s">
        <v>1026</v>
      </c>
      <c r="C25" s="89" t="s">
        <v>23</v>
      </c>
      <c r="D25" s="264" t="s">
        <v>306</v>
      </c>
      <c r="E25" s="361" t="n">
        <v>262.5</v>
      </c>
      <c r="F25" s="275" t="s">
        <v>521</v>
      </c>
      <c r="G25" s="89" t="n">
        <v>51</v>
      </c>
      <c r="H25" s="362" t="n">
        <f aca="false">IF(E25="", "", G25 * E25)</f>
        <v>13387.5</v>
      </c>
      <c r="I25" s="348" t="n">
        <v>46205</v>
      </c>
      <c r="K25" s="223" t="n">
        <f aca="false">IF( F25="EUR", H25 * $K$1, H25)</f>
        <v>13387.5</v>
      </c>
      <c r="M25" s="270" t="s">
        <v>512</v>
      </c>
      <c r="N25" s="369" t="s">
        <v>915</v>
      </c>
      <c r="O25" s="89"/>
      <c r="P25" s="89" t="s">
        <v>1025</v>
      </c>
      <c r="Q25" s="170" t="s">
        <v>1022</v>
      </c>
      <c r="R25" s="339"/>
    </row>
    <row r="26" customFormat="false" ht="15" hidden="false" customHeight="false" outlineLevel="0" collapsed="false">
      <c r="A26" s="12" t="n">
        <v>4</v>
      </c>
      <c r="B26" s="337" t="s">
        <v>1027</v>
      </c>
      <c r="C26" s="89" t="s">
        <v>23</v>
      </c>
      <c r="D26" s="264" t="s">
        <v>306</v>
      </c>
      <c r="E26" s="361" t="n">
        <v>29.4</v>
      </c>
      <c r="F26" s="275" t="s">
        <v>521</v>
      </c>
      <c r="G26" s="89" t="n">
        <v>51.5</v>
      </c>
      <c r="H26" s="362" t="n">
        <f aca="false">IF(E26="", "", G26 * E26)</f>
        <v>1514.1</v>
      </c>
      <c r="I26" s="348" t="n">
        <v>46206</v>
      </c>
      <c r="K26" s="223" t="n">
        <f aca="false">IF( F26="EUR", H26 * $K$1, H26)</f>
        <v>1514.1</v>
      </c>
      <c r="M26" s="270" t="s">
        <v>512</v>
      </c>
      <c r="N26" s="369" t="s">
        <v>915</v>
      </c>
      <c r="O26" s="89"/>
      <c r="P26" s="89" t="s">
        <v>1028</v>
      </c>
      <c r="Q26" s="170" t="s">
        <v>1022</v>
      </c>
      <c r="R26" s="339"/>
    </row>
    <row r="27" customFormat="false" ht="15" hidden="false" customHeight="false" outlineLevel="0" collapsed="false">
      <c r="A27" s="12" t="n">
        <v>5</v>
      </c>
      <c r="B27" s="337" t="s">
        <v>1029</v>
      </c>
      <c r="C27" s="39" t="s">
        <v>943</v>
      </c>
      <c r="D27" s="333" t="s">
        <v>212</v>
      </c>
      <c r="E27" s="171" t="n">
        <v>37.35</v>
      </c>
      <c r="F27" s="275" t="s">
        <v>521</v>
      </c>
      <c r="G27" s="39" t="n">
        <v>25</v>
      </c>
      <c r="H27" s="354" t="n">
        <f aca="false">IF(E27="","",G27*E27)</f>
        <v>933.75</v>
      </c>
      <c r="I27" s="267" t="n">
        <v>46216</v>
      </c>
      <c r="K27" s="223" t="n">
        <f aca="false">IF( F27="EUR", H27 * $K$1, H27)</f>
        <v>933.75</v>
      </c>
      <c r="M27" s="270" t="s">
        <v>512</v>
      </c>
      <c r="N27" s="369" t="s">
        <v>915</v>
      </c>
      <c r="O27" s="287" t="s">
        <v>1030</v>
      </c>
      <c r="P27" s="270" t="s">
        <v>1031</v>
      </c>
      <c r="Q27" s="170" t="s">
        <v>1022</v>
      </c>
      <c r="R27" s="170"/>
    </row>
    <row r="28" customFormat="false" ht="15" hidden="false" customHeight="false" outlineLevel="0" collapsed="false">
      <c r="A28" s="12" t="n">
        <v>6</v>
      </c>
      <c r="B28" s="337" t="s">
        <v>1032</v>
      </c>
      <c r="C28" s="39" t="s">
        <v>943</v>
      </c>
      <c r="D28" s="333" t="s">
        <v>212</v>
      </c>
      <c r="E28" s="171" t="n">
        <v>31.32</v>
      </c>
      <c r="F28" s="275" t="s">
        <v>521</v>
      </c>
      <c r="G28" s="39" t="n">
        <v>25</v>
      </c>
      <c r="H28" s="354" t="n">
        <f aca="false">IF(E28="","",G28*E28)</f>
        <v>783</v>
      </c>
      <c r="I28" s="267" t="n">
        <v>46216</v>
      </c>
      <c r="K28" s="223" t="n">
        <f aca="false">IF( F28="EUR", H28 * $K$1, H28)</f>
        <v>783</v>
      </c>
      <c r="M28" s="270" t="s">
        <v>512</v>
      </c>
      <c r="N28" s="369" t="s">
        <v>915</v>
      </c>
      <c r="O28" s="287" t="s">
        <v>1030</v>
      </c>
      <c r="P28" s="270" t="s">
        <v>1033</v>
      </c>
      <c r="Q28" s="170" t="s">
        <v>1022</v>
      </c>
      <c r="R28" s="170"/>
    </row>
    <row r="29" customFormat="false" ht="15" hidden="false" customHeight="false" outlineLevel="0" collapsed="false">
      <c r="A29" s="12" t="n">
        <v>7</v>
      </c>
      <c r="B29" s="337" t="s">
        <v>1034</v>
      </c>
      <c r="C29" s="39" t="s">
        <v>943</v>
      </c>
      <c r="D29" s="333" t="s">
        <v>212</v>
      </c>
      <c r="E29" s="171" t="n">
        <v>34.2</v>
      </c>
      <c r="F29" s="275" t="s">
        <v>521</v>
      </c>
      <c r="G29" s="39" t="n">
        <v>25</v>
      </c>
      <c r="H29" s="354" t="n">
        <f aca="false">IF(E29="","",G29*E29)</f>
        <v>855</v>
      </c>
      <c r="I29" s="267" t="n">
        <v>46216</v>
      </c>
      <c r="K29" s="223" t="n">
        <f aca="false">IF( F29="EUR", H29 * $K$1, H29)</f>
        <v>855</v>
      </c>
      <c r="M29" s="270" t="s">
        <v>512</v>
      </c>
      <c r="N29" s="369" t="s">
        <v>915</v>
      </c>
      <c r="O29" s="287" t="s">
        <v>1030</v>
      </c>
      <c r="P29" s="270" t="s">
        <v>1033</v>
      </c>
      <c r="Q29" s="170" t="s">
        <v>1022</v>
      </c>
      <c r="R29" s="170"/>
    </row>
    <row r="30" customFormat="false" ht="15" hidden="false" customHeight="false" outlineLevel="0" collapsed="false">
      <c r="A30" s="12" t="n">
        <v>8</v>
      </c>
      <c r="B30" s="332" t="s">
        <v>1035</v>
      </c>
      <c r="C30" s="39" t="s">
        <v>943</v>
      </c>
      <c r="D30" s="333" t="s">
        <v>212</v>
      </c>
      <c r="E30" s="171" t="n">
        <v>35.1</v>
      </c>
      <c r="F30" s="275" t="s">
        <v>521</v>
      </c>
      <c r="G30" s="39" t="n">
        <v>25</v>
      </c>
      <c r="H30" s="354" t="n">
        <f aca="false">IF(E30="","",G30*E30)</f>
        <v>877.5</v>
      </c>
      <c r="I30" s="267" t="n">
        <v>46216</v>
      </c>
      <c r="K30" s="223" t="n">
        <f aca="false">IF( F30="EUR", H30 * $K$1, H30)</f>
        <v>877.5</v>
      </c>
      <c r="M30" s="270" t="s">
        <v>512</v>
      </c>
      <c r="N30" s="369" t="s">
        <v>915</v>
      </c>
      <c r="O30" s="287" t="s">
        <v>1030</v>
      </c>
      <c r="P30" s="270" t="s">
        <v>1033</v>
      </c>
      <c r="Q30" s="170" t="s">
        <v>1022</v>
      </c>
      <c r="R30" s="170"/>
    </row>
    <row r="31" customFormat="false" ht="15" hidden="false" customHeight="false" outlineLevel="0" collapsed="false">
      <c r="A31" s="12" t="n">
        <v>9</v>
      </c>
      <c r="B31" s="309" t="s">
        <v>1036</v>
      </c>
      <c r="C31" s="39" t="s">
        <v>943</v>
      </c>
      <c r="D31" s="333" t="s">
        <v>212</v>
      </c>
      <c r="E31" s="171" t="n">
        <v>35.1</v>
      </c>
      <c r="F31" s="275" t="s">
        <v>521</v>
      </c>
      <c r="G31" s="39" t="n">
        <v>25</v>
      </c>
      <c r="H31" s="354" t="n">
        <f aca="false">IF(E31="","",G31*E31)</f>
        <v>877.5</v>
      </c>
      <c r="I31" s="267" t="n">
        <v>46216</v>
      </c>
      <c r="J31" s="20"/>
      <c r="K31" s="269" t="n">
        <f aca="false">IF( F31="EUR", H31 * $K$1, H31)</f>
        <v>877.5</v>
      </c>
      <c r="L31" s="20"/>
      <c r="M31" s="270" t="s">
        <v>512</v>
      </c>
      <c r="N31" s="369" t="s">
        <v>915</v>
      </c>
      <c r="O31" s="287" t="s">
        <v>1030</v>
      </c>
      <c r="P31" s="270" t="s">
        <v>1033</v>
      </c>
      <c r="Q31" s="170" t="s">
        <v>1022</v>
      </c>
      <c r="R31" s="170"/>
    </row>
    <row r="32" customFormat="false" ht="15" hidden="false" customHeight="false" outlineLevel="0" collapsed="false">
      <c r="A32" s="12" t="n">
        <v>10</v>
      </c>
      <c r="B32" s="337" t="s">
        <v>1037</v>
      </c>
      <c r="C32" s="39" t="s">
        <v>943</v>
      </c>
      <c r="D32" s="333" t="s">
        <v>212</v>
      </c>
      <c r="E32" s="171" t="n">
        <v>37.35</v>
      </c>
      <c r="F32" s="275" t="s">
        <v>521</v>
      </c>
      <c r="G32" s="39" t="n">
        <v>25</v>
      </c>
      <c r="H32" s="354" t="n">
        <f aca="false">IF(E32="","",G32*E32)</f>
        <v>933.75</v>
      </c>
      <c r="I32" s="267" t="n">
        <v>46216</v>
      </c>
      <c r="J32" s="20"/>
      <c r="K32" s="269" t="n">
        <f aca="false">IF( F32="EUR", H32 * $K$1, H32)</f>
        <v>933.75</v>
      </c>
      <c r="L32" s="20"/>
      <c r="M32" s="270" t="s">
        <v>512</v>
      </c>
      <c r="N32" s="369" t="s">
        <v>915</v>
      </c>
      <c r="O32" s="287" t="s">
        <v>1030</v>
      </c>
      <c r="P32" s="270" t="s">
        <v>1033</v>
      </c>
      <c r="Q32" s="170" t="s">
        <v>1022</v>
      </c>
      <c r="R32" s="170"/>
    </row>
    <row r="33" customFormat="false" ht="15" hidden="false" customHeight="false" outlineLevel="0" collapsed="false">
      <c r="A33" s="12" t="n">
        <v>11</v>
      </c>
      <c r="B33" s="338" t="s">
        <v>1038</v>
      </c>
      <c r="C33" s="39" t="s">
        <v>943</v>
      </c>
      <c r="D33" s="333" t="s">
        <v>212</v>
      </c>
      <c r="E33" s="171" t="n">
        <v>36.9</v>
      </c>
      <c r="F33" s="275" t="s">
        <v>521</v>
      </c>
      <c r="G33" s="39" t="n">
        <v>25</v>
      </c>
      <c r="H33" s="354" t="n">
        <f aca="false">IF(E33="","",G33*E33)</f>
        <v>922.5</v>
      </c>
      <c r="I33" s="267" t="n">
        <v>46217</v>
      </c>
      <c r="K33" s="269" t="n">
        <f aca="false">IF( F33="EUR", H33 * $K$1, H33)</f>
        <v>922.5</v>
      </c>
      <c r="M33" s="270" t="s">
        <v>512</v>
      </c>
      <c r="N33" s="369" t="s">
        <v>915</v>
      </c>
      <c r="O33" s="287" t="s">
        <v>1030</v>
      </c>
      <c r="P33" s="270" t="s">
        <v>1033</v>
      </c>
      <c r="Q33" s="170" t="s">
        <v>1022</v>
      </c>
      <c r="R33" s="170"/>
    </row>
    <row r="34" customFormat="false" ht="15" hidden="false" customHeight="false" outlineLevel="0" collapsed="false">
      <c r="A34" s="12" t="n">
        <v>12</v>
      </c>
      <c r="B34" s="370" t="s">
        <v>711</v>
      </c>
      <c r="C34" s="39" t="s">
        <v>23</v>
      </c>
      <c r="D34" s="264" t="s">
        <v>212</v>
      </c>
      <c r="E34" s="171" t="n">
        <v>40.85</v>
      </c>
      <c r="F34" s="275" t="s">
        <v>521</v>
      </c>
      <c r="G34" s="39" t="n">
        <v>19.2</v>
      </c>
      <c r="H34" s="222" t="n">
        <f aca="false">IF(E34="","",G34*E34)</f>
        <v>784.32</v>
      </c>
      <c r="I34" s="267" t="n">
        <v>46216</v>
      </c>
      <c r="K34" s="269" t="n">
        <f aca="false">IF( F34="EUR", H34 * $K$1, H34)</f>
        <v>784.32</v>
      </c>
      <c r="M34" s="270" t="s">
        <v>512</v>
      </c>
      <c r="N34" s="369" t="s">
        <v>915</v>
      </c>
      <c r="O34" s="339" t="s">
        <v>1039</v>
      </c>
      <c r="P34" s="314" t="s">
        <v>1040</v>
      </c>
      <c r="Q34" s="170" t="s">
        <v>1022</v>
      </c>
      <c r="R34" s="170"/>
    </row>
    <row r="35" customFormat="false" ht="15" hidden="false" customHeight="false" outlineLevel="0" collapsed="false">
      <c r="A35" s="12" t="n">
        <v>13</v>
      </c>
      <c r="B35" s="309" t="s">
        <v>951</v>
      </c>
      <c r="C35" s="39" t="s">
        <v>12</v>
      </c>
      <c r="D35" s="264" t="s">
        <v>299</v>
      </c>
      <c r="E35" s="171" t="n">
        <v>16</v>
      </c>
      <c r="F35" s="275" t="s">
        <v>521</v>
      </c>
      <c r="G35" s="39" t="n">
        <v>25</v>
      </c>
      <c r="H35" s="222" t="n">
        <f aca="false">IF(E35="","",G35*E35)</f>
        <v>400</v>
      </c>
      <c r="I35" s="267" t="n">
        <v>46218</v>
      </c>
      <c r="J35" s="20"/>
      <c r="K35" s="269" t="n">
        <f aca="false">IF( F35="EUR", H35 * $K$1, H35)</f>
        <v>400</v>
      </c>
      <c r="L35" s="20"/>
      <c r="M35" s="270" t="s">
        <v>512</v>
      </c>
      <c r="N35" s="369" t="s">
        <v>915</v>
      </c>
      <c r="O35" s="339" t="s">
        <v>1041</v>
      </c>
      <c r="P35" s="336" t="n">
        <v>90261828</v>
      </c>
      <c r="Q35" s="170" t="s">
        <v>514</v>
      </c>
      <c r="R35" s="339" t="s">
        <v>1042</v>
      </c>
    </row>
    <row r="36" customFormat="false" ht="15" hidden="false" customHeight="false" outlineLevel="0" collapsed="false">
      <c r="A36" s="12" t="n">
        <v>14</v>
      </c>
      <c r="B36" s="317" t="s">
        <v>384</v>
      </c>
      <c r="C36" s="39" t="s">
        <v>12</v>
      </c>
      <c r="D36" s="264" t="s">
        <v>212</v>
      </c>
      <c r="E36" s="171" t="n">
        <v>35.63</v>
      </c>
      <c r="F36" s="275" t="s">
        <v>521</v>
      </c>
      <c r="G36" s="39" t="n">
        <v>25</v>
      </c>
      <c r="H36" s="222" t="n">
        <f aca="false">IF(E36="","",G36*E36)</f>
        <v>890.75</v>
      </c>
      <c r="I36" s="348" t="n">
        <v>46218</v>
      </c>
      <c r="K36" s="269" t="n">
        <f aca="false">IF( F36="EUR", H36 * $K$1, H36)</f>
        <v>890.75</v>
      </c>
      <c r="M36" s="270" t="s">
        <v>512</v>
      </c>
      <c r="N36" s="369" t="s">
        <v>915</v>
      </c>
      <c r="O36" s="339" t="s">
        <v>1043</v>
      </c>
      <c r="P36" s="336" t="s">
        <v>1044</v>
      </c>
      <c r="Q36" s="170" t="s">
        <v>514</v>
      </c>
      <c r="R36" s="170"/>
    </row>
    <row r="37" customFormat="false" ht="15" hidden="false" customHeight="false" outlineLevel="0" collapsed="false">
      <c r="A37" s="12" t="n">
        <v>15</v>
      </c>
      <c r="B37" s="338" t="s">
        <v>403</v>
      </c>
      <c r="C37" s="39" t="s">
        <v>12</v>
      </c>
      <c r="D37" s="264" t="s">
        <v>212</v>
      </c>
      <c r="E37" s="171" t="n">
        <v>31.07</v>
      </c>
      <c r="F37" s="275" t="s">
        <v>521</v>
      </c>
      <c r="G37" s="39" t="n">
        <v>25</v>
      </c>
      <c r="H37" s="222" t="n">
        <f aca="false">IF(E37="", "", G37 * E37)</f>
        <v>776.75</v>
      </c>
      <c r="I37" s="348" t="n">
        <v>46219</v>
      </c>
      <c r="K37" s="269" t="n">
        <f aca="false">IF( F37="EUR", H37 * $K$1, H37)</f>
        <v>776.75</v>
      </c>
      <c r="M37" s="270" t="s">
        <v>512</v>
      </c>
      <c r="N37" s="369" t="s">
        <v>915</v>
      </c>
      <c r="O37" s="339" t="s">
        <v>1043</v>
      </c>
      <c r="P37" s="336" t="s">
        <v>1045</v>
      </c>
      <c r="Q37" s="170" t="s">
        <v>514</v>
      </c>
      <c r="R37" s="170"/>
    </row>
    <row r="38" customFormat="false" ht="15" hidden="false" customHeight="false" outlineLevel="0" collapsed="false">
      <c r="A38" s="12" t="n">
        <v>16</v>
      </c>
      <c r="B38" s="309" t="s">
        <v>957</v>
      </c>
      <c r="C38" s="39" t="s">
        <v>12</v>
      </c>
      <c r="D38" s="264" t="s">
        <v>212</v>
      </c>
      <c r="E38" s="171" t="n">
        <v>22.5</v>
      </c>
      <c r="F38" s="275" t="s">
        <v>521</v>
      </c>
      <c r="G38" s="39" t="n">
        <v>100</v>
      </c>
      <c r="H38" s="222" t="n">
        <f aca="false">IF(E38="", "", G38 * E38)</f>
        <v>2250</v>
      </c>
      <c r="I38" s="348" t="n">
        <v>46218</v>
      </c>
      <c r="K38" s="269" t="n">
        <f aca="false">IF( F38="EUR", H38 * $K$1, H38)</f>
        <v>2250</v>
      </c>
      <c r="M38" s="270" t="s">
        <v>512</v>
      </c>
      <c r="N38" s="369" t="s">
        <v>915</v>
      </c>
      <c r="O38" s="339" t="s">
        <v>1043</v>
      </c>
      <c r="P38" s="336" t="s">
        <v>1046</v>
      </c>
      <c r="Q38" s="170" t="s">
        <v>514</v>
      </c>
      <c r="R38" s="170"/>
    </row>
    <row r="39" customFormat="false" ht="15" hidden="false" customHeight="false" outlineLevel="0" collapsed="false">
      <c r="A39" s="12" t="n">
        <v>17</v>
      </c>
      <c r="B39" s="309" t="s">
        <v>951</v>
      </c>
      <c r="C39" s="39" t="s">
        <v>12</v>
      </c>
      <c r="D39" s="264" t="s">
        <v>299</v>
      </c>
      <c r="E39" s="171" t="n">
        <v>16</v>
      </c>
      <c r="F39" s="275" t="s">
        <v>521</v>
      </c>
      <c r="G39" s="39" t="n">
        <v>25</v>
      </c>
      <c r="H39" s="222" t="n">
        <f aca="false">IF(E39="","",G39*E39)</f>
        <v>400</v>
      </c>
      <c r="I39" s="267" t="n">
        <v>46220</v>
      </c>
      <c r="J39" s="20"/>
      <c r="K39" s="269" t="n">
        <f aca="false">IF( F39="EUR", H39 * $K$1, H39)</f>
        <v>400</v>
      </c>
      <c r="L39" s="20"/>
      <c r="M39" s="270" t="s">
        <v>512</v>
      </c>
      <c r="N39" s="369" t="s">
        <v>915</v>
      </c>
      <c r="O39" s="339" t="s">
        <v>1041</v>
      </c>
      <c r="P39" s="336" t="n">
        <v>90261853</v>
      </c>
      <c r="Q39" s="170" t="s">
        <v>514</v>
      </c>
      <c r="R39" s="339" t="s">
        <v>1047</v>
      </c>
    </row>
    <row r="40" customFormat="false" ht="15" hidden="false" customHeight="false" outlineLevel="0" collapsed="false">
      <c r="A40" s="12" t="n">
        <v>18</v>
      </c>
      <c r="B40" s="337" t="s">
        <v>1048</v>
      </c>
      <c r="C40" s="39" t="s">
        <v>106</v>
      </c>
      <c r="D40" s="264" t="s">
        <v>1049</v>
      </c>
      <c r="E40" s="171" t="n">
        <v>14.99</v>
      </c>
      <c r="F40" s="275" t="s">
        <v>511</v>
      </c>
      <c r="G40" s="39" t="n">
        <v>25</v>
      </c>
      <c r="H40" s="222" t="n">
        <f aca="false">IF(E40="","",G40*E40)</f>
        <v>374.75</v>
      </c>
      <c r="I40" s="348" t="n">
        <v>46223</v>
      </c>
      <c r="K40" s="269" t="n">
        <f aca="false">IF( F40="EUR", H40 * $K$1, H40)</f>
        <v>1630.1625</v>
      </c>
      <c r="M40" s="270" t="s">
        <v>512</v>
      </c>
      <c r="N40" s="369" t="s">
        <v>915</v>
      </c>
      <c r="O40" s="339" t="s">
        <v>1050</v>
      </c>
      <c r="P40" s="336" t="s">
        <v>1051</v>
      </c>
      <c r="Q40" s="170" t="s">
        <v>1022</v>
      </c>
      <c r="R40" s="170"/>
    </row>
    <row r="41" customFormat="false" ht="15" hidden="false" customHeight="false" outlineLevel="0" collapsed="false">
      <c r="A41" s="12" t="n">
        <v>19</v>
      </c>
      <c r="B41" s="337" t="s">
        <v>1052</v>
      </c>
      <c r="C41" s="39" t="s">
        <v>23</v>
      </c>
      <c r="D41" s="264" t="s">
        <v>306</v>
      </c>
      <c r="E41" s="171" t="n">
        <v>30.1</v>
      </c>
      <c r="F41" s="275" t="s">
        <v>521</v>
      </c>
      <c r="G41" s="39" t="n">
        <v>25</v>
      </c>
      <c r="H41" s="222" t="n">
        <f aca="false">IF(E41="","",G41*E41)</f>
        <v>752.5</v>
      </c>
      <c r="I41" s="348" t="n">
        <v>46233</v>
      </c>
      <c r="K41" s="269" t="n">
        <f aca="false">IF( F41="EUR", H41 * $K$1, H41)</f>
        <v>752.5</v>
      </c>
      <c r="M41" s="270" t="s">
        <v>512</v>
      </c>
      <c r="N41" s="369" t="s">
        <v>915</v>
      </c>
      <c r="O41" s="339" t="s">
        <v>1053</v>
      </c>
      <c r="P41" s="336" t="s">
        <v>1054</v>
      </c>
      <c r="Q41" s="170" t="s">
        <v>1022</v>
      </c>
      <c r="R41" s="170"/>
    </row>
    <row r="42" customFormat="false" ht="15" hidden="false" customHeight="false" outlineLevel="0" collapsed="false">
      <c r="A42" s="12" t="n">
        <v>20</v>
      </c>
      <c r="B42" s="337" t="s">
        <v>965</v>
      </c>
      <c r="C42" s="39" t="s">
        <v>966</v>
      </c>
      <c r="D42" s="264" t="s">
        <v>967</v>
      </c>
      <c r="E42" s="171" t="n">
        <v>13.5</v>
      </c>
      <c r="F42" s="275" t="s">
        <v>521</v>
      </c>
      <c r="G42" s="39" t="n">
        <v>25</v>
      </c>
      <c r="H42" s="222" t="n">
        <f aca="false">IF(E42="","",G42*E42)</f>
        <v>337.5</v>
      </c>
      <c r="I42" s="348" t="n">
        <v>46233</v>
      </c>
      <c r="K42" s="269" t="n">
        <f aca="false">IF( F42="EUR", H42 * $K$1, H42)</f>
        <v>337.5</v>
      </c>
      <c r="M42" s="270" t="s">
        <v>512</v>
      </c>
      <c r="N42" s="369" t="s">
        <v>915</v>
      </c>
      <c r="O42" s="339" t="s">
        <v>1055</v>
      </c>
      <c r="P42" s="336" t="s">
        <v>1056</v>
      </c>
      <c r="Q42" s="170" t="s">
        <v>1022</v>
      </c>
      <c r="R42" s="170"/>
    </row>
    <row r="43" customFormat="false" ht="15.75" hidden="false" customHeight="false" outlineLevel="0" collapsed="false">
      <c r="I43" s="371"/>
      <c r="K43" s="347" t="n">
        <f aca="false">SUM(K23:K42)</f>
        <v>31476.1825</v>
      </c>
    </row>
    <row r="45" customFormat="false" ht="28.5" hidden="false" customHeight="false" outlineLevel="0" collapsed="false">
      <c r="A45" s="237" t="s">
        <v>575</v>
      </c>
      <c r="B45" s="237"/>
      <c r="C45" s="237"/>
      <c r="D45" s="237"/>
      <c r="E45" s="237"/>
      <c r="F45" s="237"/>
      <c r="G45" s="237"/>
      <c r="H45" s="237"/>
      <c r="I45" s="237"/>
    </row>
    <row r="46" customFormat="false" ht="54" hidden="false" customHeight="false" outlineLevel="0" collapsed="false">
      <c r="A46" s="185" t="s">
        <v>1</v>
      </c>
      <c r="B46" s="185" t="s">
        <v>2</v>
      </c>
      <c r="C46" s="185" t="s">
        <v>3</v>
      </c>
      <c r="D46" s="185" t="s">
        <v>4</v>
      </c>
      <c r="E46" s="185" t="s">
        <v>5</v>
      </c>
      <c r="F46" s="185" t="s">
        <v>505</v>
      </c>
      <c r="G46" s="185" t="s">
        <v>6</v>
      </c>
      <c r="H46" s="185" t="s">
        <v>506</v>
      </c>
      <c r="I46" s="185" t="s">
        <v>8</v>
      </c>
      <c r="K46" s="186" t="s">
        <v>507</v>
      </c>
      <c r="M46" s="187" t="s">
        <v>190</v>
      </c>
      <c r="N46" s="187" t="s">
        <v>901</v>
      </c>
      <c r="O46" s="139" t="s">
        <v>576</v>
      </c>
      <c r="P46" s="139" t="s">
        <v>191</v>
      </c>
      <c r="Q46" s="139" t="s">
        <v>509</v>
      </c>
      <c r="R46" s="139" t="s">
        <v>211</v>
      </c>
    </row>
    <row r="47" customFormat="false" ht="15.75" hidden="false" customHeight="true" outlineLevel="0" collapsed="false">
      <c r="A47" s="372" t="s">
        <v>10</v>
      </c>
      <c r="B47" s="372" t="s">
        <v>1057</v>
      </c>
      <c r="C47" s="373" t="s">
        <v>23</v>
      </c>
      <c r="D47" s="119" t="s">
        <v>611</v>
      </c>
      <c r="E47" s="241"/>
      <c r="F47" s="275"/>
      <c r="G47" s="119"/>
      <c r="H47" s="301"/>
      <c r="I47" s="244" t="n">
        <v>46206</v>
      </c>
      <c r="K47" s="269"/>
      <c r="M47" s="224" t="s">
        <v>512</v>
      </c>
      <c r="N47" s="355"/>
      <c r="O47" s="227"/>
      <c r="P47" s="227"/>
      <c r="Q47" s="229" t="s">
        <v>514</v>
      </c>
      <c r="R47" s="374" t="s">
        <v>1058</v>
      </c>
    </row>
    <row r="48" customFormat="false" ht="15.75" hidden="false" customHeight="true" outlineLevel="0" collapsed="false">
      <c r="A48" s="372" t="s">
        <v>14</v>
      </c>
      <c r="B48" s="372" t="s">
        <v>1059</v>
      </c>
      <c r="C48" s="373" t="s">
        <v>23</v>
      </c>
      <c r="D48" s="119" t="s">
        <v>611</v>
      </c>
      <c r="E48" s="119"/>
      <c r="F48" s="119"/>
      <c r="G48" s="119"/>
      <c r="H48" s="119"/>
      <c r="I48" s="244" t="n">
        <v>46206</v>
      </c>
      <c r="K48" s="223"/>
      <c r="M48" s="224" t="s">
        <v>512</v>
      </c>
      <c r="N48" s="355"/>
      <c r="O48" s="121"/>
      <c r="P48" s="121"/>
      <c r="Q48" s="229" t="s">
        <v>514</v>
      </c>
      <c r="R48" s="374"/>
    </row>
    <row r="49" customFormat="false" ht="15.75" hidden="false" customHeight="true" outlineLevel="0" collapsed="false">
      <c r="A49" s="372" t="s">
        <v>18</v>
      </c>
      <c r="B49" s="372" t="s">
        <v>1060</v>
      </c>
      <c r="C49" s="373" t="s">
        <v>23</v>
      </c>
      <c r="D49" s="119" t="s">
        <v>611</v>
      </c>
      <c r="E49" s="119"/>
      <c r="F49" s="242"/>
      <c r="G49" s="119"/>
      <c r="H49" s="119"/>
      <c r="I49" s="244" t="n">
        <v>46206</v>
      </c>
      <c r="K49" s="223"/>
      <c r="M49" s="224" t="s">
        <v>512</v>
      </c>
      <c r="N49" s="355"/>
      <c r="O49" s="121"/>
      <c r="P49" s="121"/>
      <c r="Q49" s="229" t="s">
        <v>514</v>
      </c>
      <c r="R49" s="374"/>
    </row>
    <row r="50" customFormat="false" ht="15.75" hidden="false" customHeight="true" outlineLevel="0" collapsed="false">
      <c r="A50" s="372" t="s">
        <v>21</v>
      </c>
      <c r="B50" s="372" t="s">
        <v>1061</v>
      </c>
      <c r="C50" s="373" t="s">
        <v>23</v>
      </c>
      <c r="D50" s="119" t="s">
        <v>611</v>
      </c>
      <c r="E50" s="119"/>
      <c r="F50" s="242"/>
      <c r="G50" s="119"/>
      <c r="H50" s="243"/>
      <c r="I50" s="244" t="n">
        <v>46206</v>
      </c>
      <c r="K50" s="223"/>
      <c r="M50" s="224" t="s">
        <v>512</v>
      </c>
      <c r="N50" s="355"/>
      <c r="O50" s="121"/>
      <c r="P50" s="121"/>
      <c r="Q50" s="229" t="s">
        <v>514</v>
      </c>
      <c r="R50" s="374"/>
    </row>
    <row r="51" customFormat="false" ht="16.5" hidden="false" customHeight="true" outlineLevel="0" collapsed="false">
      <c r="A51" s="372" t="s">
        <v>25</v>
      </c>
      <c r="B51" s="372" t="s">
        <v>1062</v>
      </c>
      <c r="C51" s="373" t="s">
        <v>23</v>
      </c>
      <c r="D51" s="119" t="s">
        <v>611</v>
      </c>
      <c r="E51" s="242"/>
      <c r="F51" s="242"/>
      <c r="G51" s="119"/>
      <c r="H51" s="243"/>
      <c r="I51" s="244" t="n">
        <v>46206</v>
      </c>
      <c r="K51" s="223"/>
      <c r="M51" s="224" t="s">
        <v>512</v>
      </c>
      <c r="N51" s="355"/>
      <c r="O51" s="121"/>
      <c r="P51" s="121"/>
      <c r="Q51" s="229" t="s">
        <v>514</v>
      </c>
      <c r="R51" s="374"/>
    </row>
    <row r="52" customFormat="false" ht="15.75" hidden="false" customHeight="false" outlineLevel="0" collapsed="false">
      <c r="A52" s="372" t="s">
        <v>30</v>
      </c>
      <c r="B52" s="119" t="s">
        <v>982</v>
      </c>
      <c r="C52" s="239" t="s">
        <v>136</v>
      </c>
      <c r="D52" s="119" t="s">
        <v>54</v>
      </c>
      <c r="E52" s="241" t="n">
        <v>5.5</v>
      </c>
      <c r="F52" s="275" t="s">
        <v>521</v>
      </c>
      <c r="G52" s="119" t="n">
        <v>10</v>
      </c>
      <c r="H52" s="222" t="n">
        <f aca="false">IF(E52="", "", G52 * E52)</f>
        <v>55</v>
      </c>
      <c r="I52" s="244" t="n">
        <v>46209</v>
      </c>
      <c r="K52" s="223"/>
      <c r="M52" s="224" t="s">
        <v>512</v>
      </c>
      <c r="N52" s="355"/>
      <c r="O52" s="121"/>
      <c r="P52" s="121"/>
      <c r="Q52" s="229" t="s">
        <v>514</v>
      </c>
      <c r="R52" s="119"/>
    </row>
    <row r="53" customFormat="false" ht="16.5" hidden="false" customHeight="false" outlineLevel="0" collapsed="false">
      <c r="A53" s="372" t="s">
        <v>34</v>
      </c>
      <c r="B53" s="119" t="s">
        <v>1063</v>
      </c>
      <c r="C53" s="239" t="s">
        <v>23</v>
      </c>
      <c r="D53" s="119" t="s">
        <v>24</v>
      </c>
      <c r="E53" s="241"/>
      <c r="F53" s="275"/>
      <c r="G53" s="119"/>
      <c r="H53" s="222"/>
      <c r="I53" s="244" t="n">
        <v>46220</v>
      </c>
      <c r="K53" s="223"/>
      <c r="M53" s="224" t="s">
        <v>512</v>
      </c>
      <c r="N53" s="355"/>
      <c r="O53" s="121"/>
      <c r="P53" s="121"/>
      <c r="Q53" s="229" t="s">
        <v>514</v>
      </c>
      <c r="R53" s="375"/>
    </row>
    <row r="54" customFormat="false" ht="15.75" hidden="false" customHeight="false" outlineLevel="0" collapsed="false">
      <c r="K54" s="236" t="n">
        <f aca="false">SUM(K47:K53)</f>
        <v>0</v>
      </c>
    </row>
  </sheetData>
  <mergeCells count="5">
    <mergeCell ref="A1:I1"/>
    <mergeCell ref="A2:I2"/>
    <mergeCell ref="A21:I21"/>
    <mergeCell ref="A45:I45"/>
    <mergeCell ref="R47:R51"/>
  </mergeCells>
  <conditionalFormatting sqref="M4:M17 M47:M53">
    <cfRule type="expression" priority="2" aboveAverage="0" equalAverage="0" bottom="0" percent="0" rank="0" text="" dxfId="37">
      <formula>$M4="TAK"</formula>
    </cfRule>
    <cfRule type="expression" priority="3" aboveAverage="0" equalAverage="0" bottom="0" percent="0" rank="0" text="" dxfId="38">
      <formula>$M4="NIE"</formula>
    </cfRule>
  </conditionalFormatting>
  <conditionalFormatting sqref="M23:M42">
    <cfRule type="expression" priority="4" aboveAverage="0" equalAverage="0" bottom="0" percent="0" rank="0" text="" dxfId="39">
      <formula>$M23="TAK"</formula>
    </cfRule>
    <cfRule type="expression" priority="5" aboveAverage="0" equalAverage="0" bottom="0" percent="0" rank="0" text="" dxfId="40">
      <formula>$M23="NIE"</formula>
    </cfRule>
  </conditionalFormatting>
  <conditionalFormatting sqref="M40:M42">
    <cfRule type="expression" priority="6" aboveAverage="0" equalAverage="0" bottom="0" percent="0" rank="0" text="" dxfId="41">
      <formula>$M40="TAK"</formula>
    </cfRule>
    <cfRule type="expression" priority="7" aboveAverage="0" equalAverage="0" bottom="0" percent="0" rank="0" text="" dxfId="42">
      <formula>$M40="NIE"</formula>
    </cfRule>
  </conditionalFormatting>
  <conditionalFormatting sqref="M18:N18">
    <cfRule type="expression" priority="8" aboveAverage="0" equalAverage="0" bottom="0" percent="0" rank="0" text="" dxfId="43">
      <formula>$M18="TAK"</formula>
    </cfRule>
    <cfRule type="expression" priority="9" aboveAverage="0" equalAverage="0" bottom="0" percent="0" rank="0" text="" dxfId="44">
      <formula>$M18="NIE"</formula>
    </cfRule>
  </conditionalFormatting>
  <dataValidations count="3">
    <dataValidation allowBlank="true" errorStyle="stop" operator="between" prompt="&#10;Określić na dany miesiąc&#10;" promptTitle="KURS EURO" showDropDown="false" showErrorMessage="true" showInputMessage="true" sqref="K1" type="none">
      <formula1>0</formula1>
      <formula2>0</formula2>
    </dataValidation>
    <dataValidation allowBlank="true" errorStyle="stop" operator="between" showDropDown="false" showErrorMessage="true" showInputMessage="true" sqref="M4:M5 M7:M10 M12:M17 M18:N18 M23:M42 M47:M53" type="list">
      <formula1>"TAK,NIE"</formula1>
      <formula2>0</formula2>
    </dataValidation>
    <dataValidation allowBlank="true" errorStyle="stop" operator="between" showDropDown="false" showErrorMessage="true" showInputMessage="true" sqref="F4:F18 F23:F42 F47 F52:F53" type="list">
      <formula1>"PLN,EUR"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P6" activeCellId="0" sqref="P6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25"/>
    <col collapsed="false" customWidth="true" hidden="false" outlineLevel="0" max="3" min="3" style="0" width="14.43"/>
    <col collapsed="false" customWidth="true" hidden="false" outlineLevel="0" max="4" min="4" style="0" width="16.57"/>
    <col collapsed="false" customWidth="true" hidden="false" outlineLevel="0" max="6" min="5" style="0" width="9.85"/>
    <col collapsed="false" customWidth="true" hidden="false" outlineLevel="0" max="8" min="8" style="0" width="12"/>
    <col collapsed="false" customWidth="true" hidden="false" outlineLevel="0" max="9" min="9" style="0" width="9.43"/>
    <col collapsed="false" customWidth="true" hidden="false" outlineLevel="0" max="10" min="10" style="0" width="6.57"/>
    <col collapsed="false" customWidth="true" hidden="false" outlineLevel="0" max="11" min="11" style="0" width="16.71"/>
    <col collapsed="false" customWidth="true" hidden="false" outlineLevel="0" max="12" min="12" style="0" width="6.14"/>
    <col collapsed="false" customWidth="true" hidden="false" outlineLevel="0" max="14" min="13" style="0" width="11.71"/>
    <col collapsed="false" customWidth="true" hidden="false" outlineLevel="0" max="16" min="15" style="0" width="20.14"/>
    <col collapsed="false" customWidth="true" hidden="false" outlineLevel="0" max="17" min="17" style="0" width="19.14"/>
    <col collapsed="false" customWidth="true" hidden="false" outlineLevel="0" max="18" min="18" style="0" width="42.28"/>
  </cols>
  <sheetData>
    <row r="1" customFormat="false" ht="45" hidden="false" customHeight="true" outlineLevel="0" collapsed="false">
      <c r="A1" s="262" t="s">
        <v>1064</v>
      </c>
      <c r="B1" s="262"/>
      <c r="C1" s="262"/>
      <c r="D1" s="262"/>
      <c r="E1" s="262"/>
      <c r="F1" s="262"/>
      <c r="G1" s="262"/>
      <c r="H1" s="262"/>
      <c r="I1" s="262"/>
      <c r="K1" s="184" t="n">
        <v>4.35</v>
      </c>
    </row>
    <row r="2" customFormat="false" ht="26.25" hidden="false" customHeight="true" outlineLevel="0" collapsed="false">
      <c r="A2" s="262" t="s">
        <v>189</v>
      </c>
      <c r="B2" s="262"/>
      <c r="C2" s="262"/>
      <c r="D2" s="262"/>
      <c r="E2" s="262"/>
      <c r="F2" s="262"/>
      <c r="G2" s="262"/>
      <c r="H2" s="262"/>
      <c r="I2" s="262"/>
    </row>
    <row r="3" customFormat="false" ht="54" hidden="false" customHeight="false" outlineLevel="0" collapsed="false">
      <c r="A3" s="306" t="s">
        <v>1</v>
      </c>
      <c r="B3" s="306" t="s">
        <v>2</v>
      </c>
      <c r="C3" s="306" t="s">
        <v>3</v>
      </c>
      <c r="D3" s="306" t="s">
        <v>4</v>
      </c>
      <c r="E3" s="306" t="s">
        <v>5</v>
      </c>
      <c r="F3" s="306" t="s">
        <v>505</v>
      </c>
      <c r="G3" s="306" t="s">
        <v>6</v>
      </c>
      <c r="H3" s="306" t="s">
        <v>506</v>
      </c>
      <c r="I3" s="306" t="s">
        <v>8</v>
      </c>
      <c r="K3" s="306" t="s">
        <v>507</v>
      </c>
      <c r="M3" s="307" t="s">
        <v>190</v>
      </c>
      <c r="N3" s="187" t="s">
        <v>901</v>
      </c>
      <c r="O3" s="308" t="s">
        <v>508</v>
      </c>
      <c r="P3" s="308" t="s">
        <v>191</v>
      </c>
      <c r="Q3" s="308" t="s">
        <v>509</v>
      </c>
      <c r="R3" s="308" t="s">
        <v>211</v>
      </c>
    </row>
    <row r="4" customFormat="false" ht="15" hidden="false" customHeight="false" outlineLevel="0" collapsed="false">
      <c r="A4" s="352" t="n">
        <v>1</v>
      </c>
      <c r="B4" s="316" t="s">
        <v>1065</v>
      </c>
      <c r="C4" s="89" t="s">
        <v>12</v>
      </c>
      <c r="D4" s="264" t="s">
        <v>13</v>
      </c>
      <c r="E4" s="265" t="n">
        <v>2.4</v>
      </c>
      <c r="F4" s="175" t="s">
        <v>511</v>
      </c>
      <c r="G4" s="266" t="n">
        <v>2000</v>
      </c>
      <c r="H4" s="222" t="n">
        <f aca="false">IF(E4="","",G4*E4)</f>
        <v>4800</v>
      </c>
      <c r="I4" s="267" t="n">
        <v>46238</v>
      </c>
      <c r="J4" s="268"/>
      <c r="K4" s="269" t="n">
        <f aca="false">IF( F4="EUR", H4 * $K$1, H4)</f>
        <v>20880</v>
      </c>
      <c r="L4" s="38"/>
      <c r="M4" s="270" t="s">
        <v>512</v>
      </c>
      <c r="N4" s="355" t="s">
        <v>1009</v>
      </c>
      <c r="O4" s="277" t="s">
        <v>1066</v>
      </c>
      <c r="P4" s="312" t="s">
        <v>1067</v>
      </c>
      <c r="Q4" s="287" t="s">
        <v>514</v>
      </c>
      <c r="R4" s="311" t="s">
        <v>1068</v>
      </c>
    </row>
    <row r="5" customFormat="false" ht="15" hidden="false" customHeight="false" outlineLevel="0" collapsed="false">
      <c r="A5" s="352" t="n">
        <v>2</v>
      </c>
      <c r="B5" s="316" t="s">
        <v>1069</v>
      </c>
      <c r="C5" s="89" t="s">
        <v>566</v>
      </c>
      <c r="D5" s="264" t="s">
        <v>1070</v>
      </c>
      <c r="E5" s="265" t="n">
        <v>4.3</v>
      </c>
      <c r="F5" s="175" t="s">
        <v>511</v>
      </c>
      <c r="G5" s="266" t="n">
        <v>100</v>
      </c>
      <c r="H5" s="222" t="n">
        <f aca="false">IF(E5="","",G5*E5)</f>
        <v>430</v>
      </c>
      <c r="I5" s="267" t="n">
        <v>46252</v>
      </c>
      <c r="J5" s="268"/>
      <c r="K5" s="269" t="n">
        <f aca="false">IF( F5="EUR", H5 * $K$1, H5)</f>
        <v>1870.5</v>
      </c>
      <c r="L5" s="38"/>
      <c r="M5" s="270" t="s">
        <v>512</v>
      </c>
      <c r="N5" s="355" t="s">
        <v>1009</v>
      </c>
      <c r="O5" s="277" t="s">
        <v>1071</v>
      </c>
      <c r="P5" s="312" t="s">
        <v>1072</v>
      </c>
      <c r="Q5" s="287" t="s">
        <v>514</v>
      </c>
      <c r="R5" s="311"/>
    </row>
    <row r="6" customFormat="false" ht="15" hidden="false" customHeight="false" outlineLevel="0" collapsed="false">
      <c r="A6" s="352" t="n">
        <v>3</v>
      </c>
      <c r="B6" s="240" t="s">
        <v>1073</v>
      </c>
      <c r="C6" s="310" t="s">
        <v>23</v>
      </c>
      <c r="D6" s="264" t="s">
        <v>24</v>
      </c>
      <c r="E6" s="265" t="n">
        <v>4.08</v>
      </c>
      <c r="F6" s="175" t="s">
        <v>511</v>
      </c>
      <c r="G6" s="315" t="n">
        <v>15840</v>
      </c>
      <c r="H6" s="222" t="n">
        <f aca="false">IF(E6="","",G6*E6)</f>
        <v>64627.2</v>
      </c>
      <c r="I6" s="267" t="n">
        <v>46259</v>
      </c>
      <c r="J6" s="268"/>
      <c r="K6" s="269" t="n">
        <f aca="false">IF( F6="EUR", H6 * $K$1, H6)</f>
        <v>281128.32</v>
      </c>
      <c r="L6" s="20"/>
      <c r="M6" s="270" t="s">
        <v>512</v>
      </c>
      <c r="N6" s="355" t="s">
        <v>985</v>
      </c>
      <c r="O6" s="271" t="s">
        <v>1074</v>
      </c>
      <c r="P6" s="272" t="s">
        <v>1075</v>
      </c>
      <c r="Q6" s="287" t="s">
        <v>514</v>
      </c>
      <c r="R6" s="339"/>
    </row>
    <row r="7" customFormat="false" ht="15" hidden="false" customHeight="false" outlineLevel="0" collapsed="false">
      <c r="A7" s="352" t="n">
        <v>4</v>
      </c>
      <c r="B7" s="376"/>
      <c r="C7" s="89"/>
      <c r="D7" s="264"/>
      <c r="E7" s="265"/>
      <c r="F7" s="275"/>
      <c r="G7" s="266"/>
      <c r="H7" s="222" t="str">
        <f aca="false">IF(E7="","",G7*E7)</f>
        <v/>
      </c>
      <c r="I7" s="267"/>
      <c r="J7" s="268"/>
      <c r="K7" s="269" t="str">
        <f aca="false">IF( F7="EUR", H7 * $K$1, H7)</f>
        <v/>
      </c>
      <c r="L7" s="20"/>
      <c r="M7" s="270"/>
      <c r="N7" s="355"/>
      <c r="O7" s="271"/>
      <c r="P7" s="20"/>
      <c r="Q7" s="273"/>
      <c r="R7" s="170"/>
    </row>
    <row r="8" customFormat="false" ht="15" hidden="false" customHeight="false" outlineLevel="0" collapsed="false">
      <c r="A8" s="352" t="n">
        <v>5</v>
      </c>
      <c r="B8" s="376"/>
      <c r="C8" s="89"/>
      <c r="D8" s="264"/>
      <c r="E8" s="265"/>
      <c r="F8" s="284"/>
      <c r="G8" s="266"/>
      <c r="H8" s="222" t="str">
        <f aca="false">IF(E8="","",G8*E8)</f>
        <v/>
      </c>
      <c r="I8" s="267"/>
      <c r="J8" s="60"/>
      <c r="K8" s="269" t="str">
        <f aca="false">IF( F8="EUR", H8 * $K$1, H8)</f>
        <v/>
      </c>
      <c r="L8" s="20"/>
      <c r="M8" s="270"/>
      <c r="N8" s="377"/>
      <c r="O8" s="273"/>
      <c r="P8" s="280"/>
      <c r="Q8" s="287"/>
      <c r="R8" s="170"/>
    </row>
    <row r="9" customFormat="false" ht="15" hidden="false" customHeight="false" outlineLevel="0" collapsed="false">
      <c r="A9" s="352" t="n">
        <v>6</v>
      </c>
      <c r="B9" s="376"/>
      <c r="C9" s="89"/>
      <c r="D9" s="264"/>
      <c r="E9" s="265"/>
      <c r="F9" s="275"/>
      <c r="G9" s="266"/>
      <c r="H9" s="222" t="str">
        <f aca="false">IF(E9="","",G9*E9)</f>
        <v/>
      </c>
      <c r="I9" s="267"/>
      <c r="J9" s="37"/>
      <c r="K9" s="269" t="str">
        <f aca="false">IF( F9="EUR", H9 * $K$1, H9)</f>
        <v/>
      </c>
      <c r="L9" s="20"/>
      <c r="M9" s="270"/>
      <c r="N9" s="377"/>
      <c r="O9" s="273"/>
      <c r="P9" s="280"/>
      <c r="Q9" s="273"/>
      <c r="R9" s="170"/>
    </row>
    <row r="10" customFormat="false" ht="16.5" hidden="false" customHeight="false" outlineLevel="0" collapsed="false">
      <c r="A10" s="21"/>
      <c r="B10" s="295"/>
      <c r="C10" s="292"/>
      <c r="D10" s="292"/>
      <c r="E10" s="293"/>
      <c r="F10" s="294"/>
      <c r="G10" s="295"/>
      <c r="H10" s="296"/>
      <c r="I10" s="297"/>
      <c r="J10" s="51"/>
      <c r="K10" s="298"/>
      <c r="M10" s="299"/>
      <c r="N10" s="299"/>
      <c r="O10" s="300"/>
      <c r="P10" s="19"/>
      <c r="Q10" s="300"/>
    </row>
    <row r="11" customFormat="false" ht="19.5" hidden="false" customHeight="false" outlineLevel="0" collapsed="false">
      <c r="B11" s="19"/>
      <c r="C11" s="19"/>
      <c r="D11" s="19"/>
      <c r="E11" s="19"/>
      <c r="F11" s="19"/>
      <c r="G11" s="19"/>
      <c r="H11" s="19"/>
      <c r="I11" s="19"/>
      <c r="K11" s="256" t="n">
        <f aca="false">SUM(K4:K10)</f>
        <v>303878.82</v>
      </c>
    </row>
    <row r="12" customFormat="false" ht="15" hidden="false" customHeight="false" outlineLevel="0" collapsed="false">
      <c r="K12" s="18"/>
    </row>
    <row r="13" customFormat="false" ht="26.25" hidden="false" customHeight="true" outlineLevel="0" collapsed="false">
      <c r="A13" s="262" t="s">
        <v>210</v>
      </c>
      <c r="B13" s="262"/>
      <c r="C13" s="262"/>
      <c r="D13" s="262"/>
      <c r="E13" s="262"/>
      <c r="F13" s="262"/>
      <c r="G13" s="262"/>
      <c r="H13" s="262"/>
      <c r="I13" s="262"/>
    </row>
    <row r="14" customFormat="false" ht="54" hidden="false" customHeight="false" outlineLevel="0" collapsed="false">
      <c r="A14" s="185" t="s">
        <v>1</v>
      </c>
      <c r="B14" s="185" t="s">
        <v>2</v>
      </c>
      <c r="C14" s="185" t="s">
        <v>3</v>
      </c>
      <c r="D14" s="185" t="s">
        <v>4</v>
      </c>
      <c r="E14" s="185" t="s">
        <v>5</v>
      </c>
      <c r="F14" s="185" t="s">
        <v>505</v>
      </c>
      <c r="G14" s="185" t="s">
        <v>6</v>
      </c>
      <c r="H14" s="185" t="s">
        <v>506</v>
      </c>
      <c r="I14" s="185" t="s">
        <v>8</v>
      </c>
      <c r="K14" s="186" t="s">
        <v>507</v>
      </c>
      <c r="M14" s="187" t="s">
        <v>190</v>
      </c>
      <c r="N14" s="187" t="s">
        <v>901</v>
      </c>
      <c r="O14" s="139" t="s">
        <v>558</v>
      </c>
      <c r="P14" s="139" t="s">
        <v>191</v>
      </c>
      <c r="Q14" s="139" t="s">
        <v>509</v>
      </c>
      <c r="R14" s="139" t="s">
        <v>211</v>
      </c>
    </row>
    <row r="15" customFormat="false" ht="15" hidden="false" customHeight="false" outlineLevel="0" collapsed="false">
      <c r="A15" s="12" t="n">
        <v>1</v>
      </c>
      <c r="B15" s="309" t="s">
        <v>1076</v>
      </c>
      <c r="C15" s="39" t="s">
        <v>966</v>
      </c>
      <c r="D15" s="264" t="s">
        <v>306</v>
      </c>
      <c r="E15" s="171" t="n">
        <v>32.8</v>
      </c>
      <c r="F15" s="275" t="s">
        <v>521</v>
      </c>
      <c r="G15" s="39" t="n">
        <v>25.5</v>
      </c>
      <c r="H15" s="222" t="n">
        <f aca="false">IF(E15="","",G15*E15)</f>
        <v>836.4</v>
      </c>
      <c r="I15" s="350" t="n">
        <v>46244</v>
      </c>
      <c r="K15" s="223" t="n">
        <f aca="false">IF( F15="EUR", H15 * $K$1, H15)</f>
        <v>836.4</v>
      </c>
      <c r="M15" s="270" t="s">
        <v>512</v>
      </c>
      <c r="N15" s="355" t="s">
        <v>1009</v>
      </c>
      <c r="O15" s="121" t="s">
        <v>1077</v>
      </c>
      <c r="P15" s="270" t="s">
        <v>1078</v>
      </c>
      <c r="Q15" s="170" t="s">
        <v>514</v>
      </c>
      <c r="R15" s="119"/>
    </row>
    <row r="16" customFormat="false" ht="15" hidden="false" customHeight="false" outlineLevel="0" collapsed="false">
      <c r="A16" s="12" t="n">
        <v>2</v>
      </c>
      <c r="B16" s="337" t="s">
        <v>1079</v>
      </c>
      <c r="C16" s="39" t="s">
        <v>12</v>
      </c>
      <c r="D16" s="264" t="s">
        <v>299</v>
      </c>
      <c r="E16" s="171" t="n">
        <v>45</v>
      </c>
      <c r="F16" s="275" t="s">
        <v>521</v>
      </c>
      <c r="G16" s="39" t="n">
        <v>25</v>
      </c>
      <c r="H16" s="222" t="n">
        <f aca="false">IF(E16="","",G16*E16)</f>
        <v>1125</v>
      </c>
      <c r="I16" s="168" t="n">
        <v>46252</v>
      </c>
      <c r="K16" s="223" t="n">
        <f aca="false">IF( F16="EUR", H16 * $K$1, H16)</f>
        <v>1125</v>
      </c>
      <c r="M16" s="270" t="s">
        <v>512</v>
      </c>
      <c r="N16" s="355" t="s">
        <v>1009</v>
      </c>
      <c r="O16" s="378" t="s">
        <v>1080</v>
      </c>
      <c r="P16" s="270" t="n">
        <v>90262069</v>
      </c>
      <c r="Q16" s="170" t="s">
        <v>514</v>
      </c>
      <c r="R16" s="119"/>
    </row>
    <row r="17" customFormat="false" ht="15" hidden="false" customHeight="false" outlineLevel="0" collapsed="false">
      <c r="A17" s="12" t="n">
        <v>3</v>
      </c>
      <c r="B17" s="337" t="s">
        <v>1081</v>
      </c>
      <c r="C17" s="39" t="s">
        <v>12</v>
      </c>
      <c r="D17" s="333" t="s">
        <v>212</v>
      </c>
      <c r="E17" s="171" t="n">
        <v>35.63</v>
      </c>
      <c r="F17" s="275" t="s">
        <v>521</v>
      </c>
      <c r="G17" s="89" t="n">
        <v>25</v>
      </c>
      <c r="H17" s="222" t="n">
        <f aca="false">IF(E17="","",G17*E17)</f>
        <v>890.75</v>
      </c>
      <c r="I17" s="348" t="n">
        <v>46262</v>
      </c>
      <c r="K17" s="223" t="n">
        <f aca="false">IF( F17="EUR", H17 * $K$1, H17)</f>
        <v>890.75</v>
      </c>
      <c r="M17" s="270" t="s">
        <v>512</v>
      </c>
      <c r="N17" s="355" t="s">
        <v>1009</v>
      </c>
      <c r="O17" s="121" t="s">
        <v>1082</v>
      </c>
      <c r="P17" s="336" t="s">
        <v>1083</v>
      </c>
      <c r="Q17" s="170" t="s">
        <v>514</v>
      </c>
      <c r="R17" s="119"/>
    </row>
    <row r="18" customFormat="false" ht="15.75" hidden="false" customHeight="false" outlineLevel="0" collapsed="false">
      <c r="A18" s="12" t="n">
        <v>4</v>
      </c>
      <c r="B18" s="332" t="s">
        <v>1084</v>
      </c>
      <c r="C18" s="151" t="s">
        <v>101</v>
      </c>
      <c r="D18" s="333" t="s">
        <v>212</v>
      </c>
      <c r="E18" s="171" t="n">
        <v>28.5</v>
      </c>
      <c r="F18" s="275" t="s">
        <v>521</v>
      </c>
      <c r="G18" s="89" t="n">
        <v>25</v>
      </c>
      <c r="H18" s="222" t="n">
        <f aca="false">IF(E18="","",G18*E18)</f>
        <v>712.5</v>
      </c>
      <c r="I18" s="348" t="n">
        <v>46262</v>
      </c>
      <c r="K18" s="223" t="n">
        <f aca="false">IF( F18="EUR", H18 * $K$1, H18)</f>
        <v>712.5</v>
      </c>
      <c r="M18" s="270" t="s">
        <v>512</v>
      </c>
      <c r="N18" s="355" t="s">
        <v>1009</v>
      </c>
      <c r="O18" s="121" t="s">
        <v>1082</v>
      </c>
      <c r="P18" s="336" t="s">
        <v>1083</v>
      </c>
      <c r="Q18" s="170" t="s">
        <v>514</v>
      </c>
      <c r="R18" s="119"/>
    </row>
    <row r="19" customFormat="false" ht="15.75" hidden="false" customHeight="false" outlineLevel="0" collapsed="false">
      <c r="K19" s="236" t="n">
        <f aca="false">SUM(K15:K18)</f>
        <v>3564.65</v>
      </c>
    </row>
    <row r="21" customFormat="false" ht="28.5" hidden="false" customHeight="false" outlineLevel="0" collapsed="false">
      <c r="A21" s="237" t="s">
        <v>575</v>
      </c>
      <c r="B21" s="237"/>
      <c r="C21" s="237"/>
      <c r="D21" s="237"/>
      <c r="E21" s="237"/>
      <c r="F21" s="237"/>
      <c r="G21" s="237"/>
      <c r="H21" s="237"/>
      <c r="I21" s="237"/>
    </row>
    <row r="22" customFormat="false" ht="45" hidden="false" customHeight="false" outlineLevel="0" collapsed="false">
      <c r="A22" s="185" t="s">
        <v>1</v>
      </c>
      <c r="B22" s="185" t="s">
        <v>2</v>
      </c>
      <c r="C22" s="185" t="s">
        <v>3</v>
      </c>
      <c r="D22" s="185" t="s">
        <v>4</v>
      </c>
      <c r="E22" s="185" t="s">
        <v>5</v>
      </c>
      <c r="F22" s="185" t="s">
        <v>505</v>
      </c>
      <c r="G22" s="185" t="s">
        <v>6</v>
      </c>
      <c r="H22" s="185" t="s">
        <v>506</v>
      </c>
      <c r="I22" s="185" t="s">
        <v>8</v>
      </c>
      <c r="K22" s="186" t="s">
        <v>507</v>
      </c>
      <c r="M22" s="187" t="s">
        <v>190</v>
      </c>
      <c r="N22" s="187"/>
      <c r="O22" s="139" t="s">
        <v>576</v>
      </c>
      <c r="P22" s="139" t="s">
        <v>191</v>
      </c>
      <c r="Q22" s="139" t="s">
        <v>509</v>
      </c>
      <c r="R22" s="139" t="s">
        <v>211</v>
      </c>
    </row>
    <row r="23" customFormat="false" ht="15.75" hidden="false" customHeight="false" outlineLevel="0" collapsed="false">
      <c r="A23" s="119" t="s">
        <v>10</v>
      </c>
      <c r="B23" s="351"/>
      <c r="C23" s="239"/>
      <c r="D23" s="119"/>
      <c r="E23" s="241"/>
      <c r="F23" s="275"/>
      <c r="G23" s="119"/>
      <c r="H23" s="301"/>
      <c r="I23" s="244"/>
      <c r="K23" s="269"/>
      <c r="M23" s="224"/>
      <c r="N23" s="379"/>
      <c r="O23" s="227"/>
      <c r="P23" s="227"/>
      <c r="Q23" s="229"/>
      <c r="R23" s="119"/>
    </row>
    <row r="24" customFormat="false" ht="15" hidden="false" customHeight="false" outlineLevel="0" collapsed="false">
      <c r="A24" s="119" t="s">
        <v>14</v>
      </c>
      <c r="B24" s="240"/>
      <c r="C24" s="119"/>
      <c r="D24" s="119"/>
      <c r="E24" s="119"/>
      <c r="F24" s="119"/>
      <c r="G24" s="119"/>
      <c r="H24" s="119"/>
      <c r="I24" s="244"/>
      <c r="K24" s="223"/>
      <c r="M24" s="17"/>
      <c r="N24" s="355"/>
      <c r="O24" s="121"/>
      <c r="P24" s="121"/>
      <c r="Q24" s="119"/>
      <c r="R24" s="119"/>
    </row>
    <row r="25" customFormat="false" ht="15.75" hidden="false" customHeight="false" outlineLevel="0" collapsed="false">
      <c r="A25" s="119" t="s">
        <v>18</v>
      </c>
      <c r="B25" s="240"/>
      <c r="C25" s="119"/>
      <c r="D25" s="119"/>
      <c r="E25" s="119"/>
      <c r="F25" s="242"/>
      <c r="G25" s="119"/>
      <c r="H25" s="119"/>
      <c r="I25" s="244"/>
      <c r="K25" s="223"/>
      <c r="M25" s="17"/>
      <c r="N25" s="355"/>
      <c r="O25" s="121"/>
      <c r="P25" s="121"/>
      <c r="Q25" s="119"/>
      <c r="R25" s="119"/>
    </row>
    <row r="26" customFormat="false" ht="15.75" hidden="false" customHeight="false" outlineLevel="0" collapsed="false">
      <c r="K26" s="236" t="n">
        <f aca="false">SUM(K23:K25)</f>
        <v>0</v>
      </c>
    </row>
  </sheetData>
  <mergeCells count="4">
    <mergeCell ref="A1:I1"/>
    <mergeCell ref="A2:I2"/>
    <mergeCell ref="A13:I13"/>
    <mergeCell ref="A21:I21"/>
  </mergeCells>
  <conditionalFormatting sqref="M4:M7 M8:N10 M15:M18">
    <cfRule type="expression" priority="2" aboveAverage="0" equalAverage="0" bottom="0" percent="0" rank="0" text="" dxfId="45">
      <formula>$M4="TAK"</formula>
    </cfRule>
    <cfRule type="expression" priority="3" aboveAverage="0" equalAverage="0" bottom="0" percent="0" rank="0" text="" dxfId="46">
      <formula>$M4="NIE"</formula>
    </cfRule>
  </conditionalFormatting>
  <conditionalFormatting sqref="M23:N23">
    <cfRule type="expression" priority="4" aboveAverage="0" equalAverage="0" bottom="0" percent="0" rank="0" text="" dxfId="47">
      <formula>$M23="TAK"</formula>
    </cfRule>
    <cfRule type="expression" priority="5" aboveAverage="0" equalAverage="0" bottom="0" percent="0" rank="0" text="" dxfId="48">
      <formula>$M23="NIE"</formula>
    </cfRule>
  </conditionalFormatting>
  <dataValidations count="3">
    <dataValidation allowBlank="true" errorStyle="stop" operator="between" prompt="&#10;Określić na dany miesiąc&#10;" promptTitle="KURS EURO" showDropDown="false" showErrorMessage="true" showInputMessage="true" sqref="K1" type="none">
      <formula1>0</formula1>
      <formula2>0</formula2>
    </dataValidation>
    <dataValidation allowBlank="true" errorStyle="stop" operator="between" showDropDown="false" showErrorMessage="true" showInputMessage="true" sqref="F4:F10 F15:F18 F23" type="list">
      <formula1>"PLN,EUR"</formula1>
      <formula2>0</formula2>
    </dataValidation>
    <dataValidation allowBlank="true" errorStyle="stop" operator="between" showDropDown="false" showErrorMessage="true" showInputMessage="true" sqref="M4:M9 N8:N9 M10:N10 M15:M18 M23:N23" type="list">
      <formula1>"TAK,NIE"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48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selection pane="topLeft" activeCell="R14" activeCellId="0" sqref="R14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25"/>
    <col collapsed="false" customWidth="true" hidden="false" outlineLevel="0" max="3" min="3" style="0" width="14.43"/>
    <col collapsed="false" customWidth="true" hidden="false" outlineLevel="0" max="4" min="4" style="0" width="16.57"/>
    <col collapsed="false" customWidth="true" hidden="false" outlineLevel="0" max="6" min="5" style="0" width="9.85"/>
    <col collapsed="false" customWidth="true" hidden="false" outlineLevel="0" max="8" min="8" style="0" width="24.25"/>
    <col collapsed="false" customWidth="true" hidden="false" outlineLevel="0" max="9" min="9" style="0" width="16.87"/>
    <col collapsed="false" customWidth="true" hidden="false" outlineLevel="0" max="10" min="10" style="0" width="6.57"/>
    <col collapsed="false" customWidth="true" hidden="false" outlineLevel="0" max="11" min="11" style="0" width="39.57"/>
    <col collapsed="false" customWidth="true" hidden="false" outlineLevel="0" max="12" min="12" style="0" width="6.14"/>
    <col collapsed="false" customWidth="true" hidden="false" outlineLevel="0" max="14" min="13" style="0" width="11.71"/>
    <col collapsed="false" customWidth="true" hidden="false" outlineLevel="0" max="16" min="15" style="0" width="20.14"/>
    <col collapsed="false" customWidth="true" hidden="false" outlineLevel="0" max="17" min="17" style="0" width="19.14"/>
    <col collapsed="false" customWidth="true" hidden="false" outlineLevel="0" max="18" min="18" style="0" width="42.28"/>
  </cols>
  <sheetData>
    <row r="1" customFormat="false" ht="26.25" hidden="false" customHeight="true" outlineLevel="0" collapsed="false">
      <c r="A1" s="262" t="s">
        <v>1085</v>
      </c>
      <c r="B1" s="262"/>
      <c r="C1" s="262"/>
      <c r="D1" s="262"/>
      <c r="E1" s="262"/>
      <c r="F1" s="262"/>
      <c r="G1" s="262"/>
      <c r="H1" s="262"/>
      <c r="I1" s="262"/>
      <c r="K1" s="184" t="n">
        <v>4.35</v>
      </c>
    </row>
    <row r="2" customFormat="false" ht="26.25" hidden="false" customHeight="true" outlineLevel="0" collapsed="false">
      <c r="A2" s="262" t="s">
        <v>189</v>
      </c>
      <c r="B2" s="262"/>
      <c r="C2" s="262"/>
      <c r="D2" s="262"/>
      <c r="E2" s="262"/>
      <c r="F2" s="262"/>
      <c r="G2" s="262"/>
      <c r="H2" s="262"/>
      <c r="I2" s="262"/>
    </row>
    <row r="3" customFormat="false" ht="54" hidden="false" customHeight="false" outlineLevel="0" collapsed="false">
      <c r="A3" s="306" t="s">
        <v>1</v>
      </c>
      <c r="B3" s="306" t="s">
        <v>2</v>
      </c>
      <c r="C3" s="306" t="s">
        <v>3</v>
      </c>
      <c r="D3" s="306" t="s">
        <v>4</v>
      </c>
      <c r="E3" s="306" t="s">
        <v>5</v>
      </c>
      <c r="F3" s="306" t="s">
        <v>505</v>
      </c>
      <c r="G3" s="306" t="s">
        <v>6</v>
      </c>
      <c r="H3" s="306" t="s">
        <v>506</v>
      </c>
      <c r="I3" s="306" t="s">
        <v>8</v>
      </c>
      <c r="K3" s="306" t="s">
        <v>507</v>
      </c>
      <c r="M3" s="307" t="s">
        <v>190</v>
      </c>
      <c r="N3" s="187" t="s">
        <v>901</v>
      </c>
      <c r="O3" s="308" t="s">
        <v>508</v>
      </c>
      <c r="P3" s="308" t="s">
        <v>191</v>
      </c>
      <c r="Q3" s="308" t="s">
        <v>509</v>
      </c>
      <c r="R3" s="308" t="s">
        <v>211</v>
      </c>
    </row>
    <row r="4" customFormat="false" ht="15" hidden="false" customHeight="false" outlineLevel="0" collapsed="false">
      <c r="A4" s="89" t="n">
        <v>1</v>
      </c>
      <c r="B4" s="380" t="s">
        <v>1086</v>
      </c>
      <c r="C4" s="381" t="s">
        <v>168</v>
      </c>
      <c r="D4" s="382" t="s">
        <v>13</v>
      </c>
      <c r="E4" s="383" t="n">
        <v>2</v>
      </c>
      <c r="F4" s="384" t="s">
        <v>511</v>
      </c>
      <c r="G4" s="385" t="n">
        <v>500</v>
      </c>
      <c r="H4" s="386" t="n">
        <f aca="false">IF(E4="","",G4*E4)</f>
        <v>1000</v>
      </c>
      <c r="I4" s="387" t="n">
        <v>46266</v>
      </c>
      <c r="J4" s="268"/>
      <c r="K4" s="269" t="n">
        <f aca="false">IF( F4="EUR", H4 * $K$1, H4)</f>
        <v>4350</v>
      </c>
      <c r="L4" s="20"/>
      <c r="M4" s="270" t="s">
        <v>512</v>
      </c>
      <c r="N4" s="355" t="s">
        <v>915</v>
      </c>
      <c r="O4" s="271" t="s">
        <v>1087</v>
      </c>
      <c r="P4" s="272" t="n">
        <v>26007202</v>
      </c>
      <c r="Q4" s="287" t="s">
        <v>514</v>
      </c>
      <c r="R4" s="311"/>
    </row>
    <row r="5" customFormat="false" ht="15" hidden="false" customHeight="false" outlineLevel="0" collapsed="false">
      <c r="A5" s="89" t="n">
        <v>2</v>
      </c>
      <c r="B5" s="380" t="s">
        <v>866</v>
      </c>
      <c r="C5" s="381" t="s">
        <v>168</v>
      </c>
      <c r="D5" s="382" t="s">
        <v>13</v>
      </c>
      <c r="E5" s="383" t="n">
        <v>2.6</v>
      </c>
      <c r="F5" s="388" t="s">
        <v>511</v>
      </c>
      <c r="G5" s="385" t="n">
        <v>1000</v>
      </c>
      <c r="H5" s="386" t="n">
        <f aca="false">IF(E5="","",G5*E5)</f>
        <v>2600</v>
      </c>
      <c r="I5" s="387" t="n">
        <v>46266</v>
      </c>
      <c r="J5" s="38"/>
      <c r="K5" s="269" t="n">
        <f aca="false">IF( F5="EUR", H5 * $K$1, H5)</f>
        <v>11310</v>
      </c>
      <c r="L5" s="38"/>
      <c r="M5" s="270" t="s">
        <v>512</v>
      </c>
      <c r="N5" s="355" t="s">
        <v>915</v>
      </c>
      <c r="O5" s="271" t="s">
        <v>1087</v>
      </c>
      <c r="P5" s="312" t="s">
        <v>1088</v>
      </c>
      <c r="Q5" s="287" t="s">
        <v>514</v>
      </c>
      <c r="R5" s="311"/>
    </row>
    <row r="6" customFormat="false" ht="26.25" hidden="false" customHeight="true" outlineLevel="0" collapsed="false">
      <c r="A6" s="89" t="n">
        <v>3</v>
      </c>
      <c r="B6" s="389" t="s">
        <v>1089</v>
      </c>
      <c r="C6" s="381" t="s">
        <v>327</v>
      </c>
      <c r="D6" s="382" t="s">
        <v>13</v>
      </c>
      <c r="E6" s="383" t="n">
        <v>2.2</v>
      </c>
      <c r="F6" s="388" t="s">
        <v>511</v>
      </c>
      <c r="G6" s="385" t="n">
        <v>1275</v>
      </c>
      <c r="H6" s="386" t="n">
        <f aca="false">IF(E6="","",G6*E6)</f>
        <v>2805</v>
      </c>
      <c r="I6" s="387" t="n">
        <v>46266</v>
      </c>
      <c r="J6" s="38"/>
      <c r="K6" s="269" t="n">
        <f aca="false">IF( F6="EUR", H6 * $K$1, H6)</f>
        <v>12201.75</v>
      </c>
      <c r="L6" s="38"/>
      <c r="M6" s="270" t="s">
        <v>512</v>
      </c>
      <c r="N6" s="355" t="s">
        <v>915</v>
      </c>
      <c r="O6" s="271" t="s">
        <v>1087</v>
      </c>
      <c r="P6" s="312" t="n">
        <v>26007204</v>
      </c>
      <c r="Q6" s="287" t="s">
        <v>514</v>
      </c>
      <c r="R6" s="311"/>
    </row>
    <row r="7" customFormat="false" ht="15" hidden="false" customHeight="false" outlineLevel="0" collapsed="false">
      <c r="A7" s="89" t="n">
        <v>4</v>
      </c>
      <c r="B7" s="389" t="s">
        <v>1090</v>
      </c>
      <c r="C7" s="390" t="s">
        <v>106</v>
      </c>
      <c r="D7" s="382" t="s">
        <v>20</v>
      </c>
      <c r="E7" s="383" t="n">
        <v>13</v>
      </c>
      <c r="F7" s="384" t="s">
        <v>521</v>
      </c>
      <c r="G7" s="391" t="n">
        <v>350</v>
      </c>
      <c r="H7" s="386" t="n">
        <f aca="false">IF(E7="","",G7*E7)</f>
        <v>4550</v>
      </c>
      <c r="I7" s="387" t="n">
        <v>46268</v>
      </c>
      <c r="J7" s="268"/>
      <c r="K7" s="269" t="n">
        <f aca="false">IF( F7="EUR", H7 * $K$1, H7)</f>
        <v>4550</v>
      </c>
      <c r="L7" s="20"/>
      <c r="M7" s="270" t="s">
        <v>512</v>
      </c>
      <c r="N7" s="355" t="s">
        <v>915</v>
      </c>
      <c r="O7" s="271" t="s">
        <v>1091</v>
      </c>
      <c r="P7" s="392" t="s">
        <v>1092</v>
      </c>
      <c r="Q7" s="287" t="s">
        <v>514</v>
      </c>
      <c r="R7" s="339"/>
    </row>
    <row r="8" customFormat="false" ht="27" hidden="false" customHeight="false" outlineLevel="0" collapsed="false">
      <c r="A8" s="89" t="n">
        <v>5</v>
      </c>
      <c r="B8" s="393" t="s">
        <v>763</v>
      </c>
      <c r="C8" s="390" t="s">
        <v>23</v>
      </c>
      <c r="D8" s="382" t="s">
        <v>95</v>
      </c>
      <c r="E8" s="383" t="n">
        <v>3</v>
      </c>
      <c r="F8" s="388" t="s">
        <v>511</v>
      </c>
      <c r="G8" s="391" t="n">
        <v>2000</v>
      </c>
      <c r="H8" s="386" t="n">
        <f aca="false">IF(E8="","",G8*E8)</f>
        <v>6000</v>
      </c>
      <c r="I8" s="387" t="n">
        <v>46268</v>
      </c>
      <c r="J8" s="268"/>
      <c r="K8" s="269" t="n">
        <f aca="false">IF( F8="EUR", H8 * $K$1, H8)</f>
        <v>26100</v>
      </c>
      <c r="L8" s="20"/>
      <c r="M8" s="270" t="s">
        <v>512</v>
      </c>
      <c r="N8" s="355" t="s">
        <v>1093</v>
      </c>
      <c r="O8" s="271" t="s">
        <v>1094</v>
      </c>
      <c r="P8" s="392" t="s">
        <v>1095</v>
      </c>
      <c r="Q8" s="287" t="s">
        <v>514</v>
      </c>
      <c r="R8" s="311" t="s">
        <v>1096</v>
      </c>
    </row>
    <row r="9" customFormat="false" ht="27" hidden="false" customHeight="false" outlineLevel="0" collapsed="false">
      <c r="A9" s="89" t="n">
        <v>6</v>
      </c>
      <c r="B9" s="393" t="s">
        <v>763</v>
      </c>
      <c r="C9" s="390" t="s">
        <v>23</v>
      </c>
      <c r="D9" s="382" t="s">
        <v>95</v>
      </c>
      <c r="E9" s="383" t="n">
        <v>3</v>
      </c>
      <c r="F9" s="388" t="s">
        <v>511</v>
      </c>
      <c r="G9" s="391" t="n">
        <v>1000</v>
      </c>
      <c r="H9" s="386" t="n">
        <f aca="false">IF(E9="","",G9*E9)</f>
        <v>3000</v>
      </c>
      <c r="I9" s="387" t="n">
        <v>46272</v>
      </c>
      <c r="J9" s="268"/>
      <c r="K9" s="269" t="n">
        <f aca="false">IF( F9="EUR", H9 * $K$1, H9)</f>
        <v>13050</v>
      </c>
      <c r="L9" s="20"/>
      <c r="M9" s="270" t="s">
        <v>512</v>
      </c>
      <c r="N9" s="355" t="s">
        <v>1093</v>
      </c>
      <c r="O9" s="271" t="s">
        <v>1094</v>
      </c>
      <c r="P9" s="394" t="s">
        <v>1097</v>
      </c>
      <c r="Q9" s="287" t="s">
        <v>514</v>
      </c>
      <c r="R9" s="339"/>
    </row>
    <row r="10" customFormat="false" ht="15" hidden="false" customHeight="false" outlineLevel="0" collapsed="false">
      <c r="A10" s="89" t="n">
        <v>7</v>
      </c>
      <c r="B10" s="395" t="s">
        <v>606</v>
      </c>
      <c r="C10" s="381" t="s">
        <v>65</v>
      </c>
      <c r="D10" s="382" t="s">
        <v>607</v>
      </c>
      <c r="E10" s="383" t="n">
        <v>2.93</v>
      </c>
      <c r="F10" s="384" t="s">
        <v>511</v>
      </c>
      <c r="G10" s="385" t="n">
        <v>1000</v>
      </c>
      <c r="H10" s="386" t="n">
        <f aca="false">IF(E10="","",G10*E10)</f>
        <v>2930</v>
      </c>
      <c r="I10" s="387" t="n">
        <v>46275</v>
      </c>
      <c r="J10" s="268"/>
      <c r="K10" s="269" t="n">
        <f aca="false">IF( F10="EUR", H10 * $K$1, H10)</f>
        <v>12745.5</v>
      </c>
      <c r="L10" s="20"/>
      <c r="M10" s="270" t="s">
        <v>512</v>
      </c>
      <c r="N10" s="355" t="s">
        <v>915</v>
      </c>
      <c r="O10" s="271" t="s">
        <v>1098</v>
      </c>
      <c r="P10" s="272" t="n">
        <v>1308054</v>
      </c>
      <c r="Q10" s="287" t="s">
        <v>514</v>
      </c>
      <c r="R10" s="339"/>
    </row>
    <row r="11" customFormat="false" ht="15" hidden="false" customHeight="false" outlineLevel="0" collapsed="false">
      <c r="A11" s="89" t="n">
        <v>8</v>
      </c>
      <c r="B11" s="395" t="s">
        <v>1099</v>
      </c>
      <c r="C11" s="381" t="s">
        <v>136</v>
      </c>
      <c r="D11" s="382" t="s">
        <v>37</v>
      </c>
      <c r="E11" s="383" t="n">
        <v>5.3</v>
      </c>
      <c r="F11" s="384" t="s">
        <v>521</v>
      </c>
      <c r="G11" s="385" t="n">
        <v>1004</v>
      </c>
      <c r="H11" s="386" t="n">
        <f aca="false">IF(E11="","",G11*E11)</f>
        <v>5321.2</v>
      </c>
      <c r="I11" s="387" t="n">
        <v>46276</v>
      </c>
      <c r="J11" s="268"/>
      <c r="K11" s="269" t="n">
        <f aca="false">IF( F11="EUR", H11 * $K$1, H11)</f>
        <v>5321.2</v>
      </c>
      <c r="L11" s="20"/>
      <c r="M11" s="270" t="s">
        <v>512</v>
      </c>
      <c r="N11" s="355" t="s">
        <v>1093</v>
      </c>
      <c r="O11" s="271" t="s">
        <v>1100</v>
      </c>
      <c r="P11" s="272" t="s">
        <v>1101</v>
      </c>
      <c r="Q11" s="287" t="s">
        <v>514</v>
      </c>
      <c r="R11" s="339"/>
    </row>
    <row r="12" customFormat="false" ht="15" hidden="false" customHeight="false" outlineLevel="0" collapsed="false">
      <c r="A12" s="89" t="n">
        <v>9</v>
      </c>
      <c r="B12" s="396" t="s">
        <v>356</v>
      </c>
      <c r="C12" s="397" t="s">
        <v>16</v>
      </c>
      <c r="D12" s="382" t="s">
        <v>20</v>
      </c>
      <c r="E12" s="383" t="n">
        <v>10.65</v>
      </c>
      <c r="F12" s="388" t="s">
        <v>521</v>
      </c>
      <c r="G12" s="385" t="n">
        <v>1000</v>
      </c>
      <c r="H12" s="386" t="n">
        <f aca="false">IF(E12="","",G12*E12)</f>
        <v>10650</v>
      </c>
      <c r="I12" s="387" t="n">
        <v>46280</v>
      </c>
      <c r="J12" s="268"/>
      <c r="K12" s="269" t="n">
        <f aca="false">IF( F12="EUR", H12 * $K$1, H12)</f>
        <v>10650</v>
      </c>
      <c r="L12" s="20"/>
      <c r="M12" s="270" t="s">
        <v>512</v>
      </c>
      <c r="N12" s="355" t="s">
        <v>915</v>
      </c>
      <c r="O12" s="271" t="s">
        <v>1102</v>
      </c>
      <c r="P12" s="398" t="s">
        <v>1103</v>
      </c>
      <c r="Q12" s="287" t="s">
        <v>514</v>
      </c>
      <c r="R12" s="170"/>
    </row>
    <row r="13" customFormat="false" ht="15" hidden="false" customHeight="false" outlineLevel="0" collapsed="false">
      <c r="A13" s="89" t="n">
        <v>10</v>
      </c>
      <c r="B13" s="395" t="s">
        <v>1104</v>
      </c>
      <c r="C13" s="381" t="s">
        <v>65</v>
      </c>
      <c r="D13" s="382" t="s">
        <v>20</v>
      </c>
      <c r="E13" s="383" t="n">
        <v>6.3</v>
      </c>
      <c r="F13" s="384" t="s">
        <v>521</v>
      </c>
      <c r="G13" s="385" t="n">
        <v>1375</v>
      </c>
      <c r="H13" s="386" t="n">
        <f aca="false">IF(E13="","",G13*E13)</f>
        <v>8662.5</v>
      </c>
      <c r="I13" s="387" t="n">
        <v>46280</v>
      </c>
      <c r="J13" s="38"/>
      <c r="K13" s="269" t="n">
        <f aca="false">IF( F13="EUR", H13 * $K$1, H13)</f>
        <v>8662.5</v>
      </c>
      <c r="L13" s="38"/>
      <c r="M13" s="270" t="s">
        <v>512</v>
      </c>
      <c r="N13" s="355" t="s">
        <v>915</v>
      </c>
      <c r="O13" s="277" t="s">
        <v>1105</v>
      </c>
      <c r="P13" s="312" t="s">
        <v>1106</v>
      </c>
      <c r="Q13" s="287" t="s">
        <v>514</v>
      </c>
      <c r="R13" s="311"/>
    </row>
    <row r="14" customFormat="false" ht="18" hidden="false" customHeight="true" outlineLevel="0" collapsed="false">
      <c r="A14" s="89" t="n">
        <v>11</v>
      </c>
      <c r="B14" s="399" t="s">
        <v>177</v>
      </c>
      <c r="C14" s="400" t="s">
        <v>525</v>
      </c>
      <c r="D14" s="401" t="s">
        <v>20</v>
      </c>
      <c r="E14" s="402" t="n">
        <v>10.6</v>
      </c>
      <c r="F14" s="403" t="s">
        <v>521</v>
      </c>
      <c r="G14" s="404" t="n">
        <v>1250</v>
      </c>
      <c r="H14" s="405" t="n">
        <f aca="false">IF(E14="","",G14*E14)</f>
        <v>13250</v>
      </c>
      <c r="I14" s="406" t="n">
        <v>46288</v>
      </c>
      <c r="J14" s="268"/>
      <c r="K14" s="269" t="n">
        <f aca="false">IF( F14="EUR", H14 * $K$1, H14)</f>
        <v>13250</v>
      </c>
      <c r="L14" s="20"/>
      <c r="M14" s="270" t="s">
        <v>512</v>
      </c>
      <c r="N14" s="355" t="s">
        <v>915</v>
      </c>
      <c r="O14" s="277" t="s">
        <v>1107</v>
      </c>
      <c r="P14" s="312" t="s">
        <v>1108</v>
      </c>
      <c r="Q14" s="311" t="s">
        <v>514</v>
      </c>
      <c r="R14" s="311"/>
    </row>
    <row r="15" customFormat="false" ht="15" hidden="false" customHeight="false" outlineLevel="0" collapsed="false">
      <c r="A15" s="89" t="n">
        <v>12</v>
      </c>
      <c r="B15" s="407"/>
      <c r="C15" s="400"/>
      <c r="D15" s="190"/>
      <c r="E15" s="204"/>
      <c r="F15" s="213"/>
      <c r="G15" s="251"/>
      <c r="H15" s="386" t="str">
        <f aca="false">IF(E15="","",G15*E15)</f>
        <v/>
      </c>
      <c r="I15" s="194"/>
      <c r="J15" s="268"/>
      <c r="K15" s="269" t="str">
        <f aca="false">IF( F15="EUR", H15 * $K$1, H15)</f>
        <v/>
      </c>
      <c r="L15" s="20"/>
      <c r="M15" s="270"/>
      <c r="N15" s="355"/>
      <c r="O15" s="271"/>
      <c r="P15" s="272"/>
      <c r="Q15" s="273"/>
      <c r="R15" s="170"/>
    </row>
    <row r="16" customFormat="false" ht="15" hidden="false" customHeight="false" outlineLevel="0" collapsed="false">
      <c r="A16" s="89" t="n">
        <v>13</v>
      </c>
      <c r="B16" s="395"/>
      <c r="C16" s="203"/>
      <c r="D16" s="190"/>
      <c r="E16" s="204"/>
      <c r="F16" s="192"/>
      <c r="G16" s="251"/>
      <c r="H16" s="386"/>
      <c r="I16" s="194"/>
      <c r="J16" s="268"/>
      <c r="K16" s="269" t="n">
        <f aca="false">IF( F16="EUR", H16 * $K$1, H16)</f>
        <v>0</v>
      </c>
      <c r="L16" s="20"/>
      <c r="M16" s="270"/>
      <c r="N16" s="355"/>
      <c r="O16" s="271"/>
      <c r="P16" s="272"/>
      <c r="Q16" s="273"/>
      <c r="R16" s="273"/>
    </row>
    <row r="17" customFormat="false" ht="15" hidden="false" customHeight="false" outlineLevel="0" collapsed="false">
      <c r="A17" s="89" t="n">
        <v>14</v>
      </c>
      <c r="B17" s="399"/>
      <c r="C17" s="400"/>
      <c r="D17" s="190"/>
      <c r="E17" s="204"/>
      <c r="F17" s="205"/>
      <c r="G17" s="251"/>
      <c r="H17" s="386"/>
      <c r="I17" s="194"/>
      <c r="J17" s="38"/>
      <c r="K17" s="269" t="n">
        <f aca="false">IF( F17="EUR", H17 * $K$1, H17)</f>
        <v>0</v>
      </c>
      <c r="L17" s="38"/>
      <c r="M17" s="270"/>
      <c r="N17" s="355"/>
      <c r="O17" s="277"/>
      <c r="P17" s="312"/>
      <c r="Q17" s="311"/>
      <c r="R17" s="311"/>
    </row>
    <row r="18" customFormat="false" ht="15" hidden="false" customHeight="false" outlineLevel="0" collapsed="false">
      <c r="A18" s="89" t="n">
        <v>15</v>
      </c>
      <c r="B18" s="396"/>
      <c r="C18" s="400"/>
      <c r="D18" s="190"/>
      <c r="E18" s="204"/>
      <c r="F18" s="205"/>
      <c r="G18" s="251"/>
      <c r="H18" s="193"/>
      <c r="I18" s="194"/>
      <c r="J18" s="268"/>
      <c r="K18" s="269" t="n">
        <f aca="false">IF( F18="EUR", H18 * $K$1, H18)</f>
        <v>0</v>
      </c>
      <c r="L18" s="20"/>
      <c r="M18" s="270"/>
      <c r="N18" s="377"/>
      <c r="O18" s="271"/>
      <c r="P18" s="272"/>
      <c r="Q18" s="273"/>
      <c r="R18" s="408"/>
    </row>
    <row r="19" customFormat="false" ht="16.5" hidden="false" customHeight="false" outlineLevel="0" collapsed="false">
      <c r="A19" s="21"/>
      <c r="B19" s="295"/>
      <c r="C19" s="292"/>
      <c r="D19" s="292"/>
      <c r="E19" s="293"/>
      <c r="F19" s="294"/>
      <c r="G19" s="295"/>
      <c r="H19" s="296"/>
      <c r="I19" s="297"/>
      <c r="J19" s="51"/>
      <c r="K19" s="298"/>
      <c r="M19" s="299"/>
      <c r="N19" s="299"/>
      <c r="O19" s="300"/>
      <c r="P19" s="19"/>
      <c r="Q19" s="300"/>
    </row>
    <row r="20" customFormat="false" ht="19.5" hidden="false" customHeight="false" outlineLevel="0" collapsed="false">
      <c r="B20" s="19"/>
      <c r="C20" s="19"/>
      <c r="D20" s="19"/>
      <c r="E20" s="19"/>
      <c r="F20" s="19"/>
      <c r="G20" s="19"/>
      <c r="H20" s="19"/>
      <c r="I20" s="19"/>
      <c r="K20" s="256" t="n">
        <f aca="false">SUM(K4:K19)</f>
        <v>122190.95</v>
      </c>
    </row>
    <row r="21" customFormat="false" ht="15" hidden="false" customHeight="false" outlineLevel="0" collapsed="false">
      <c r="K21" s="18"/>
    </row>
    <row r="22" customFormat="false" ht="26.25" hidden="false" customHeight="true" outlineLevel="0" collapsed="false">
      <c r="A22" s="262" t="s">
        <v>210</v>
      </c>
      <c r="B22" s="262"/>
      <c r="C22" s="262"/>
      <c r="D22" s="262"/>
      <c r="E22" s="262"/>
      <c r="F22" s="262"/>
      <c r="G22" s="262"/>
      <c r="H22" s="262"/>
      <c r="I22" s="262"/>
    </row>
    <row r="23" customFormat="false" ht="54" hidden="false" customHeight="false" outlineLevel="0" collapsed="false">
      <c r="A23" s="185" t="s">
        <v>1</v>
      </c>
      <c r="B23" s="185" t="s">
        <v>2</v>
      </c>
      <c r="C23" s="185" t="s">
        <v>3</v>
      </c>
      <c r="D23" s="185" t="s">
        <v>4</v>
      </c>
      <c r="E23" s="185" t="s">
        <v>5</v>
      </c>
      <c r="F23" s="185" t="s">
        <v>505</v>
      </c>
      <c r="G23" s="185" t="s">
        <v>6</v>
      </c>
      <c r="H23" s="185" t="s">
        <v>506</v>
      </c>
      <c r="I23" s="185" t="s">
        <v>8</v>
      </c>
      <c r="K23" s="186" t="s">
        <v>507</v>
      </c>
      <c r="M23" s="187" t="s">
        <v>190</v>
      </c>
      <c r="N23" s="187" t="s">
        <v>901</v>
      </c>
      <c r="O23" s="139" t="s">
        <v>558</v>
      </c>
      <c r="P23" s="139" t="s">
        <v>191</v>
      </c>
      <c r="Q23" s="139" t="s">
        <v>509</v>
      </c>
      <c r="R23" s="139" t="s">
        <v>211</v>
      </c>
    </row>
    <row r="24" customFormat="false" ht="15" hidden="false" customHeight="false" outlineLevel="0" collapsed="false">
      <c r="A24" s="12" t="n">
        <v>1</v>
      </c>
      <c r="B24" s="337" t="s">
        <v>1048</v>
      </c>
      <c r="C24" s="39" t="s">
        <v>106</v>
      </c>
      <c r="D24" s="264" t="s">
        <v>1049</v>
      </c>
      <c r="E24" s="171" t="n">
        <v>14.99</v>
      </c>
      <c r="F24" s="275" t="s">
        <v>511</v>
      </c>
      <c r="G24" s="39" t="n">
        <v>25</v>
      </c>
      <c r="H24" s="222" t="n">
        <f aca="false">IF(E24="","",G24*E24)</f>
        <v>374.75</v>
      </c>
      <c r="I24" s="348" t="n">
        <v>46267</v>
      </c>
      <c r="K24" s="223" t="n">
        <f aca="false">IF( F24="EUR", H24 * $K$1, H24)</f>
        <v>1630.1625</v>
      </c>
      <c r="M24" s="270" t="s">
        <v>512</v>
      </c>
      <c r="N24" s="284" t="s">
        <v>915</v>
      </c>
      <c r="O24" s="287" t="s">
        <v>1109</v>
      </c>
      <c r="P24" s="270" t="s">
        <v>1110</v>
      </c>
      <c r="Q24" s="287" t="s">
        <v>514</v>
      </c>
      <c r="R24" s="119"/>
    </row>
    <row r="25" customFormat="false" ht="15" hidden="false" customHeight="false" outlineLevel="0" collapsed="false">
      <c r="A25" s="12"/>
      <c r="B25" s="337" t="s">
        <v>1111</v>
      </c>
      <c r="C25" s="39" t="s">
        <v>943</v>
      </c>
      <c r="D25" s="264" t="s">
        <v>212</v>
      </c>
      <c r="E25" s="171" t="n">
        <v>38.5</v>
      </c>
      <c r="F25" s="275" t="s">
        <v>521</v>
      </c>
      <c r="G25" s="39" t="n">
        <v>12.1</v>
      </c>
      <c r="H25" s="222" t="n">
        <f aca="false">IF(E25="","",G25*E25)</f>
        <v>465.85</v>
      </c>
      <c r="I25" s="348" t="n">
        <v>46272</v>
      </c>
      <c r="K25" s="223" t="n">
        <f aca="false">IF( F25="EUR", H25 * $K$1, H25)</f>
        <v>465.85</v>
      </c>
      <c r="M25" s="270" t="s">
        <v>512</v>
      </c>
      <c r="N25" s="284" t="s">
        <v>915</v>
      </c>
      <c r="O25" s="287"/>
      <c r="P25" s="270" t="s">
        <v>1112</v>
      </c>
      <c r="Q25" s="287" t="s">
        <v>514</v>
      </c>
      <c r="R25" s="119"/>
    </row>
    <row r="26" customFormat="false" ht="15" hidden="false" customHeight="false" outlineLevel="0" collapsed="false">
      <c r="A26" s="12"/>
      <c r="B26" s="337" t="s">
        <v>1113</v>
      </c>
      <c r="C26" s="39" t="s">
        <v>943</v>
      </c>
      <c r="D26" s="264" t="s">
        <v>212</v>
      </c>
      <c r="E26" s="171" t="n">
        <v>35</v>
      </c>
      <c r="F26" s="275" t="s">
        <v>521</v>
      </c>
      <c r="G26" s="39" t="n">
        <v>10.9</v>
      </c>
      <c r="H26" s="222" t="n">
        <f aca="false">IF(E26="","",G26*E26)</f>
        <v>381.5</v>
      </c>
      <c r="I26" s="348" t="n">
        <v>46272</v>
      </c>
      <c r="K26" s="223" t="n">
        <f aca="false">IF( F26="EUR", H26 * $K$1, H26)</f>
        <v>381.5</v>
      </c>
      <c r="M26" s="270" t="s">
        <v>512</v>
      </c>
      <c r="N26" s="284" t="s">
        <v>915</v>
      </c>
      <c r="O26" s="287"/>
      <c r="P26" s="270" t="s">
        <v>1112</v>
      </c>
      <c r="Q26" s="287" t="s">
        <v>514</v>
      </c>
      <c r="R26" s="119"/>
    </row>
    <row r="27" customFormat="false" ht="15" hidden="false" customHeight="false" outlineLevel="0" collapsed="false">
      <c r="A27" s="12" t="n">
        <v>6</v>
      </c>
      <c r="B27" s="337" t="s">
        <v>1114</v>
      </c>
      <c r="C27" s="39" t="s">
        <v>16</v>
      </c>
      <c r="D27" s="264" t="s">
        <v>306</v>
      </c>
      <c r="E27" s="171" t="n">
        <v>19.5</v>
      </c>
      <c r="F27" s="275" t="s">
        <v>521</v>
      </c>
      <c r="G27" s="39" t="n">
        <v>25</v>
      </c>
      <c r="H27" s="222" t="n">
        <f aca="false">IF(E27="","",G27*E27)</f>
        <v>487.5</v>
      </c>
      <c r="I27" s="168" t="n">
        <v>46273</v>
      </c>
      <c r="J27" s="20"/>
      <c r="K27" s="269" t="n">
        <f aca="false">IF( F27="EUR", H27 * $K$1, H27)</f>
        <v>487.5</v>
      </c>
      <c r="L27" s="20"/>
      <c r="M27" s="270" t="s">
        <v>512</v>
      </c>
      <c r="N27" s="284" t="s">
        <v>915</v>
      </c>
      <c r="O27" s="339"/>
      <c r="P27" s="336" t="s">
        <v>1115</v>
      </c>
      <c r="Q27" s="287" t="s">
        <v>514</v>
      </c>
      <c r="R27" s="170"/>
    </row>
    <row r="28" customFormat="false" ht="15" hidden="false" customHeight="false" outlineLevel="0" collapsed="false">
      <c r="A28" s="12" t="n">
        <v>2</v>
      </c>
      <c r="B28" s="337" t="s">
        <v>1116</v>
      </c>
      <c r="C28" s="39" t="s">
        <v>16</v>
      </c>
      <c r="D28" s="264" t="s">
        <v>306</v>
      </c>
      <c r="E28" s="171" t="n">
        <v>31.8</v>
      </c>
      <c r="F28" s="275" t="s">
        <v>521</v>
      </c>
      <c r="G28" s="39" t="n">
        <v>25</v>
      </c>
      <c r="H28" s="222" t="n">
        <f aca="false">IF(E28="","",G28*E28)</f>
        <v>795</v>
      </c>
      <c r="I28" s="168" t="n">
        <v>46275</v>
      </c>
      <c r="K28" s="223" t="n">
        <f aca="false">IF( F28="EUR", H28 * $K$1, H28)</f>
        <v>795</v>
      </c>
      <c r="M28" s="270" t="s">
        <v>512</v>
      </c>
      <c r="N28" s="284" t="s">
        <v>915</v>
      </c>
      <c r="O28" s="287"/>
      <c r="P28" s="270" t="s">
        <v>1117</v>
      </c>
      <c r="Q28" s="287" t="s">
        <v>514</v>
      </c>
      <c r="R28" s="119"/>
    </row>
    <row r="29" customFormat="false" ht="15" hidden="false" customHeight="false" outlineLevel="0" collapsed="false">
      <c r="A29" s="12" t="n">
        <v>3</v>
      </c>
      <c r="B29" s="337" t="s">
        <v>1118</v>
      </c>
      <c r="C29" s="39" t="s">
        <v>16</v>
      </c>
      <c r="D29" s="264" t="s">
        <v>306</v>
      </c>
      <c r="E29" s="171" t="n">
        <v>31.8</v>
      </c>
      <c r="F29" s="275" t="s">
        <v>521</v>
      </c>
      <c r="G29" s="89" t="n">
        <v>25</v>
      </c>
      <c r="H29" s="222" t="n">
        <f aca="false">IF(E29="","",G29*E29)</f>
        <v>795</v>
      </c>
      <c r="I29" s="348" t="n">
        <v>46275</v>
      </c>
      <c r="K29" s="223" t="n">
        <f aca="false">IF( F29="EUR", H29 * $K$1, H29)</f>
        <v>795</v>
      </c>
      <c r="M29" s="270" t="s">
        <v>512</v>
      </c>
      <c r="N29" s="284" t="s">
        <v>915</v>
      </c>
      <c r="O29" s="339"/>
      <c r="P29" s="270" t="s">
        <v>1117</v>
      </c>
      <c r="Q29" s="287" t="s">
        <v>514</v>
      </c>
      <c r="R29" s="119"/>
    </row>
    <row r="30" customFormat="false" ht="15" hidden="false" customHeight="false" outlineLevel="0" collapsed="false">
      <c r="A30" s="12" t="n">
        <v>4</v>
      </c>
      <c r="B30" s="332" t="s">
        <v>1119</v>
      </c>
      <c r="C30" s="151" t="s">
        <v>23</v>
      </c>
      <c r="D30" s="264" t="s">
        <v>306</v>
      </c>
      <c r="E30" s="171" t="n">
        <v>21.55</v>
      </c>
      <c r="F30" s="275" t="s">
        <v>521</v>
      </c>
      <c r="G30" s="89" t="n">
        <v>50</v>
      </c>
      <c r="H30" s="222" t="n">
        <f aca="false">IF(E30="","",G30*E30)</f>
        <v>1077.5</v>
      </c>
      <c r="I30" s="348" t="n">
        <v>46279</v>
      </c>
      <c r="K30" s="223" t="n">
        <f aca="false">IF( F30="EUR", H30 * $K$1, H30)</f>
        <v>1077.5</v>
      </c>
      <c r="M30" s="270" t="s">
        <v>512</v>
      </c>
      <c r="N30" s="284" t="s">
        <v>915</v>
      </c>
      <c r="O30" s="283"/>
      <c r="P30" s="336" t="s">
        <v>1120</v>
      </c>
      <c r="Q30" s="287" t="s">
        <v>514</v>
      </c>
      <c r="R30" s="119"/>
    </row>
    <row r="31" customFormat="false" ht="15" hidden="false" customHeight="false" outlineLevel="0" collapsed="false">
      <c r="A31" s="12" t="n">
        <v>5</v>
      </c>
      <c r="B31" s="309" t="s">
        <v>829</v>
      </c>
      <c r="C31" s="151" t="s">
        <v>23</v>
      </c>
      <c r="D31" s="264" t="s">
        <v>306</v>
      </c>
      <c r="E31" s="171" t="n">
        <v>26.5</v>
      </c>
      <c r="F31" s="275" t="s">
        <v>521</v>
      </c>
      <c r="G31" s="39" t="n">
        <v>50</v>
      </c>
      <c r="H31" s="222" t="n">
        <f aca="false">IF(E31="","",G31*E31)</f>
        <v>1325</v>
      </c>
      <c r="I31" s="168" t="n">
        <v>46279</v>
      </c>
      <c r="J31" s="20"/>
      <c r="K31" s="269" t="n">
        <f aca="false">IF( F31="EUR", H31 * $K$1, H31)</f>
        <v>1325</v>
      </c>
      <c r="L31" s="20"/>
      <c r="M31" s="270" t="s">
        <v>512</v>
      </c>
      <c r="N31" s="284" t="s">
        <v>915</v>
      </c>
      <c r="O31" s="339"/>
      <c r="P31" s="336" t="s">
        <v>1120</v>
      </c>
      <c r="Q31" s="287" t="s">
        <v>514</v>
      </c>
      <c r="R31" s="170"/>
    </row>
    <row r="32" customFormat="false" ht="15" hidden="false" customHeight="false" outlineLevel="0" collapsed="false">
      <c r="A32" s="12" t="n">
        <v>6</v>
      </c>
      <c r="B32" s="337" t="s">
        <v>1121</v>
      </c>
      <c r="C32" s="39" t="s">
        <v>23</v>
      </c>
      <c r="D32" s="264" t="s">
        <v>212</v>
      </c>
      <c r="E32" s="171" t="n">
        <v>37.04</v>
      </c>
      <c r="F32" s="275" t="s">
        <v>521</v>
      </c>
      <c r="G32" s="39" t="n">
        <v>20</v>
      </c>
      <c r="H32" s="222" t="n">
        <f aca="false">IF(E32="","",G32*E32)</f>
        <v>740.8</v>
      </c>
      <c r="I32" s="168" t="n">
        <v>46283</v>
      </c>
      <c r="J32" s="20"/>
      <c r="K32" s="269" t="n">
        <f aca="false">IF( F32="EUR", H32 * $K$1, H32)</f>
        <v>740.8</v>
      </c>
      <c r="L32" s="20"/>
      <c r="M32" s="270" t="s">
        <v>512</v>
      </c>
      <c r="N32" s="284" t="s">
        <v>915</v>
      </c>
      <c r="O32" s="339"/>
      <c r="P32" s="329" t="s">
        <v>1122</v>
      </c>
      <c r="Q32" s="287" t="s">
        <v>514</v>
      </c>
      <c r="R32" s="170"/>
    </row>
    <row r="33" customFormat="false" ht="15" hidden="false" customHeight="false" outlineLevel="0" collapsed="false">
      <c r="A33" s="12" t="n">
        <v>7</v>
      </c>
      <c r="B33" s="338" t="s">
        <v>1123</v>
      </c>
      <c r="C33" s="349" t="s">
        <v>23</v>
      </c>
      <c r="D33" s="264" t="s">
        <v>212</v>
      </c>
      <c r="E33" s="171" t="n">
        <v>32.3</v>
      </c>
      <c r="F33" s="275" t="s">
        <v>521</v>
      </c>
      <c r="G33" s="39" t="n">
        <v>25</v>
      </c>
      <c r="H33" s="222" t="n">
        <f aca="false">IF(E33="","",G33*E33)</f>
        <v>807.5</v>
      </c>
      <c r="I33" s="350" t="n">
        <v>46286</v>
      </c>
      <c r="K33" s="269" t="n">
        <f aca="false">IF( F33="EUR", H33 * $K$1, H33)</f>
        <v>807.5</v>
      </c>
      <c r="M33" s="270" t="s">
        <v>512</v>
      </c>
      <c r="N33" s="284" t="s">
        <v>915</v>
      </c>
      <c r="O33" s="339"/>
      <c r="P33" s="329" t="s">
        <v>1124</v>
      </c>
      <c r="Q33" s="287" t="s">
        <v>514</v>
      </c>
      <c r="R33" s="119"/>
    </row>
    <row r="34" customFormat="false" ht="15" hidden="false" customHeight="false" outlineLevel="0" collapsed="false">
      <c r="A34" s="12" t="n">
        <v>8</v>
      </c>
      <c r="B34" s="409" t="s">
        <v>615</v>
      </c>
      <c r="C34" s="39" t="s">
        <v>23</v>
      </c>
      <c r="D34" s="333" t="s">
        <v>306</v>
      </c>
      <c r="E34" s="171" t="n">
        <v>47</v>
      </c>
      <c r="F34" s="275" t="s">
        <v>521</v>
      </c>
      <c r="G34" s="39" t="n">
        <v>80</v>
      </c>
      <c r="H34" s="222" t="n">
        <f aca="false">IF(E34="","",G34*E34)</f>
        <v>3760</v>
      </c>
      <c r="I34" s="350" t="n">
        <v>46287</v>
      </c>
      <c r="K34" s="269" t="n">
        <f aca="false">IF( F34="EUR", H34 * $K$1, H34)</f>
        <v>3760</v>
      </c>
      <c r="M34" s="270" t="s">
        <v>512</v>
      </c>
      <c r="N34" s="284" t="s">
        <v>915</v>
      </c>
      <c r="O34" s="339"/>
      <c r="P34" s="329" t="s">
        <v>1125</v>
      </c>
      <c r="Q34" s="287" t="s">
        <v>514</v>
      </c>
      <c r="R34" s="119"/>
    </row>
    <row r="35" customFormat="false" ht="15" hidden="false" customHeight="false" outlineLevel="0" collapsed="false">
      <c r="A35" s="12" t="n">
        <v>9</v>
      </c>
      <c r="B35" s="337" t="s">
        <v>1126</v>
      </c>
      <c r="C35" s="39" t="s">
        <v>23</v>
      </c>
      <c r="D35" s="264" t="s">
        <v>212</v>
      </c>
      <c r="E35" s="171" t="n">
        <v>33.35</v>
      </c>
      <c r="F35" s="275" t="s">
        <v>521</v>
      </c>
      <c r="G35" s="39" t="n">
        <v>25</v>
      </c>
      <c r="H35" s="222" t="n">
        <f aca="false">IF(E35="","",G35*E35)</f>
        <v>833.75</v>
      </c>
      <c r="I35" s="350" t="n">
        <v>46288</v>
      </c>
      <c r="K35" s="269" t="n">
        <f aca="false">IF( F35="EUR", H35 * $K$1, H35)</f>
        <v>833.75</v>
      </c>
      <c r="M35" s="270" t="s">
        <v>512</v>
      </c>
      <c r="N35" s="284" t="s">
        <v>915</v>
      </c>
      <c r="O35" s="339"/>
      <c r="P35" s="336"/>
      <c r="Q35" s="287" t="s">
        <v>514</v>
      </c>
      <c r="R35" s="119"/>
    </row>
    <row r="36" customFormat="false" ht="15" hidden="false" customHeight="false" outlineLevel="0" collapsed="false">
      <c r="A36" s="12" t="n">
        <v>10</v>
      </c>
      <c r="B36" s="337" t="s">
        <v>1127</v>
      </c>
      <c r="C36" s="39" t="s">
        <v>23</v>
      </c>
      <c r="D36" s="264" t="s">
        <v>306</v>
      </c>
      <c r="E36" s="171" t="n">
        <v>37.2</v>
      </c>
      <c r="F36" s="275" t="s">
        <v>521</v>
      </c>
      <c r="G36" s="39" t="n">
        <v>25</v>
      </c>
      <c r="H36" s="222" t="n">
        <f aca="false">IF(E36="","",G36*E36)</f>
        <v>930</v>
      </c>
      <c r="I36" s="350" t="n">
        <v>46294</v>
      </c>
      <c r="K36" s="269" t="n">
        <f aca="false">IF( F36="EUR", H36 * $K$1, H36)</f>
        <v>930</v>
      </c>
      <c r="M36" s="270"/>
      <c r="N36" s="284"/>
      <c r="O36" s="339"/>
      <c r="P36" s="336"/>
      <c r="Q36" s="287" t="s">
        <v>514</v>
      </c>
      <c r="R36" s="119"/>
    </row>
    <row r="37" customFormat="false" ht="15" hidden="false" customHeight="false" outlineLevel="0" collapsed="false">
      <c r="A37" s="12" t="n">
        <v>11</v>
      </c>
      <c r="B37" s="410"/>
      <c r="C37" s="39"/>
      <c r="D37" s="264"/>
      <c r="E37" s="171"/>
      <c r="F37" s="275"/>
      <c r="G37" s="39"/>
      <c r="H37" s="222" t="str">
        <f aca="false">IF(E37="", "", G37 * E37)</f>
        <v/>
      </c>
      <c r="I37" s="350"/>
      <c r="K37" s="269" t="str">
        <f aca="false">IF( F37="EUR", H37 * $K$1, H37)</f>
        <v/>
      </c>
      <c r="M37" s="284"/>
      <c r="N37" s="284"/>
      <c r="O37" s="339"/>
      <c r="P37" s="336"/>
      <c r="Q37" s="170"/>
      <c r="R37" s="119"/>
    </row>
    <row r="38" customFormat="false" ht="15.75" hidden="false" customHeight="false" outlineLevel="0" collapsed="false">
      <c r="A38" s="12" t="n">
        <v>12</v>
      </c>
      <c r="B38" s="411"/>
      <c r="C38" s="39"/>
      <c r="D38" s="264"/>
      <c r="E38" s="171"/>
      <c r="F38" s="275"/>
      <c r="G38" s="39"/>
      <c r="H38" s="222" t="str">
        <f aca="false">IF(E38="", "", G38 * E38)</f>
        <v/>
      </c>
      <c r="I38" s="350"/>
      <c r="K38" s="269" t="str">
        <f aca="false">IF( F38="EUR", H38 * $K$1, H38)</f>
        <v/>
      </c>
      <c r="M38" s="284"/>
      <c r="N38" s="284"/>
      <c r="O38" s="339"/>
      <c r="P38" s="339"/>
      <c r="Q38" s="170"/>
      <c r="R38" s="119"/>
    </row>
    <row r="39" customFormat="false" ht="15.75" hidden="false" customHeight="false" outlineLevel="0" collapsed="false">
      <c r="K39" s="236" t="n">
        <f aca="false">SUM(K24:K38)</f>
        <v>14029.5625</v>
      </c>
    </row>
    <row r="41" customFormat="false" ht="28.5" hidden="false" customHeight="false" outlineLevel="0" collapsed="false">
      <c r="A41" s="237" t="s">
        <v>575</v>
      </c>
      <c r="B41" s="237"/>
      <c r="C41" s="237"/>
      <c r="D41" s="237"/>
      <c r="E41" s="237"/>
      <c r="F41" s="237"/>
      <c r="G41" s="237"/>
      <c r="H41" s="237"/>
      <c r="I41" s="237"/>
    </row>
    <row r="42" customFormat="false" ht="45" hidden="false" customHeight="false" outlineLevel="0" collapsed="false">
      <c r="A42" s="185" t="s">
        <v>1</v>
      </c>
      <c r="B42" s="185" t="s">
        <v>2</v>
      </c>
      <c r="C42" s="185" t="s">
        <v>3</v>
      </c>
      <c r="D42" s="185" t="s">
        <v>4</v>
      </c>
      <c r="E42" s="185" t="s">
        <v>5</v>
      </c>
      <c r="F42" s="185" t="s">
        <v>505</v>
      </c>
      <c r="G42" s="185" t="s">
        <v>6</v>
      </c>
      <c r="H42" s="185" t="s">
        <v>506</v>
      </c>
      <c r="I42" s="185" t="s">
        <v>8</v>
      </c>
      <c r="K42" s="186" t="s">
        <v>507</v>
      </c>
      <c r="M42" s="187" t="s">
        <v>190</v>
      </c>
      <c r="N42" s="187"/>
      <c r="O42" s="139" t="s">
        <v>576</v>
      </c>
      <c r="P42" s="139" t="s">
        <v>191</v>
      </c>
      <c r="Q42" s="139" t="s">
        <v>509</v>
      </c>
      <c r="R42" s="139" t="s">
        <v>211</v>
      </c>
    </row>
    <row r="43" customFormat="false" ht="15.75" hidden="false" customHeight="false" outlineLevel="0" collapsed="false">
      <c r="A43" s="119" t="s">
        <v>10</v>
      </c>
      <c r="B43" s="351"/>
      <c r="C43" s="239"/>
      <c r="D43" s="119"/>
      <c r="E43" s="241"/>
      <c r="F43" s="275"/>
      <c r="G43" s="119"/>
      <c r="H43" s="301"/>
      <c r="I43" s="244"/>
      <c r="K43" s="269"/>
      <c r="M43" s="224"/>
      <c r="N43" s="224"/>
      <c r="O43" s="227"/>
      <c r="P43" s="227"/>
      <c r="Q43" s="229"/>
      <c r="R43" s="119"/>
    </row>
    <row r="44" customFormat="false" ht="15" hidden="false" customHeight="false" outlineLevel="0" collapsed="false">
      <c r="A44" s="119" t="s">
        <v>14</v>
      </c>
      <c r="B44" s="240"/>
      <c r="C44" s="119"/>
      <c r="D44" s="119"/>
      <c r="E44" s="119"/>
      <c r="F44" s="119"/>
      <c r="G44" s="119"/>
      <c r="H44" s="119"/>
      <c r="I44" s="244"/>
      <c r="K44" s="223"/>
      <c r="M44" s="17"/>
      <c r="N44" s="17"/>
      <c r="O44" s="121"/>
      <c r="P44" s="121"/>
      <c r="Q44" s="119"/>
      <c r="R44" s="119"/>
    </row>
    <row r="45" customFormat="false" ht="15" hidden="false" customHeight="false" outlineLevel="0" collapsed="false">
      <c r="A45" s="119" t="s">
        <v>18</v>
      </c>
      <c r="B45" s="240"/>
      <c r="C45" s="119"/>
      <c r="D45" s="119"/>
      <c r="E45" s="119"/>
      <c r="F45" s="242"/>
      <c r="G45" s="119"/>
      <c r="H45" s="119"/>
      <c r="I45" s="244"/>
      <c r="K45" s="223"/>
      <c r="M45" s="17"/>
      <c r="N45" s="17"/>
      <c r="O45" s="121"/>
      <c r="P45" s="121"/>
      <c r="Q45" s="119"/>
      <c r="R45" s="119"/>
    </row>
    <row r="46" customFormat="false" ht="15" hidden="false" customHeight="false" outlineLevel="0" collapsed="false">
      <c r="A46" s="119" t="s">
        <v>21</v>
      </c>
      <c r="B46" s="240"/>
      <c r="C46" s="119"/>
      <c r="D46" s="119"/>
      <c r="E46" s="119"/>
      <c r="F46" s="242"/>
      <c r="G46" s="119"/>
      <c r="H46" s="243"/>
      <c r="I46" s="244"/>
      <c r="K46" s="223"/>
      <c r="M46" s="17"/>
      <c r="N46" s="17"/>
      <c r="O46" s="121"/>
      <c r="P46" s="121"/>
      <c r="Q46" s="119"/>
      <c r="R46" s="119"/>
    </row>
    <row r="47" customFormat="false" ht="15.75" hidden="false" customHeight="false" outlineLevel="0" collapsed="false">
      <c r="A47" s="119" t="s">
        <v>25</v>
      </c>
      <c r="B47" s="240"/>
      <c r="C47" s="119"/>
      <c r="D47" s="119"/>
      <c r="E47" s="242"/>
      <c r="F47" s="242"/>
      <c r="G47" s="119"/>
      <c r="H47" s="243"/>
      <c r="I47" s="244"/>
      <c r="K47" s="223"/>
      <c r="M47" s="17"/>
      <c r="N47" s="17"/>
      <c r="O47" s="121"/>
      <c r="P47" s="121"/>
      <c r="Q47" s="119"/>
      <c r="R47" s="119"/>
    </row>
    <row r="48" customFormat="false" ht="15.75" hidden="false" customHeight="false" outlineLevel="0" collapsed="false">
      <c r="K48" s="236" t="n">
        <f aca="false">SUM(K43:K47)</f>
        <v>0</v>
      </c>
    </row>
  </sheetData>
  <mergeCells count="4">
    <mergeCell ref="A1:I1"/>
    <mergeCell ref="A2:I2"/>
    <mergeCell ref="A22:I22"/>
    <mergeCell ref="A41:I41"/>
  </mergeCells>
  <conditionalFormatting sqref="N18 M19:N19 M4:M18">
    <cfRule type="expression" priority="2" aboveAverage="0" equalAverage="0" bottom="0" percent="0" rank="0" text="" dxfId="49">
      <formula>$M4="TAK"</formula>
    </cfRule>
    <cfRule type="expression" priority="3" aboveAverage="0" equalAverage="0" bottom="0" percent="0" rank="0" text="" dxfId="50">
      <formula>$M4="NIE"</formula>
    </cfRule>
  </conditionalFormatting>
  <conditionalFormatting sqref="M24:M36">
    <cfRule type="expression" priority="4" aboveAverage="0" equalAverage="0" bottom="0" percent="0" rank="0" text="" dxfId="51">
      <formula>$M24="TAK"</formula>
    </cfRule>
    <cfRule type="expression" priority="5" aboveAverage="0" equalAverage="0" bottom="0" percent="0" rank="0" text="" dxfId="52">
      <formula>$M24="NIE"</formula>
    </cfRule>
  </conditionalFormatting>
  <conditionalFormatting sqref="M43:N43">
    <cfRule type="expression" priority="6" aboveAverage="0" equalAverage="0" bottom="0" percent="0" rank="0" text="" dxfId="53">
      <formula>$M43="TAK"</formula>
    </cfRule>
    <cfRule type="expression" priority="7" aboveAverage="0" equalAverage="0" bottom="0" percent="0" rank="0" text="" dxfId="54">
      <formula>$M43="NIE"</formula>
    </cfRule>
  </conditionalFormatting>
  <dataValidations count="3">
    <dataValidation allowBlank="true" errorStyle="stop" operator="between" prompt="&#10;Określić na dany miesiąc&#10;" promptTitle="KURS EURO" showDropDown="false" showErrorMessage="true" showInputMessage="true" sqref="K1" type="none">
      <formula1>0</formula1>
      <formula2>0</formula2>
    </dataValidation>
    <dataValidation allowBlank="true" errorStyle="stop" operator="between" showDropDown="false" showErrorMessage="true" showInputMessage="true" sqref="F4:F19 F24:F38 F43" type="list">
      <formula1>"PLN,EUR"</formula1>
      <formula2>0</formula2>
    </dataValidation>
    <dataValidation allowBlank="true" errorStyle="stop" operator="between" showDropDown="false" showErrorMessage="true" showInputMessage="true" sqref="M4:M18 N18 M19:N19 M24:M36 M43:N43" type="list">
      <formula1>"TAK,NIE"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71"/>
    <col collapsed="false" customWidth="true" hidden="false" outlineLevel="0" max="2" min="2" style="0" width="25"/>
    <col collapsed="false" customWidth="true" hidden="false" outlineLevel="0" max="3" min="3" style="0" width="14.43"/>
    <col collapsed="false" customWidth="true" hidden="false" outlineLevel="0" max="4" min="4" style="0" width="16.57"/>
    <col collapsed="false" customWidth="true" hidden="false" outlineLevel="0" max="6" min="5" style="0" width="9.85"/>
    <col collapsed="false" customWidth="true" hidden="false" outlineLevel="0" max="8" min="8" style="0" width="12"/>
    <col collapsed="false" customWidth="true" hidden="false" outlineLevel="0" max="9" min="9" style="0" width="9.43"/>
    <col collapsed="false" customWidth="true" hidden="false" outlineLevel="0" max="10" min="10" style="0" width="6.57"/>
    <col collapsed="false" customWidth="true" hidden="false" outlineLevel="0" max="11" min="11" style="0" width="16.71"/>
    <col collapsed="false" customWidth="true" hidden="false" outlineLevel="0" max="12" min="12" style="0" width="6.14"/>
    <col collapsed="false" customWidth="true" hidden="false" outlineLevel="0" max="14" min="13" style="0" width="11.71"/>
    <col collapsed="false" customWidth="true" hidden="false" outlineLevel="0" max="16" min="15" style="0" width="20.14"/>
    <col collapsed="false" customWidth="true" hidden="false" outlineLevel="0" max="17" min="17" style="0" width="19.14"/>
    <col collapsed="false" customWidth="true" hidden="false" outlineLevel="0" max="18" min="18" style="0" width="42.28"/>
  </cols>
  <sheetData>
    <row r="1" customFormat="false" ht="26.25" hidden="false" customHeight="true" outlineLevel="0" collapsed="false">
      <c r="A1" s="262" t="s">
        <v>1128</v>
      </c>
      <c r="B1" s="262"/>
      <c r="C1" s="262"/>
      <c r="D1" s="262"/>
      <c r="E1" s="262"/>
      <c r="F1" s="262"/>
      <c r="G1" s="262"/>
      <c r="H1" s="262"/>
      <c r="I1" s="262"/>
      <c r="K1" s="184" t="n">
        <v>4.35</v>
      </c>
    </row>
    <row r="2" customFormat="false" ht="26.25" hidden="false" customHeight="true" outlineLevel="0" collapsed="false">
      <c r="A2" s="262" t="s">
        <v>189</v>
      </c>
      <c r="B2" s="262"/>
      <c r="C2" s="262"/>
      <c r="D2" s="262"/>
      <c r="E2" s="262"/>
      <c r="F2" s="262"/>
      <c r="G2" s="262"/>
      <c r="H2" s="262"/>
      <c r="I2" s="262"/>
    </row>
    <row r="3" customFormat="false" ht="54" hidden="false" customHeight="false" outlineLevel="0" collapsed="false">
      <c r="A3" s="306" t="s">
        <v>1</v>
      </c>
      <c r="B3" s="306" t="s">
        <v>2</v>
      </c>
      <c r="C3" s="306" t="s">
        <v>3</v>
      </c>
      <c r="D3" s="306" t="s">
        <v>4</v>
      </c>
      <c r="E3" s="306" t="s">
        <v>5</v>
      </c>
      <c r="F3" s="306" t="s">
        <v>505</v>
      </c>
      <c r="G3" s="306" t="s">
        <v>6</v>
      </c>
      <c r="H3" s="306" t="s">
        <v>506</v>
      </c>
      <c r="I3" s="306" t="s">
        <v>8</v>
      </c>
      <c r="K3" s="306" t="s">
        <v>507</v>
      </c>
      <c r="M3" s="307" t="s">
        <v>190</v>
      </c>
      <c r="N3" s="187" t="s">
        <v>901</v>
      </c>
      <c r="O3" s="308" t="s">
        <v>508</v>
      </c>
      <c r="P3" s="308" t="s">
        <v>191</v>
      </c>
      <c r="Q3" s="308" t="s">
        <v>509</v>
      </c>
      <c r="R3" s="308" t="s">
        <v>211</v>
      </c>
    </row>
    <row r="4" customFormat="false" ht="27" hidden="false" customHeight="false" outlineLevel="0" collapsed="false">
      <c r="A4" s="89" t="n">
        <v>1</v>
      </c>
      <c r="B4" s="393" t="s">
        <v>763</v>
      </c>
      <c r="C4" s="89" t="s">
        <v>23</v>
      </c>
      <c r="D4" s="264" t="s">
        <v>95</v>
      </c>
      <c r="E4" s="265" t="n">
        <v>3</v>
      </c>
      <c r="F4" s="275" t="s">
        <v>511</v>
      </c>
      <c r="G4" s="315" t="n">
        <v>3000</v>
      </c>
      <c r="H4" s="222" t="n">
        <f aca="false">IF(E4="","",G4*E4)</f>
        <v>9000</v>
      </c>
      <c r="I4" s="267" t="n">
        <v>46296</v>
      </c>
      <c r="J4" s="268"/>
      <c r="K4" s="269" t="n">
        <f aca="false">IF( F4="EUR", H4 * $K$1, H4)</f>
        <v>39150</v>
      </c>
      <c r="L4" s="20"/>
      <c r="M4" s="270"/>
      <c r="N4" s="355"/>
      <c r="O4" s="271"/>
      <c r="P4" s="280"/>
      <c r="Q4" s="287"/>
      <c r="R4" s="311"/>
    </row>
    <row r="5" customFormat="false" ht="15" hidden="false" customHeight="false" outlineLevel="0" collapsed="false">
      <c r="A5" s="89" t="n">
        <v>2</v>
      </c>
      <c r="B5" s="412"/>
      <c r="C5" s="89"/>
      <c r="D5" s="264"/>
      <c r="E5" s="265"/>
      <c r="F5" s="275"/>
      <c r="G5" s="266"/>
      <c r="H5" s="222"/>
      <c r="I5" s="267"/>
      <c r="J5" s="38"/>
      <c r="K5" s="269" t="n">
        <f aca="false">IF( F5="EUR", H5 * $K$1, H5)</f>
        <v>0</v>
      </c>
      <c r="L5" s="38"/>
      <c r="M5" s="270"/>
      <c r="N5" s="355"/>
      <c r="O5" s="413"/>
      <c r="P5" s="312"/>
      <c r="Q5" s="287"/>
      <c r="R5" s="311"/>
    </row>
    <row r="6" customFormat="false" ht="15" hidden="false" customHeight="false" outlineLevel="0" collapsed="false">
      <c r="A6" s="89" t="n">
        <v>3</v>
      </c>
      <c r="B6" s="414"/>
      <c r="C6" s="89"/>
      <c r="D6" s="264"/>
      <c r="E6" s="265"/>
      <c r="F6" s="275"/>
      <c r="G6" s="266"/>
      <c r="H6" s="222"/>
      <c r="I6" s="267"/>
      <c r="J6" s="38"/>
      <c r="K6" s="269" t="n">
        <f aca="false">IF( F6="EUR", H6 * $K$1, H6)</f>
        <v>0</v>
      </c>
      <c r="L6" s="38"/>
      <c r="M6" s="89"/>
      <c r="N6" s="355"/>
      <c r="O6" s="277"/>
      <c r="P6" s="89"/>
      <c r="Q6" s="287"/>
      <c r="R6" s="311"/>
    </row>
    <row r="7" customFormat="false" ht="15" hidden="false" customHeight="false" outlineLevel="0" collapsed="false">
      <c r="A7" s="89" t="n">
        <v>4</v>
      </c>
      <c r="B7" s="415"/>
      <c r="C7" s="310"/>
      <c r="D7" s="264"/>
      <c r="E7" s="265"/>
      <c r="F7" s="175"/>
      <c r="G7" s="315"/>
      <c r="H7" s="222"/>
      <c r="I7" s="267"/>
      <c r="J7" s="268"/>
      <c r="K7" s="269" t="n">
        <f aca="false">IF( F7="EUR", H7 * $K$1, H7)</f>
        <v>0</v>
      </c>
      <c r="L7" s="20"/>
      <c r="M7" s="270"/>
      <c r="N7" s="355"/>
      <c r="O7" s="271"/>
      <c r="P7" s="272"/>
      <c r="Q7" s="287"/>
      <c r="R7" s="339"/>
    </row>
    <row r="8" customFormat="false" ht="15" hidden="false" customHeight="false" outlineLevel="0" collapsed="false">
      <c r="A8" s="89" t="n">
        <v>5</v>
      </c>
      <c r="B8" s="309"/>
      <c r="C8" s="310"/>
      <c r="D8" s="264"/>
      <c r="E8" s="265"/>
      <c r="F8" s="275"/>
      <c r="G8" s="315"/>
      <c r="H8" s="222"/>
      <c r="I8" s="267"/>
      <c r="J8" s="268"/>
      <c r="K8" s="269" t="n">
        <f aca="false">IF( F8="EUR", H8 * $K$1, H8)</f>
        <v>0</v>
      </c>
      <c r="L8" s="20"/>
      <c r="M8" s="270"/>
      <c r="N8" s="355"/>
      <c r="O8" s="271"/>
      <c r="P8" s="272"/>
      <c r="Q8" s="287"/>
      <c r="R8" s="311"/>
    </row>
    <row r="9" customFormat="false" ht="15" hidden="false" customHeight="false" outlineLevel="0" collapsed="false">
      <c r="A9" s="89" t="n">
        <v>6</v>
      </c>
      <c r="B9" s="313"/>
      <c r="C9" s="89"/>
      <c r="D9" s="264"/>
      <c r="E9" s="265"/>
      <c r="F9" s="175"/>
      <c r="G9" s="266"/>
      <c r="H9" s="222"/>
      <c r="I9" s="267"/>
      <c r="J9" s="268"/>
      <c r="K9" s="269" t="n">
        <f aca="false">IF( F9="EUR", H9 * $K$1, H9)</f>
        <v>0</v>
      </c>
      <c r="L9" s="20"/>
      <c r="M9" s="270"/>
      <c r="N9" s="355"/>
      <c r="O9" s="271"/>
      <c r="P9" s="272"/>
      <c r="Q9" s="287"/>
      <c r="R9" s="339"/>
    </row>
    <row r="10" customFormat="false" ht="15" hidden="false" customHeight="false" outlineLevel="0" collapsed="false">
      <c r="A10" s="89" t="n">
        <v>7</v>
      </c>
      <c r="B10" s="338"/>
      <c r="C10" s="89"/>
      <c r="D10" s="264"/>
      <c r="E10" s="265"/>
      <c r="F10" s="175"/>
      <c r="G10" s="266"/>
      <c r="H10" s="222"/>
      <c r="I10" s="267"/>
      <c r="J10" s="268"/>
      <c r="K10" s="269" t="n">
        <f aca="false">IF( F10="EUR", H10 * $K$1, H10)</f>
        <v>0</v>
      </c>
      <c r="L10" s="20"/>
      <c r="M10" s="270"/>
      <c r="N10" s="355"/>
      <c r="O10" s="271"/>
      <c r="P10" s="280"/>
      <c r="R10" s="339"/>
    </row>
    <row r="11" customFormat="false" ht="15" hidden="false" customHeight="false" outlineLevel="0" collapsed="false">
      <c r="A11" s="352" t="n">
        <v>8</v>
      </c>
      <c r="B11" s="416" t="s">
        <v>1129</v>
      </c>
      <c r="C11" s="310" t="s">
        <v>16</v>
      </c>
      <c r="D11" s="264" t="s">
        <v>13</v>
      </c>
      <c r="E11" s="265" t="n">
        <v>3</v>
      </c>
      <c r="F11" s="175" t="s">
        <v>511</v>
      </c>
      <c r="G11" s="315" t="n">
        <v>1000</v>
      </c>
      <c r="H11" s="222" t="n">
        <f aca="false">IF(E11="","",G11*E11)</f>
        <v>3000</v>
      </c>
      <c r="I11" s="267" t="n">
        <v>46309</v>
      </c>
      <c r="J11" s="268"/>
      <c r="K11" s="269" t="n">
        <f aca="false">IF( F11="EUR", H11 * $K$1, H11)</f>
        <v>13050</v>
      </c>
      <c r="L11" s="20"/>
      <c r="M11" s="270"/>
      <c r="N11" s="355"/>
      <c r="O11" s="271" t="s">
        <v>1130</v>
      </c>
      <c r="P11" s="272"/>
      <c r="Q11" s="287" t="s">
        <v>514</v>
      </c>
      <c r="R11" s="339"/>
    </row>
    <row r="12" customFormat="false" ht="15" hidden="false" customHeight="false" outlineLevel="0" collapsed="false">
      <c r="A12" s="352" t="n">
        <v>9</v>
      </c>
      <c r="B12" s="356"/>
      <c r="C12" s="89"/>
      <c r="D12" s="264"/>
      <c r="E12" s="265"/>
      <c r="F12" s="175"/>
      <c r="G12" s="266"/>
      <c r="H12" s="222"/>
      <c r="I12" s="267"/>
      <c r="J12" s="38"/>
      <c r="K12" s="269"/>
      <c r="L12" s="38"/>
      <c r="M12" s="89"/>
      <c r="N12" s="355"/>
      <c r="O12" s="277"/>
      <c r="P12" s="89"/>
      <c r="Q12" s="311"/>
      <c r="R12" s="311"/>
    </row>
    <row r="13" customFormat="false" ht="15" hidden="false" customHeight="false" outlineLevel="0" collapsed="false">
      <c r="A13" s="352" t="n">
        <v>10</v>
      </c>
      <c r="B13" s="313"/>
      <c r="C13" s="310"/>
      <c r="D13" s="264"/>
      <c r="E13" s="265"/>
      <c r="F13" s="275"/>
      <c r="G13" s="266"/>
      <c r="H13" s="222"/>
      <c r="I13" s="267"/>
      <c r="J13" s="268"/>
      <c r="K13" s="269"/>
      <c r="L13" s="20"/>
      <c r="M13" s="270"/>
      <c r="N13" s="355"/>
      <c r="O13" s="271"/>
      <c r="P13" s="272"/>
      <c r="Q13" s="273"/>
      <c r="R13" s="311"/>
    </row>
    <row r="14" customFormat="false" ht="15" hidden="false" customHeight="false" outlineLevel="0" collapsed="false">
      <c r="A14" s="352" t="n">
        <v>11</v>
      </c>
      <c r="B14" s="313"/>
      <c r="C14" s="151"/>
      <c r="D14" s="264"/>
      <c r="E14" s="265"/>
      <c r="F14" s="275"/>
      <c r="G14" s="266"/>
      <c r="H14" s="222"/>
      <c r="I14" s="267"/>
      <c r="J14" s="268"/>
      <c r="K14" s="269"/>
      <c r="L14" s="20"/>
      <c r="M14" s="270"/>
      <c r="N14" s="355"/>
      <c r="O14" s="271"/>
      <c r="P14" s="60"/>
      <c r="Q14" s="273"/>
      <c r="R14" s="170"/>
    </row>
    <row r="15" customFormat="false" ht="15" hidden="false" customHeight="false" outlineLevel="0" collapsed="false">
      <c r="A15" s="352" t="n">
        <v>12</v>
      </c>
      <c r="B15" s="417"/>
      <c r="C15" s="77"/>
      <c r="D15" s="220"/>
      <c r="E15" s="418"/>
      <c r="F15" s="17"/>
      <c r="G15" s="36"/>
      <c r="H15" s="301"/>
      <c r="I15" s="14"/>
      <c r="J15" s="268"/>
      <c r="K15" s="269"/>
      <c r="L15" s="20"/>
      <c r="M15" s="270"/>
      <c r="N15" s="355"/>
      <c r="O15" s="271"/>
      <c r="P15" s="280"/>
      <c r="Q15" s="273"/>
      <c r="R15" s="170"/>
    </row>
    <row r="16" customFormat="false" ht="15" hidden="false" customHeight="false" outlineLevel="0" collapsed="false">
      <c r="A16" s="352" t="n">
        <v>13</v>
      </c>
      <c r="B16" s="258"/>
      <c r="C16" s="12"/>
      <c r="D16" s="220"/>
      <c r="E16" s="418"/>
      <c r="F16" s="3"/>
      <c r="G16" s="36"/>
      <c r="H16" s="301"/>
      <c r="I16" s="14"/>
      <c r="J16" s="268"/>
      <c r="K16" s="269"/>
      <c r="L16" s="20"/>
      <c r="M16" s="270"/>
      <c r="N16" s="355"/>
      <c r="O16" s="271"/>
      <c r="P16" s="280"/>
      <c r="Q16" s="273"/>
      <c r="R16" s="273"/>
    </row>
    <row r="17" customFormat="false" ht="15" hidden="false" customHeight="false" outlineLevel="0" collapsed="false">
      <c r="A17" s="352" t="n">
        <v>14</v>
      </c>
      <c r="B17" s="419"/>
      <c r="C17" s="77"/>
      <c r="D17" s="220"/>
      <c r="E17" s="418"/>
      <c r="F17" s="13"/>
      <c r="G17" s="36"/>
      <c r="H17" s="301"/>
      <c r="I17" s="14"/>
      <c r="J17" s="38"/>
      <c r="K17" s="269"/>
      <c r="L17" s="38"/>
      <c r="M17" s="270"/>
      <c r="N17" s="355"/>
      <c r="O17" s="311"/>
      <c r="P17" s="312"/>
      <c r="Q17" s="311"/>
      <c r="R17" s="311"/>
    </row>
    <row r="18" customFormat="false" ht="15" hidden="false" customHeight="false" outlineLevel="0" collapsed="false">
      <c r="A18" s="352" t="n">
        <v>15</v>
      </c>
      <c r="B18" s="419"/>
      <c r="C18" s="77"/>
      <c r="D18" s="220"/>
      <c r="E18" s="418"/>
      <c r="F18" s="13"/>
      <c r="G18" s="36"/>
      <c r="H18" s="301"/>
      <c r="I18" s="14"/>
      <c r="J18" s="268"/>
      <c r="K18" s="269"/>
      <c r="L18" s="20"/>
      <c r="M18" s="270"/>
      <c r="N18" s="377"/>
      <c r="O18" s="271"/>
      <c r="P18" s="272"/>
      <c r="Q18" s="273"/>
      <c r="R18" s="408"/>
    </row>
    <row r="19" customFormat="false" ht="16.5" hidden="false" customHeight="false" outlineLevel="0" collapsed="false">
      <c r="A19" s="21"/>
      <c r="B19" s="295"/>
      <c r="C19" s="292"/>
      <c r="D19" s="292"/>
      <c r="E19" s="293"/>
      <c r="F19" s="294"/>
      <c r="G19" s="295"/>
      <c r="H19" s="296"/>
      <c r="I19" s="297"/>
      <c r="J19" s="51"/>
      <c r="K19" s="298"/>
      <c r="M19" s="299"/>
      <c r="N19" s="299"/>
      <c r="O19" s="300"/>
      <c r="P19" s="19"/>
      <c r="Q19" s="300"/>
    </row>
    <row r="20" customFormat="false" ht="19.5" hidden="false" customHeight="false" outlineLevel="0" collapsed="false">
      <c r="B20" s="19"/>
      <c r="C20" s="19"/>
      <c r="D20" s="19"/>
      <c r="E20" s="19"/>
      <c r="F20" s="19"/>
      <c r="G20" s="19"/>
      <c r="H20" s="19"/>
      <c r="I20" s="19"/>
      <c r="K20" s="256" t="n">
        <f aca="false">SUM(K4:K19)</f>
        <v>52200</v>
      </c>
    </row>
    <row r="21" customFormat="false" ht="15" hidden="false" customHeight="false" outlineLevel="0" collapsed="false">
      <c r="K21" s="18"/>
    </row>
    <row r="22" customFormat="false" ht="26.25" hidden="false" customHeight="true" outlineLevel="0" collapsed="false">
      <c r="A22" s="262" t="s">
        <v>210</v>
      </c>
      <c r="B22" s="262"/>
      <c r="C22" s="262"/>
      <c r="D22" s="262"/>
      <c r="E22" s="262"/>
      <c r="F22" s="262"/>
      <c r="G22" s="262"/>
      <c r="H22" s="262"/>
      <c r="I22" s="262"/>
    </row>
    <row r="23" customFormat="false" ht="54" hidden="false" customHeight="false" outlineLevel="0" collapsed="false">
      <c r="A23" s="185" t="s">
        <v>1</v>
      </c>
      <c r="B23" s="185" t="s">
        <v>2</v>
      </c>
      <c r="C23" s="185" t="s">
        <v>3</v>
      </c>
      <c r="D23" s="185" t="s">
        <v>4</v>
      </c>
      <c r="E23" s="185" t="s">
        <v>5</v>
      </c>
      <c r="F23" s="185" t="s">
        <v>505</v>
      </c>
      <c r="G23" s="185" t="s">
        <v>6</v>
      </c>
      <c r="H23" s="185" t="s">
        <v>506</v>
      </c>
      <c r="I23" s="185" t="s">
        <v>8</v>
      </c>
      <c r="K23" s="186" t="s">
        <v>507</v>
      </c>
      <c r="M23" s="187" t="s">
        <v>190</v>
      </c>
      <c r="N23" s="187" t="s">
        <v>901</v>
      </c>
      <c r="O23" s="139" t="s">
        <v>558</v>
      </c>
      <c r="P23" s="139" t="s">
        <v>191</v>
      </c>
      <c r="Q23" s="139" t="s">
        <v>509</v>
      </c>
      <c r="R23" s="139" t="s">
        <v>211</v>
      </c>
    </row>
    <row r="24" customFormat="false" ht="15" hidden="false" customHeight="false" outlineLevel="0" collapsed="false">
      <c r="A24" s="12" t="n">
        <v>1</v>
      </c>
      <c r="B24" s="337"/>
      <c r="C24" s="39"/>
      <c r="D24" s="264"/>
      <c r="E24" s="171"/>
      <c r="F24" s="275"/>
      <c r="G24" s="39"/>
      <c r="H24" s="222"/>
      <c r="I24" s="348"/>
      <c r="K24" s="223" t="n">
        <f aca="false">IF( F24="EUR", H24 * $K$1, H24)</f>
        <v>0</v>
      </c>
      <c r="M24" s="270"/>
      <c r="N24" s="284"/>
      <c r="O24" s="287"/>
      <c r="P24" s="270"/>
      <c r="Q24" s="287"/>
      <c r="R24" s="119"/>
    </row>
    <row r="25" customFormat="false" ht="15" hidden="false" customHeight="false" outlineLevel="0" collapsed="false">
      <c r="A25" s="12" t="n">
        <v>2</v>
      </c>
      <c r="B25" s="337"/>
      <c r="C25" s="39"/>
      <c r="D25" s="264"/>
      <c r="E25" s="171"/>
      <c r="F25" s="275"/>
      <c r="G25" s="39"/>
      <c r="H25" s="222"/>
      <c r="I25" s="168"/>
      <c r="K25" s="223" t="n">
        <f aca="false">IF( F25="EUR", H25 * $K$1, H25)</f>
        <v>0</v>
      </c>
      <c r="M25" s="270"/>
      <c r="N25" s="284"/>
      <c r="O25" s="287"/>
      <c r="P25" s="270"/>
      <c r="Q25" s="170"/>
      <c r="R25" s="119"/>
    </row>
    <row r="26" customFormat="false" ht="15" hidden="false" customHeight="false" outlineLevel="0" collapsed="false">
      <c r="A26" s="12" t="n">
        <v>3</v>
      </c>
      <c r="B26" s="337"/>
      <c r="C26" s="39"/>
      <c r="D26" s="264"/>
      <c r="E26" s="171"/>
      <c r="F26" s="275"/>
      <c r="G26" s="89"/>
      <c r="H26" s="222"/>
      <c r="I26" s="348"/>
      <c r="K26" s="223" t="n">
        <f aca="false">IF( F26="EUR", H26 * $K$1, H26)</f>
        <v>0</v>
      </c>
      <c r="M26" s="270"/>
      <c r="N26" s="284"/>
      <c r="O26" s="339"/>
      <c r="P26" s="336"/>
      <c r="Q26" s="170"/>
      <c r="R26" s="119"/>
    </row>
    <row r="27" customFormat="false" ht="15" hidden="false" customHeight="false" outlineLevel="0" collapsed="false">
      <c r="A27" s="12" t="n">
        <v>4</v>
      </c>
      <c r="B27" s="332"/>
      <c r="C27" s="151"/>
      <c r="D27" s="264"/>
      <c r="E27" s="171"/>
      <c r="F27" s="275"/>
      <c r="G27" s="89"/>
      <c r="H27" s="222"/>
      <c r="I27" s="348"/>
      <c r="K27" s="223" t="n">
        <f aca="false">IF( F27="EUR", H27 * $K$1, H27)</f>
        <v>0</v>
      </c>
      <c r="M27" s="270"/>
      <c r="N27" s="284"/>
      <c r="O27" s="283"/>
      <c r="P27" s="336"/>
      <c r="Q27" s="170"/>
      <c r="R27" s="119"/>
    </row>
    <row r="28" customFormat="false" ht="15" hidden="false" customHeight="false" outlineLevel="0" collapsed="false">
      <c r="A28" s="12" t="n">
        <v>5</v>
      </c>
      <c r="B28" s="309"/>
      <c r="C28" s="151"/>
      <c r="D28" s="264"/>
      <c r="E28" s="171"/>
      <c r="F28" s="275"/>
      <c r="G28" s="39"/>
      <c r="H28" s="222"/>
      <c r="I28" s="168"/>
      <c r="J28" s="20"/>
      <c r="K28" s="269" t="n">
        <f aca="false">IF( F28="EUR", H28 * $K$1, H28)</f>
        <v>0</v>
      </c>
      <c r="L28" s="20"/>
      <c r="M28" s="270"/>
      <c r="N28" s="284"/>
      <c r="O28" s="339"/>
      <c r="P28" s="336"/>
      <c r="Q28" s="170"/>
      <c r="R28" s="170"/>
    </row>
    <row r="29" customFormat="false" ht="15" hidden="false" customHeight="false" outlineLevel="0" collapsed="false">
      <c r="A29" s="12" t="n">
        <v>6</v>
      </c>
      <c r="B29" s="337"/>
      <c r="C29" s="39"/>
      <c r="D29" s="264"/>
      <c r="E29" s="171"/>
      <c r="F29" s="275"/>
      <c r="G29" s="39"/>
      <c r="H29" s="222"/>
      <c r="I29" s="168"/>
      <c r="J29" s="20"/>
      <c r="K29" s="269" t="n">
        <f aca="false">IF( F29="EUR", H29 * $K$1, H29)</f>
        <v>0</v>
      </c>
      <c r="L29" s="20"/>
      <c r="M29" s="270"/>
      <c r="N29" s="284"/>
      <c r="O29" s="339"/>
      <c r="P29" s="336"/>
      <c r="Q29" s="170"/>
      <c r="R29" s="170"/>
    </row>
    <row r="30" customFormat="false" ht="15" hidden="false" customHeight="false" outlineLevel="0" collapsed="false">
      <c r="A30" s="12" t="n">
        <v>7</v>
      </c>
      <c r="B30" s="338"/>
      <c r="C30" s="349"/>
      <c r="D30" s="264"/>
      <c r="E30" s="171"/>
      <c r="F30" s="275"/>
      <c r="G30" s="39"/>
      <c r="H30" s="222"/>
      <c r="I30" s="350"/>
      <c r="K30" s="269" t="n">
        <f aca="false">IF( F30="EUR", H30 * $K$1, H30)</f>
        <v>0</v>
      </c>
      <c r="M30" s="270"/>
      <c r="N30" s="284"/>
      <c r="O30" s="339"/>
      <c r="P30" s="336"/>
      <c r="Q30" s="170"/>
      <c r="R30" s="119"/>
    </row>
    <row r="31" customFormat="false" ht="15" hidden="false" customHeight="false" outlineLevel="0" collapsed="false">
      <c r="A31" s="12" t="n">
        <v>8</v>
      </c>
      <c r="B31" s="420"/>
      <c r="C31" s="39"/>
      <c r="D31" s="264"/>
      <c r="E31" s="171"/>
      <c r="F31" s="275"/>
      <c r="G31" s="39"/>
      <c r="H31" s="222"/>
      <c r="I31" s="350"/>
      <c r="K31" s="269" t="n">
        <f aca="false">IF( F31="EUR", H31 * $K$1, H31)</f>
        <v>0</v>
      </c>
      <c r="M31" s="270"/>
      <c r="N31" s="284"/>
      <c r="O31" s="339"/>
      <c r="P31" s="314"/>
      <c r="Q31" s="170"/>
      <c r="R31" s="119"/>
    </row>
    <row r="32" customFormat="false" ht="15" hidden="false" customHeight="false" outlineLevel="0" collapsed="false">
      <c r="A32" s="12" t="n">
        <v>9</v>
      </c>
      <c r="B32" s="376"/>
      <c r="C32" s="39"/>
      <c r="D32" s="264"/>
      <c r="E32" s="171"/>
      <c r="F32" s="275"/>
      <c r="G32" s="39"/>
      <c r="H32" s="222"/>
      <c r="I32" s="350"/>
      <c r="K32" s="269"/>
      <c r="M32" s="270"/>
      <c r="N32" s="284"/>
      <c r="O32" s="339"/>
      <c r="P32" s="336"/>
      <c r="Q32" s="170"/>
      <c r="R32" s="119"/>
    </row>
    <row r="33" customFormat="false" ht="15" hidden="false" customHeight="false" outlineLevel="0" collapsed="false">
      <c r="A33" s="12" t="n">
        <v>10</v>
      </c>
      <c r="B33" s="376"/>
      <c r="C33" s="39"/>
      <c r="D33" s="264"/>
      <c r="E33" s="171"/>
      <c r="F33" s="275"/>
      <c r="G33" s="39"/>
      <c r="H33" s="222"/>
      <c r="I33" s="350"/>
      <c r="K33" s="269"/>
      <c r="M33" s="270"/>
      <c r="N33" s="284"/>
      <c r="O33" s="339"/>
      <c r="P33" s="336"/>
      <c r="Q33" s="170"/>
      <c r="R33" s="119"/>
    </row>
    <row r="34" customFormat="false" ht="15" hidden="false" customHeight="false" outlineLevel="0" collapsed="false">
      <c r="A34" s="12" t="n">
        <v>11</v>
      </c>
      <c r="B34" s="410"/>
      <c r="C34" s="39"/>
      <c r="D34" s="264"/>
      <c r="E34" s="171"/>
      <c r="F34" s="275"/>
      <c r="G34" s="39"/>
      <c r="H34" s="222" t="str">
        <f aca="false">IF(E34="", "", G34 * E34)</f>
        <v/>
      </c>
      <c r="I34" s="350"/>
      <c r="K34" s="269" t="str">
        <f aca="false">IF( F34="EUR", H34 * $K$1, H34)</f>
        <v/>
      </c>
      <c r="M34" s="284"/>
      <c r="N34" s="284"/>
      <c r="O34" s="339"/>
      <c r="P34" s="336"/>
      <c r="Q34" s="170"/>
      <c r="R34" s="119"/>
    </row>
    <row r="35" customFormat="false" ht="15.75" hidden="false" customHeight="false" outlineLevel="0" collapsed="false">
      <c r="A35" s="12" t="n">
        <v>12</v>
      </c>
      <c r="B35" s="411"/>
      <c r="C35" s="39"/>
      <c r="D35" s="264"/>
      <c r="E35" s="171"/>
      <c r="F35" s="275"/>
      <c r="G35" s="39"/>
      <c r="H35" s="222" t="str">
        <f aca="false">IF(E35="", "", G35 * E35)</f>
        <v/>
      </c>
      <c r="I35" s="350"/>
      <c r="K35" s="269" t="str">
        <f aca="false">IF( F35="EUR", H35 * $K$1, H35)</f>
        <v/>
      </c>
      <c r="M35" s="284"/>
      <c r="N35" s="284"/>
      <c r="O35" s="339"/>
      <c r="P35" s="339"/>
      <c r="Q35" s="170"/>
      <c r="R35" s="119"/>
    </row>
    <row r="36" customFormat="false" ht="15.75" hidden="false" customHeight="false" outlineLevel="0" collapsed="false">
      <c r="K36" s="236" t="n">
        <f aca="false">SUM(K24:K35)</f>
        <v>0</v>
      </c>
    </row>
    <row r="38" customFormat="false" ht="28.5" hidden="false" customHeight="false" outlineLevel="0" collapsed="false">
      <c r="A38" s="237" t="s">
        <v>575</v>
      </c>
      <c r="B38" s="237"/>
      <c r="C38" s="237"/>
      <c r="D38" s="237"/>
      <c r="E38" s="237"/>
      <c r="F38" s="237"/>
      <c r="G38" s="237"/>
      <c r="H38" s="237"/>
      <c r="I38" s="237"/>
    </row>
    <row r="39" customFormat="false" ht="45" hidden="false" customHeight="false" outlineLevel="0" collapsed="false">
      <c r="A39" s="185" t="s">
        <v>1</v>
      </c>
      <c r="B39" s="185" t="s">
        <v>2</v>
      </c>
      <c r="C39" s="185" t="s">
        <v>3</v>
      </c>
      <c r="D39" s="185" t="s">
        <v>4</v>
      </c>
      <c r="E39" s="185" t="s">
        <v>5</v>
      </c>
      <c r="F39" s="185" t="s">
        <v>505</v>
      </c>
      <c r="G39" s="185" t="s">
        <v>6</v>
      </c>
      <c r="H39" s="185" t="s">
        <v>506</v>
      </c>
      <c r="I39" s="185" t="s">
        <v>8</v>
      </c>
      <c r="K39" s="186" t="s">
        <v>507</v>
      </c>
      <c r="M39" s="187" t="s">
        <v>190</v>
      </c>
      <c r="N39" s="187"/>
      <c r="O39" s="139" t="s">
        <v>576</v>
      </c>
      <c r="P39" s="139" t="s">
        <v>191</v>
      </c>
      <c r="Q39" s="139" t="s">
        <v>509</v>
      </c>
      <c r="R39" s="139" t="s">
        <v>211</v>
      </c>
    </row>
    <row r="40" customFormat="false" ht="15.75" hidden="false" customHeight="false" outlineLevel="0" collapsed="false">
      <c r="A40" s="119" t="s">
        <v>10</v>
      </c>
      <c r="B40" s="351"/>
      <c r="C40" s="239"/>
      <c r="D40" s="119"/>
      <c r="E40" s="241"/>
      <c r="F40" s="275"/>
      <c r="G40" s="119"/>
      <c r="H40" s="301"/>
      <c r="I40" s="244"/>
      <c r="K40" s="269"/>
      <c r="M40" s="224"/>
      <c r="N40" s="224"/>
      <c r="O40" s="227"/>
      <c r="P40" s="227"/>
      <c r="Q40" s="229"/>
      <c r="R40" s="119"/>
    </row>
    <row r="41" customFormat="false" ht="15" hidden="false" customHeight="false" outlineLevel="0" collapsed="false">
      <c r="A41" s="119" t="s">
        <v>14</v>
      </c>
      <c r="B41" s="240"/>
      <c r="C41" s="119"/>
      <c r="D41" s="119"/>
      <c r="E41" s="119"/>
      <c r="F41" s="119"/>
      <c r="G41" s="119"/>
      <c r="H41" s="119"/>
      <c r="I41" s="244"/>
      <c r="K41" s="223"/>
      <c r="M41" s="17"/>
      <c r="N41" s="17"/>
      <c r="O41" s="121"/>
      <c r="P41" s="121"/>
      <c r="Q41" s="119"/>
      <c r="R41" s="119"/>
    </row>
    <row r="42" customFormat="false" ht="15" hidden="false" customHeight="false" outlineLevel="0" collapsed="false">
      <c r="A42" s="119" t="s">
        <v>18</v>
      </c>
      <c r="B42" s="240"/>
      <c r="C42" s="119"/>
      <c r="D42" s="119"/>
      <c r="E42" s="119"/>
      <c r="F42" s="242"/>
      <c r="G42" s="119"/>
      <c r="H42" s="119"/>
      <c r="I42" s="244"/>
      <c r="K42" s="223"/>
      <c r="M42" s="17"/>
      <c r="N42" s="17"/>
      <c r="O42" s="121"/>
      <c r="P42" s="121"/>
      <c r="Q42" s="119"/>
      <c r="R42" s="119"/>
    </row>
    <row r="43" customFormat="false" ht="15" hidden="false" customHeight="false" outlineLevel="0" collapsed="false">
      <c r="A43" s="119" t="s">
        <v>21</v>
      </c>
      <c r="B43" s="240"/>
      <c r="C43" s="119"/>
      <c r="D43" s="119"/>
      <c r="E43" s="119"/>
      <c r="F43" s="242"/>
      <c r="G43" s="119"/>
      <c r="H43" s="243"/>
      <c r="I43" s="244"/>
      <c r="K43" s="223"/>
      <c r="M43" s="17"/>
      <c r="N43" s="17"/>
      <c r="O43" s="121"/>
      <c r="P43" s="121"/>
      <c r="Q43" s="119"/>
      <c r="R43" s="119"/>
    </row>
    <row r="44" customFormat="false" ht="15.75" hidden="false" customHeight="false" outlineLevel="0" collapsed="false">
      <c r="A44" s="119" t="s">
        <v>25</v>
      </c>
      <c r="B44" s="240"/>
      <c r="C44" s="119"/>
      <c r="D44" s="119"/>
      <c r="E44" s="242"/>
      <c r="F44" s="242"/>
      <c r="G44" s="119"/>
      <c r="H44" s="243"/>
      <c r="I44" s="244"/>
      <c r="K44" s="223"/>
      <c r="M44" s="17"/>
      <c r="N44" s="17"/>
      <c r="O44" s="121"/>
      <c r="P44" s="121"/>
      <c r="Q44" s="119"/>
      <c r="R44" s="119"/>
    </row>
    <row r="45" customFormat="false" ht="15.75" hidden="false" customHeight="false" outlineLevel="0" collapsed="false">
      <c r="K45" s="236" t="n">
        <f aca="false">SUM(K40:K44)</f>
        <v>0</v>
      </c>
    </row>
  </sheetData>
  <mergeCells count="4">
    <mergeCell ref="A1:I1"/>
    <mergeCell ref="A2:I2"/>
    <mergeCell ref="A22:I22"/>
    <mergeCell ref="A38:I38"/>
  </mergeCells>
  <conditionalFormatting sqref="M4:M18 N18 M19:N19">
    <cfRule type="expression" priority="2" aboveAverage="0" equalAverage="0" bottom="0" percent="0" rank="0" text="" dxfId="55">
      <formula>$M4="TAK"</formula>
    </cfRule>
    <cfRule type="expression" priority="3" aboveAverage="0" equalAverage="0" bottom="0" percent="0" rank="0" text="" dxfId="56">
      <formula>$M4="NIE"</formula>
    </cfRule>
  </conditionalFormatting>
  <conditionalFormatting sqref="M24:M33">
    <cfRule type="expression" priority="4" aboveAverage="0" equalAverage="0" bottom="0" percent="0" rank="0" text="" dxfId="57">
      <formula>$M24="TAK"</formula>
    </cfRule>
    <cfRule type="expression" priority="5" aboveAverage="0" equalAverage="0" bottom="0" percent="0" rank="0" text="" dxfId="58">
      <formula>$M24="NIE"</formula>
    </cfRule>
  </conditionalFormatting>
  <conditionalFormatting sqref="M40:N40">
    <cfRule type="expression" priority="6" aboveAverage="0" equalAverage="0" bottom="0" percent="0" rank="0" text="" dxfId="59">
      <formula>$M40="TAK"</formula>
    </cfRule>
    <cfRule type="expression" priority="7" aboveAverage="0" equalAverage="0" bottom="0" percent="0" rank="0" text="" dxfId="60">
      <formula>$M40="NIE"</formula>
    </cfRule>
  </conditionalFormatting>
  <dataValidations count="3">
    <dataValidation allowBlank="true" errorStyle="stop" operator="between" prompt="&#10;Określić na dany miesiąc&#10;" promptTitle="KURS EURO" showDropDown="false" showErrorMessage="true" showInputMessage="true" sqref="K1" type="none">
      <formula1>0</formula1>
      <formula2>0</formula2>
    </dataValidation>
    <dataValidation allowBlank="true" errorStyle="stop" operator="between" showDropDown="false" showErrorMessage="true" showInputMessage="true" sqref="F4:F19 F24:F35 F40" type="list">
      <formula1>"PLN,EUR"</formula1>
      <formula2>0</formula2>
    </dataValidation>
    <dataValidation allowBlank="true" errorStyle="stop" operator="between" showDropDown="false" showErrorMessage="true" showInputMessage="true" sqref="M4:M5 M7:M11 M13:M18 N18 M19:N19 M24:M33 M40:N40" type="list">
      <formula1>"TAK,NIE"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2024-03-29T06:46:44Z</dcterms:created>
  <dc:creator>Jakub Majchrzak</dc:creator>
  <dc:description/>
  <dc:language>pl-PL</dc:language>
  <cp:lastModifiedBy/>
  <cp:lastPrinted>2025-12-11T10:39:49Z</cp:lastPrinted>
  <dcterms:modified xsi:type="dcterms:W3CDTF">2026-09-25T13:37:53Z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